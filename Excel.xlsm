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is\Desktop\ProjetExcel\"/>
    </mc:Choice>
  </mc:AlternateContent>
  <xr:revisionPtr revIDLastSave="0" documentId="13_ncr:1_{B9A54B10-68FB-424D-9DAB-06B4DCEE6414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Graph" sheetId="1" r:id="rId1"/>
    <sheet name="Planets" sheetId="3" r:id="rId2"/>
    <sheet name="UF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" i="3" l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N438" i="3" s="1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N456" i="3" s="1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N478" i="3" s="1"/>
  <c r="N479" i="3" s="1"/>
  <c r="N480" i="3" s="1"/>
  <c r="N481" i="3" s="1"/>
  <c r="N482" i="3" s="1"/>
  <c r="N483" i="3" s="1"/>
  <c r="N484" i="3" s="1"/>
  <c r="N485" i="3" s="1"/>
  <c r="N486" i="3" s="1"/>
  <c r="N487" i="3" s="1"/>
  <c r="N488" i="3" s="1"/>
  <c r="N489" i="3" s="1"/>
  <c r="N490" i="3" s="1"/>
  <c r="N491" i="3" s="1"/>
  <c r="N492" i="3" s="1"/>
  <c r="N493" i="3" s="1"/>
  <c r="N494" i="3" s="1"/>
  <c r="N495" i="3" s="1"/>
  <c r="N496" i="3" s="1"/>
  <c r="N497" i="3" s="1"/>
  <c r="N498" i="3" s="1"/>
  <c r="N499" i="3" s="1"/>
  <c r="N500" i="3" s="1"/>
  <c r="N501" i="3" s="1"/>
  <c r="N502" i="3" s="1"/>
  <c r="N503" i="3" s="1"/>
  <c r="N504" i="3" s="1"/>
  <c r="N505" i="3" s="1"/>
  <c r="N506" i="3" s="1"/>
  <c r="N507" i="3" s="1"/>
  <c r="N508" i="3" s="1"/>
  <c r="N509" i="3" s="1"/>
  <c r="N510" i="3" s="1"/>
  <c r="N511" i="3" s="1"/>
  <c r="N512" i="3" s="1"/>
  <c r="N513" i="3" s="1"/>
  <c r="N514" i="3" s="1"/>
  <c r="N515" i="3" s="1"/>
  <c r="N516" i="3" s="1"/>
  <c r="N517" i="3" s="1"/>
  <c r="N518" i="3" s="1"/>
  <c r="N519" i="3" s="1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N533" i="3" s="1"/>
  <c r="N534" i="3" s="1"/>
  <c r="N535" i="3" s="1"/>
  <c r="N536" i="3" s="1"/>
  <c r="N537" i="3" s="1"/>
  <c r="N538" i="3" s="1"/>
  <c r="N539" i="3" s="1"/>
  <c r="N540" i="3" s="1"/>
  <c r="N541" i="3" s="1"/>
  <c r="N542" i="3" s="1"/>
  <c r="N543" i="3" s="1"/>
  <c r="N544" i="3" s="1"/>
  <c r="N545" i="3" s="1"/>
  <c r="N546" i="3" s="1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N580" i="3" s="1"/>
  <c r="N581" i="3" s="1"/>
  <c r="N582" i="3" s="1"/>
  <c r="N583" i="3" s="1"/>
  <c r="N584" i="3" s="1"/>
  <c r="N585" i="3" s="1"/>
  <c r="N586" i="3" s="1"/>
  <c r="N587" i="3" s="1"/>
  <c r="N588" i="3" s="1"/>
  <c r="N589" i="3" s="1"/>
  <c r="N590" i="3" s="1"/>
  <c r="N591" i="3" s="1"/>
  <c r="N592" i="3" s="1"/>
  <c r="N593" i="3" s="1"/>
  <c r="N594" i="3" s="1"/>
  <c r="N595" i="3" s="1"/>
  <c r="N596" i="3" s="1"/>
  <c r="N597" i="3" s="1"/>
  <c r="N598" i="3" s="1"/>
  <c r="N599" i="3" s="1"/>
  <c r="N600" i="3" s="1"/>
  <c r="N601" i="3" s="1"/>
  <c r="N602" i="3" s="1"/>
  <c r="N603" i="3" s="1"/>
  <c r="N604" i="3" s="1"/>
  <c r="N605" i="3" s="1"/>
  <c r="N606" i="3" s="1"/>
  <c r="N607" i="3" s="1"/>
  <c r="N608" i="3" s="1"/>
  <c r="N609" i="3" s="1"/>
  <c r="N610" i="3" s="1"/>
  <c r="N611" i="3" s="1"/>
  <c r="N612" i="3" s="1"/>
  <c r="N613" i="3" s="1"/>
  <c r="N614" i="3" s="1"/>
  <c r="N615" i="3" s="1"/>
  <c r="N616" i="3" s="1"/>
  <c r="N617" i="3" s="1"/>
  <c r="N618" i="3" s="1"/>
  <c r="N619" i="3" s="1"/>
  <c r="N620" i="3" s="1"/>
  <c r="N621" i="3" s="1"/>
  <c r="N622" i="3" s="1"/>
  <c r="N623" i="3" s="1"/>
  <c r="N624" i="3" s="1"/>
  <c r="N625" i="3" s="1"/>
  <c r="N626" i="3" s="1"/>
  <c r="N627" i="3" s="1"/>
  <c r="N628" i="3" s="1"/>
  <c r="N629" i="3" s="1"/>
  <c r="N630" i="3" s="1"/>
  <c r="N631" i="3" s="1"/>
  <c r="N632" i="3" s="1"/>
  <c r="N633" i="3" s="1"/>
  <c r="N634" i="3" s="1"/>
  <c r="N635" i="3" s="1"/>
  <c r="N636" i="3" s="1"/>
  <c r="N637" i="3" s="1"/>
  <c r="N638" i="3" s="1"/>
  <c r="N639" i="3" s="1"/>
  <c r="N640" i="3" s="1"/>
  <c r="N641" i="3" s="1"/>
  <c r="N642" i="3" s="1"/>
  <c r="N643" i="3" s="1"/>
  <c r="N644" i="3" s="1"/>
  <c r="N645" i="3" s="1"/>
  <c r="N646" i="3" s="1"/>
  <c r="N647" i="3" s="1"/>
  <c r="N648" i="3" s="1"/>
  <c r="N649" i="3" s="1"/>
  <c r="N650" i="3" s="1"/>
  <c r="N651" i="3" s="1"/>
  <c r="N652" i="3" s="1"/>
  <c r="N653" i="3" s="1"/>
  <c r="N654" i="3" s="1"/>
  <c r="N655" i="3" s="1"/>
  <c r="N656" i="3" s="1"/>
  <c r="N657" i="3" s="1"/>
  <c r="N658" i="3" s="1"/>
  <c r="N659" i="3" s="1"/>
  <c r="N660" i="3" s="1"/>
  <c r="N661" i="3" s="1"/>
  <c r="N662" i="3" s="1"/>
  <c r="N663" i="3" s="1"/>
  <c r="N664" i="3" s="1"/>
  <c r="N665" i="3" s="1"/>
  <c r="N666" i="3" s="1"/>
  <c r="N667" i="3" s="1"/>
  <c r="N668" i="3" s="1"/>
  <c r="N669" i="3" s="1"/>
  <c r="N670" i="3" s="1"/>
  <c r="N671" i="3" s="1"/>
  <c r="N672" i="3" s="1"/>
  <c r="N673" i="3" s="1"/>
  <c r="N674" i="3" s="1"/>
  <c r="N675" i="3" s="1"/>
  <c r="N676" i="3" s="1"/>
  <c r="N677" i="3" s="1"/>
  <c r="N678" i="3" s="1"/>
  <c r="N679" i="3" s="1"/>
  <c r="N680" i="3" s="1"/>
  <c r="N681" i="3" s="1"/>
  <c r="N682" i="3" s="1"/>
  <c r="N683" i="3" s="1"/>
  <c r="N684" i="3" s="1"/>
  <c r="N685" i="3" s="1"/>
  <c r="N686" i="3" s="1"/>
  <c r="N687" i="3" s="1"/>
  <c r="N688" i="3" s="1"/>
  <c r="N689" i="3" s="1"/>
  <c r="N690" i="3" s="1"/>
  <c r="N691" i="3" s="1"/>
  <c r="N692" i="3" s="1"/>
  <c r="N693" i="3" s="1"/>
  <c r="N694" i="3" s="1"/>
  <c r="N695" i="3" s="1"/>
  <c r="N696" i="3" s="1"/>
  <c r="N697" i="3" s="1"/>
  <c r="N698" i="3" s="1"/>
  <c r="N699" i="3" s="1"/>
  <c r="N700" i="3" s="1"/>
  <c r="N701" i="3" s="1"/>
  <c r="N702" i="3" s="1"/>
  <c r="N703" i="3" s="1"/>
  <c r="N704" i="3" s="1"/>
  <c r="N705" i="3" s="1"/>
  <c r="N706" i="3" s="1"/>
  <c r="N707" i="3" s="1"/>
  <c r="N708" i="3" s="1"/>
  <c r="N709" i="3" s="1"/>
  <c r="N710" i="3" s="1"/>
  <c r="N711" i="3" s="1"/>
  <c r="N712" i="3" s="1"/>
  <c r="N713" i="3" s="1"/>
  <c r="N714" i="3" s="1"/>
  <c r="N715" i="3" s="1"/>
  <c r="N716" i="3" s="1"/>
  <c r="N717" i="3" s="1"/>
  <c r="N718" i="3" s="1"/>
  <c r="N719" i="3" s="1"/>
  <c r="N720" i="3" s="1"/>
  <c r="N721" i="3" s="1"/>
  <c r="N722" i="3" s="1"/>
  <c r="N723" i="3" s="1"/>
  <c r="N724" i="3" s="1"/>
  <c r="N725" i="3" s="1"/>
  <c r="N726" i="3" s="1"/>
  <c r="N727" i="3" s="1"/>
  <c r="N728" i="3" s="1"/>
  <c r="N729" i="3" s="1"/>
  <c r="N730" i="3" s="1"/>
  <c r="N731" i="3" s="1"/>
  <c r="N732" i="3" s="1"/>
  <c r="N733" i="3" s="1"/>
  <c r="N734" i="3" s="1"/>
  <c r="N735" i="3" s="1"/>
  <c r="N736" i="3" s="1"/>
  <c r="N737" i="3" s="1"/>
  <c r="N738" i="3" s="1"/>
  <c r="N739" i="3" s="1"/>
  <c r="N740" i="3" s="1"/>
  <c r="N741" i="3" s="1"/>
  <c r="N742" i="3" s="1"/>
  <c r="N743" i="3" s="1"/>
  <c r="N744" i="3" s="1"/>
  <c r="N745" i="3" s="1"/>
  <c r="N746" i="3" s="1"/>
  <c r="N747" i="3" s="1"/>
  <c r="N748" i="3" s="1"/>
  <c r="N749" i="3" s="1"/>
  <c r="N750" i="3" s="1"/>
  <c r="N751" i="3" s="1"/>
  <c r="N752" i="3" s="1"/>
  <c r="N753" i="3" s="1"/>
  <c r="N754" i="3" s="1"/>
  <c r="N755" i="3" s="1"/>
  <c r="N756" i="3" s="1"/>
  <c r="N757" i="3" s="1"/>
  <c r="N758" i="3" s="1"/>
  <c r="N759" i="3" s="1"/>
  <c r="N760" i="3" s="1"/>
  <c r="N761" i="3" s="1"/>
  <c r="N762" i="3" s="1"/>
  <c r="N763" i="3" s="1"/>
  <c r="N764" i="3" s="1"/>
  <c r="N765" i="3" s="1"/>
  <c r="N766" i="3" s="1"/>
  <c r="N767" i="3" s="1"/>
  <c r="N768" i="3" s="1"/>
  <c r="N769" i="3" s="1"/>
  <c r="N770" i="3" s="1"/>
  <c r="N771" i="3" s="1"/>
  <c r="N772" i="3" s="1"/>
  <c r="N773" i="3" s="1"/>
  <c r="N774" i="3" s="1"/>
  <c r="N775" i="3" s="1"/>
  <c r="N776" i="3" s="1"/>
  <c r="N777" i="3" s="1"/>
  <c r="N778" i="3" s="1"/>
  <c r="N779" i="3" s="1"/>
  <c r="N780" i="3" s="1"/>
  <c r="N781" i="3" s="1"/>
  <c r="N782" i="3" s="1"/>
  <c r="N783" i="3" s="1"/>
  <c r="N784" i="3" s="1"/>
  <c r="N785" i="3" s="1"/>
  <c r="N786" i="3" s="1"/>
  <c r="N787" i="3" s="1"/>
  <c r="N788" i="3" s="1"/>
  <c r="N789" i="3" s="1"/>
  <c r="N790" i="3" s="1"/>
  <c r="N791" i="3" s="1"/>
  <c r="N792" i="3" s="1"/>
  <c r="N793" i="3" s="1"/>
  <c r="N794" i="3" s="1"/>
  <c r="N795" i="3" s="1"/>
  <c r="N796" i="3" s="1"/>
  <c r="N797" i="3" s="1"/>
  <c r="N798" i="3" s="1"/>
  <c r="N799" i="3" s="1"/>
  <c r="N800" i="3" s="1"/>
  <c r="N801" i="3" s="1"/>
  <c r="N802" i="3" s="1"/>
  <c r="N803" i="3" s="1"/>
  <c r="N804" i="3" s="1"/>
  <c r="N805" i="3" s="1"/>
  <c r="N806" i="3" s="1"/>
  <c r="N807" i="3" s="1"/>
  <c r="N808" i="3" s="1"/>
  <c r="N809" i="3" s="1"/>
  <c r="N810" i="3" s="1"/>
  <c r="N811" i="3" s="1"/>
  <c r="N812" i="3" s="1"/>
  <c r="N813" i="3" s="1"/>
  <c r="N814" i="3" s="1"/>
  <c r="N815" i="3" s="1"/>
  <c r="N816" i="3" s="1"/>
  <c r="N817" i="3" s="1"/>
  <c r="N818" i="3" s="1"/>
  <c r="N819" i="3" s="1"/>
  <c r="N820" i="3" s="1"/>
  <c r="N821" i="3" s="1"/>
  <c r="N822" i="3" s="1"/>
  <c r="N823" i="3" s="1"/>
  <c r="N824" i="3" s="1"/>
  <c r="N825" i="3" s="1"/>
  <c r="N826" i="3" s="1"/>
  <c r="N827" i="3" s="1"/>
  <c r="N828" i="3" s="1"/>
  <c r="N829" i="3" s="1"/>
  <c r="N830" i="3" s="1"/>
  <c r="N831" i="3" s="1"/>
  <c r="N832" i="3" s="1"/>
  <c r="N833" i="3" s="1"/>
  <c r="N834" i="3" s="1"/>
  <c r="N835" i="3" s="1"/>
  <c r="N836" i="3" s="1"/>
  <c r="N837" i="3" s="1"/>
  <c r="N838" i="3" s="1"/>
  <c r="N839" i="3" s="1"/>
  <c r="N840" i="3" s="1"/>
  <c r="N841" i="3" s="1"/>
  <c r="N842" i="3" s="1"/>
  <c r="N843" i="3" s="1"/>
  <c r="N844" i="3" s="1"/>
  <c r="N845" i="3" s="1"/>
  <c r="N846" i="3" s="1"/>
  <c r="N847" i="3" s="1"/>
  <c r="N848" i="3" s="1"/>
  <c r="N849" i="3" s="1"/>
  <c r="N850" i="3" s="1"/>
  <c r="N851" i="3" s="1"/>
  <c r="N852" i="3" s="1"/>
  <c r="N853" i="3" s="1"/>
  <c r="N854" i="3" s="1"/>
  <c r="N855" i="3" s="1"/>
  <c r="N856" i="3" s="1"/>
  <c r="N857" i="3" s="1"/>
  <c r="N858" i="3" s="1"/>
  <c r="N859" i="3" s="1"/>
  <c r="N860" i="3" s="1"/>
  <c r="N861" i="3" s="1"/>
  <c r="N862" i="3" s="1"/>
  <c r="N863" i="3" s="1"/>
  <c r="N864" i="3" s="1"/>
  <c r="N865" i="3" s="1"/>
  <c r="N866" i="3" s="1"/>
  <c r="N867" i="3" s="1"/>
  <c r="N868" i="3" s="1"/>
  <c r="N869" i="3" s="1"/>
  <c r="N870" i="3" s="1"/>
  <c r="N871" i="3" s="1"/>
  <c r="N872" i="3" s="1"/>
  <c r="N873" i="3" s="1"/>
  <c r="N874" i="3" s="1"/>
  <c r="N875" i="3" s="1"/>
  <c r="N876" i="3" s="1"/>
  <c r="N877" i="3" s="1"/>
  <c r="N878" i="3" s="1"/>
  <c r="N879" i="3" s="1"/>
  <c r="N880" i="3" s="1"/>
  <c r="N881" i="3" s="1"/>
  <c r="N882" i="3" s="1"/>
  <c r="N883" i="3" s="1"/>
  <c r="N884" i="3" s="1"/>
  <c r="N885" i="3" s="1"/>
  <c r="N886" i="3" s="1"/>
  <c r="N887" i="3" s="1"/>
  <c r="N888" i="3" s="1"/>
  <c r="N889" i="3" s="1"/>
  <c r="N890" i="3" s="1"/>
  <c r="N891" i="3" s="1"/>
  <c r="N892" i="3" s="1"/>
  <c r="N893" i="3" s="1"/>
  <c r="N894" i="3" s="1"/>
  <c r="N895" i="3" s="1"/>
  <c r="N896" i="3" s="1"/>
  <c r="N897" i="3" s="1"/>
  <c r="N898" i="3" s="1"/>
  <c r="N899" i="3" s="1"/>
  <c r="N900" i="3" s="1"/>
  <c r="N901" i="3" s="1"/>
  <c r="N902" i="3" s="1"/>
  <c r="N903" i="3" s="1"/>
  <c r="N904" i="3" s="1"/>
  <c r="N905" i="3" s="1"/>
  <c r="N906" i="3" s="1"/>
  <c r="N907" i="3" s="1"/>
  <c r="N908" i="3" s="1"/>
  <c r="N909" i="3" s="1"/>
  <c r="N910" i="3" s="1"/>
  <c r="N911" i="3" s="1"/>
  <c r="N912" i="3" s="1"/>
  <c r="N913" i="3" s="1"/>
  <c r="N914" i="3" s="1"/>
  <c r="N915" i="3" s="1"/>
  <c r="N916" i="3" s="1"/>
  <c r="N917" i="3" s="1"/>
  <c r="N918" i="3" s="1"/>
  <c r="N919" i="3" s="1"/>
  <c r="N920" i="3" s="1"/>
  <c r="N921" i="3" s="1"/>
  <c r="N922" i="3" s="1"/>
  <c r="N923" i="3" s="1"/>
  <c r="N924" i="3" s="1"/>
  <c r="N925" i="3" s="1"/>
  <c r="N926" i="3" s="1"/>
  <c r="N927" i="3" s="1"/>
  <c r="N928" i="3" s="1"/>
  <c r="N929" i="3" s="1"/>
  <c r="N930" i="3" s="1"/>
  <c r="N931" i="3" s="1"/>
  <c r="N932" i="3" s="1"/>
  <c r="N933" i="3" s="1"/>
  <c r="N934" i="3" s="1"/>
  <c r="N935" i="3" s="1"/>
  <c r="N936" i="3" s="1"/>
  <c r="N937" i="3" s="1"/>
  <c r="N938" i="3" s="1"/>
  <c r="N939" i="3" s="1"/>
  <c r="N940" i="3" s="1"/>
  <c r="N941" i="3" s="1"/>
  <c r="N942" i="3" s="1"/>
  <c r="N943" i="3" s="1"/>
  <c r="N944" i="3" s="1"/>
  <c r="N945" i="3" s="1"/>
  <c r="N946" i="3" s="1"/>
  <c r="N947" i="3" s="1"/>
  <c r="N948" i="3" s="1"/>
  <c r="N949" i="3" s="1"/>
  <c r="N950" i="3" s="1"/>
  <c r="N951" i="3" s="1"/>
  <c r="N952" i="3" s="1"/>
  <c r="N953" i="3" s="1"/>
  <c r="N954" i="3" s="1"/>
  <c r="N955" i="3" s="1"/>
  <c r="N956" i="3" s="1"/>
  <c r="N957" i="3" s="1"/>
  <c r="N958" i="3" s="1"/>
  <c r="N959" i="3" s="1"/>
  <c r="N960" i="3" s="1"/>
  <c r="N961" i="3" s="1"/>
  <c r="N962" i="3" s="1"/>
  <c r="N963" i="3" s="1"/>
  <c r="N964" i="3" s="1"/>
  <c r="N965" i="3" s="1"/>
  <c r="N966" i="3" s="1"/>
  <c r="N967" i="3" s="1"/>
  <c r="N968" i="3" s="1"/>
  <c r="N969" i="3" s="1"/>
  <c r="N970" i="3" s="1"/>
  <c r="N971" i="3" s="1"/>
  <c r="N972" i="3" s="1"/>
  <c r="N973" i="3" s="1"/>
  <c r="N974" i="3" s="1"/>
  <c r="N975" i="3" s="1"/>
  <c r="N976" i="3" s="1"/>
  <c r="N977" i="3" s="1"/>
  <c r="N978" i="3" s="1"/>
  <c r="N979" i="3" s="1"/>
  <c r="N980" i="3" s="1"/>
  <c r="N981" i="3" s="1"/>
  <c r="N982" i="3" s="1"/>
  <c r="N983" i="3" s="1"/>
  <c r="N984" i="3" s="1"/>
  <c r="N985" i="3" s="1"/>
  <c r="N986" i="3" s="1"/>
  <c r="N987" i="3" s="1"/>
  <c r="N988" i="3" s="1"/>
  <c r="N989" i="3" s="1"/>
  <c r="N990" i="3" s="1"/>
  <c r="N991" i="3" s="1"/>
  <c r="N992" i="3" s="1"/>
  <c r="N993" i="3" s="1"/>
  <c r="N994" i="3" s="1"/>
  <c r="N995" i="3" s="1"/>
  <c r="N996" i="3" s="1"/>
  <c r="N997" i="3" s="1"/>
  <c r="N998" i="3" s="1"/>
  <c r="N999" i="3" s="1"/>
  <c r="N1000" i="3" s="1"/>
  <c r="N1001" i="3" s="1"/>
  <c r="N1002" i="3" s="1"/>
  <c r="N1003" i="3" s="1"/>
  <c r="N5" i="3"/>
  <c r="N6" i="3" s="1"/>
  <c r="Z4" i="3"/>
  <c r="Y4" i="3"/>
  <c r="X4" i="3"/>
  <c r="W4" i="3"/>
  <c r="D21" i="1"/>
  <c r="D22" i="1" s="1"/>
  <c r="B5" i="3"/>
  <c r="C5" i="3" s="1"/>
  <c r="C4" i="3"/>
  <c r="L4" i="3" s="1"/>
  <c r="O4" i="3" l="1"/>
  <c r="L5" i="3"/>
  <c r="K5" i="3"/>
  <c r="I5" i="3"/>
  <c r="H5" i="3"/>
  <c r="F5" i="3"/>
  <c r="E5" i="3"/>
  <c r="B6" i="3"/>
  <c r="E4" i="3"/>
  <c r="F4" i="3"/>
  <c r="H4" i="3"/>
  <c r="I4" i="3"/>
  <c r="K4" i="3"/>
  <c r="D39" i="1"/>
  <c r="D40" i="1" s="1"/>
  <c r="D30" i="1"/>
  <c r="D31" i="1" s="1"/>
  <c r="D23" i="1"/>
  <c r="P4" i="3" s="1"/>
  <c r="D32" i="1"/>
  <c r="D41" i="1"/>
  <c r="R4" i="3" l="1"/>
  <c r="Q4" i="3"/>
  <c r="S4" i="3"/>
  <c r="T4" i="3"/>
  <c r="C6" i="3"/>
  <c r="B7" i="3"/>
  <c r="U4" i="3" l="1"/>
  <c r="V4" i="3"/>
  <c r="C7" i="3"/>
  <c r="B8" i="3"/>
  <c r="L6" i="3"/>
  <c r="K6" i="3"/>
  <c r="I6" i="3"/>
  <c r="H6" i="3"/>
  <c r="F6" i="3"/>
  <c r="E6" i="3"/>
  <c r="Z5" i="3" l="1"/>
  <c r="X5" i="3"/>
  <c r="Y5" i="3"/>
  <c r="W5" i="3"/>
  <c r="C8" i="3"/>
  <c r="B9" i="3"/>
  <c r="L7" i="3"/>
  <c r="K7" i="3"/>
  <c r="I7" i="3"/>
  <c r="H7" i="3"/>
  <c r="F7" i="3"/>
  <c r="E7" i="3"/>
  <c r="O5" i="3" l="1"/>
  <c r="Q5" i="3"/>
  <c r="S5" i="3"/>
  <c r="P5" i="3"/>
  <c r="R5" i="3"/>
  <c r="T5" i="3"/>
  <c r="C9" i="3"/>
  <c r="B10" i="3"/>
  <c r="L8" i="3"/>
  <c r="K8" i="3"/>
  <c r="I8" i="3"/>
  <c r="H8" i="3"/>
  <c r="F8" i="3"/>
  <c r="E8" i="3"/>
  <c r="V5" i="3" l="1"/>
  <c r="U5" i="3"/>
  <c r="L9" i="3"/>
  <c r="K9" i="3"/>
  <c r="I9" i="3"/>
  <c r="H9" i="3"/>
  <c r="F9" i="3"/>
  <c r="E9" i="3"/>
  <c r="C10" i="3"/>
  <c r="B11" i="3"/>
  <c r="W6" i="3" l="1"/>
  <c r="Y6" i="3"/>
  <c r="Z6" i="3"/>
  <c r="X6" i="3"/>
  <c r="C11" i="3"/>
  <c r="B12" i="3"/>
  <c r="L10" i="3"/>
  <c r="K10" i="3"/>
  <c r="I10" i="3"/>
  <c r="H10" i="3"/>
  <c r="F10" i="3"/>
  <c r="E10" i="3"/>
  <c r="P6" i="3" l="1"/>
  <c r="R6" i="3"/>
  <c r="T6" i="3"/>
  <c r="O6" i="3"/>
  <c r="Q6" i="3"/>
  <c r="S6" i="3"/>
  <c r="L11" i="3"/>
  <c r="K11" i="3"/>
  <c r="I11" i="3"/>
  <c r="H11" i="3"/>
  <c r="F11" i="3"/>
  <c r="E11" i="3"/>
  <c r="C12" i="3"/>
  <c r="B13" i="3"/>
  <c r="V6" i="3" l="1"/>
  <c r="U6" i="3"/>
  <c r="C13" i="3"/>
  <c r="B14" i="3"/>
  <c r="L12" i="3"/>
  <c r="K12" i="3"/>
  <c r="I12" i="3"/>
  <c r="H12" i="3"/>
  <c r="F12" i="3"/>
  <c r="E12" i="3"/>
  <c r="W7" i="3" l="1"/>
  <c r="Y7" i="3"/>
  <c r="X7" i="3"/>
  <c r="Z7" i="3"/>
  <c r="C14" i="3"/>
  <c r="B15" i="3"/>
  <c r="L13" i="3"/>
  <c r="K13" i="3"/>
  <c r="I13" i="3"/>
  <c r="H13" i="3"/>
  <c r="F13" i="3"/>
  <c r="E13" i="3"/>
  <c r="P7" i="3" l="1"/>
  <c r="R7" i="3"/>
  <c r="T7" i="3"/>
  <c r="O7" i="3"/>
  <c r="Q7" i="3"/>
  <c r="S7" i="3"/>
  <c r="C15" i="3"/>
  <c r="B16" i="3"/>
  <c r="C16" i="3" s="1"/>
  <c r="L14" i="3"/>
  <c r="K14" i="3"/>
  <c r="I14" i="3"/>
  <c r="H14" i="3"/>
  <c r="F14" i="3"/>
  <c r="E14" i="3"/>
  <c r="V7" i="3" l="1"/>
  <c r="U7" i="3"/>
  <c r="L16" i="3"/>
  <c r="K16" i="3"/>
  <c r="I16" i="3"/>
  <c r="H16" i="3"/>
  <c r="F16" i="3"/>
  <c r="E16" i="3"/>
  <c r="L15" i="3"/>
  <c r="K15" i="3"/>
  <c r="I15" i="3"/>
  <c r="H15" i="3"/>
  <c r="F15" i="3"/>
  <c r="E15" i="3"/>
  <c r="W8" i="3" l="1"/>
  <c r="Y8" i="3"/>
  <c r="Z8" i="3"/>
  <c r="X8" i="3"/>
  <c r="O8" i="3" l="1"/>
  <c r="Q8" i="3"/>
  <c r="S8" i="3"/>
  <c r="P8" i="3"/>
  <c r="R8" i="3"/>
  <c r="T8" i="3"/>
  <c r="U8" i="3" l="1"/>
  <c r="V8" i="3"/>
  <c r="Z9" i="3" l="1"/>
  <c r="X9" i="3"/>
  <c r="Y9" i="3"/>
  <c r="W9" i="3"/>
  <c r="O9" i="3" l="1"/>
  <c r="Q9" i="3"/>
  <c r="S9" i="3"/>
  <c r="P9" i="3"/>
  <c r="R9" i="3"/>
  <c r="T9" i="3"/>
  <c r="U9" i="3" l="1"/>
  <c r="V9" i="3"/>
  <c r="X10" i="3" l="1"/>
  <c r="Z10" i="3"/>
  <c r="W10" i="3"/>
  <c r="Y10" i="3"/>
  <c r="P10" i="3" l="1"/>
  <c r="R10" i="3"/>
  <c r="T10" i="3"/>
  <c r="O10" i="3"/>
  <c r="S10" i="3"/>
  <c r="Q10" i="3"/>
  <c r="V10" i="3" l="1"/>
  <c r="U10" i="3"/>
  <c r="W11" i="3" l="1"/>
  <c r="Y11" i="3"/>
  <c r="Z11" i="3"/>
  <c r="X11" i="3"/>
  <c r="P11" i="3" l="1"/>
  <c r="R11" i="3"/>
  <c r="T11" i="3"/>
  <c r="O11" i="3"/>
  <c r="U11" i="3" s="1"/>
  <c r="W12" i="3" s="1"/>
  <c r="S11" i="3"/>
  <c r="Q11" i="3"/>
  <c r="V11" i="3" l="1"/>
  <c r="Y12" i="3"/>
  <c r="X12" i="3" l="1"/>
  <c r="Z12" i="3"/>
  <c r="P12" i="3" l="1"/>
  <c r="R12" i="3"/>
  <c r="T12" i="3"/>
  <c r="Q12" i="3"/>
  <c r="S12" i="3"/>
  <c r="O12" i="3"/>
  <c r="U12" i="3" s="1"/>
  <c r="V12" i="3" l="1"/>
  <c r="W13" i="3"/>
  <c r="Y13" i="3"/>
  <c r="S13" i="3" l="1"/>
  <c r="Z13" i="3"/>
  <c r="O13" i="3" s="1"/>
  <c r="X13" i="3"/>
  <c r="P13" i="3" l="1"/>
  <c r="R13" i="3"/>
  <c r="T13" i="3"/>
  <c r="Q13" i="3"/>
  <c r="U13" i="3" s="1"/>
  <c r="Y14" i="3" l="1"/>
  <c r="W14" i="3"/>
  <c r="V13" i="3"/>
  <c r="X14" i="3" l="1"/>
  <c r="Z14" i="3"/>
  <c r="O14" i="3"/>
  <c r="Q14" i="3"/>
  <c r="P14" i="3" l="1"/>
  <c r="R14" i="3"/>
  <c r="T14" i="3"/>
  <c r="S14" i="3"/>
  <c r="U14" i="3" s="1"/>
  <c r="W15" i="3" l="1"/>
  <c r="Y15" i="3"/>
  <c r="V14" i="3"/>
  <c r="X15" i="3" l="1"/>
  <c r="Z15" i="3"/>
  <c r="P15" i="3" l="1"/>
  <c r="R15" i="3"/>
  <c r="T15" i="3"/>
  <c r="Q15" i="3"/>
  <c r="S15" i="3"/>
  <c r="O15" i="3"/>
  <c r="V15" i="3" l="1"/>
  <c r="U15" i="3"/>
  <c r="Y16" i="3" l="1"/>
  <c r="W16" i="3"/>
  <c r="Z16" i="3"/>
  <c r="X16" i="3"/>
  <c r="P16" i="3" l="1"/>
  <c r="V16" i="3" s="1"/>
  <c r="X17" i="3" s="1"/>
  <c r="R16" i="3"/>
  <c r="T16" i="3"/>
  <c r="O16" i="3"/>
  <c r="Q16" i="3"/>
  <c r="S16" i="3"/>
  <c r="Z17" i="3" l="1"/>
  <c r="U16" i="3"/>
  <c r="W17" i="3" l="1"/>
  <c r="Y17" i="3"/>
  <c r="O17" i="3" l="1"/>
  <c r="Q17" i="3"/>
  <c r="S17" i="3"/>
  <c r="T17" i="3"/>
  <c r="R17" i="3"/>
  <c r="P17" i="3"/>
  <c r="U17" i="3" l="1"/>
  <c r="V17" i="3"/>
  <c r="X18" i="3" l="1"/>
  <c r="Z18" i="3"/>
  <c r="Y18" i="3"/>
  <c r="W18" i="3"/>
  <c r="P18" i="3" l="1"/>
  <c r="T18" i="3"/>
  <c r="R18" i="3"/>
  <c r="O18" i="3"/>
  <c r="Q18" i="3"/>
  <c r="S18" i="3"/>
  <c r="V18" i="3" l="1"/>
  <c r="U18" i="3"/>
  <c r="Y19" i="3" l="1"/>
  <c r="W19" i="3"/>
  <c r="Z19" i="3"/>
  <c r="X19" i="3"/>
  <c r="P19" i="3" l="1"/>
  <c r="V19" i="3" s="1"/>
  <c r="X20" i="3" s="1"/>
  <c r="R19" i="3"/>
  <c r="T19" i="3"/>
  <c r="O19" i="3"/>
  <c r="Q19" i="3"/>
  <c r="S19" i="3"/>
  <c r="U19" i="3" l="1"/>
  <c r="Z20" i="3"/>
  <c r="W20" i="3" l="1"/>
  <c r="Y20" i="3"/>
  <c r="O20" i="3" l="1"/>
  <c r="Q20" i="3"/>
  <c r="S20" i="3"/>
  <c r="R20" i="3"/>
  <c r="T20" i="3"/>
  <c r="P20" i="3"/>
  <c r="U20" i="3" l="1"/>
  <c r="V20" i="3"/>
  <c r="X21" i="3" l="1"/>
  <c r="Z21" i="3"/>
  <c r="Y21" i="3"/>
  <c r="W21" i="3"/>
  <c r="O21" i="3" l="1"/>
  <c r="Q21" i="3"/>
  <c r="S21" i="3"/>
  <c r="P21" i="3"/>
  <c r="R21" i="3"/>
  <c r="T21" i="3"/>
  <c r="U21" i="3" l="1"/>
  <c r="V21" i="3"/>
  <c r="X22" i="3" l="1"/>
  <c r="Z22" i="3"/>
  <c r="Y22" i="3"/>
  <c r="W22" i="3"/>
  <c r="P22" i="3" l="1"/>
  <c r="R22" i="3"/>
  <c r="T22" i="3"/>
  <c r="O22" i="3"/>
  <c r="Q22" i="3"/>
  <c r="S22" i="3"/>
  <c r="V22" i="3" l="1"/>
  <c r="U22" i="3"/>
  <c r="W23" i="3" l="1"/>
  <c r="Y23" i="3"/>
  <c r="Z23" i="3"/>
  <c r="X23" i="3"/>
  <c r="O23" i="3" l="1"/>
  <c r="Q23" i="3"/>
  <c r="S23" i="3"/>
  <c r="P23" i="3"/>
  <c r="R23" i="3"/>
  <c r="T23" i="3"/>
  <c r="U23" i="3" l="1"/>
  <c r="V23" i="3"/>
  <c r="X24" i="3" l="1"/>
  <c r="Z24" i="3"/>
  <c r="Y24" i="3"/>
  <c r="W24" i="3"/>
  <c r="P24" i="3" l="1"/>
  <c r="R24" i="3"/>
  <c r="T24" i="3"/>
  <c r="O24" i="3"/>
  <c r="Q24" i="3"/>
  <c r="S24" i="3"/>
  <c r="V24" i="3" l="1"/>
  <c r="U24" i="3"/>
  <c r="W25" i="3" l="1"/>
  <c r="Y25" i="3"/>
  <c r="Z25" i="3"/>
  <c r="X25" i="3"/>
  <c r="O25" i="3" l="1"/>
  <c r="Q25" i="3"/>
  <c r="S25" i="3"/>
  <c r="P25" i="3"/>
  <c r="R25" i="3"/>
  <c r="T25" i="3"/>
  <c r="U25" i="3" l="1"/>
  <c r="V25" i="3"/>
  <c r="X26" i="3" l="1"/>
  <c r="Z26" i="3"/>
  <c r="Y26" i="3"/>
  <c r="W26" i="3"/>
  <c r="P26" i="3" l="1"/>
  <c r="R26" i="3"/>
  <c r="T26" i="3"/>
  <c r="O26" i="3"/>
  <c r="Q26" i="3"/>
  <c r="S26" i="3"/>
  <c r="V26" i="3" l="1"/>
  <c r="U26" i="3"/>
  <c r="W27" i="3" l="1"/>
  <c r="Y27" i="3"/>
  <c r="Z27" i="3"/>
  <c r="X27" i="3"/>
  <c r="O27" i="3" l="1"/>
  <c r="Q27" i="3"/>
  <c r="S27" i="3"/>
  <c r="P27" i="3"/>
  <c r="R27" i="3"/>
  <c r="T27" i="3"/>
  <c r="U27" i="3" l="1"/>
  <c r="V27" i="3"/>
  <c r="X28" i="3" l="1"/>
  <c r="Z28" i="3"/>
  <c r="Y28" i="3"/>
  <c r="W28" i="3"/>
  <c r="P28" i="3" l="1"/>
  <c r="R28" i="3"/>
  <c r="T28" i="3"/>
  <c r="O28" i="3"/>
  <c r="Q28" i="3"/>
  <c r="S28" i="3"/>
  <c r="V28" i="3" l="1"/>
  <c r="U28" i="3"/>
  <c r="W29" i="3" l="1"/>
  <c r="Y29" i="3"/>
  <c r="Z29" i="3"/>
  <c r="X29" i="3"/>
  <c r="O29" i="3" l="1"/>
  <c r="Q29" i="3"/>
  <c r="S29" i="3"/>
  <c r="P29" i="3"/>
  <c r="R29" i="3"/>
  <c r="T29" i="3"/>
  <c r="U29" i="3" l="1"/>
  <c r="V29" i="3"/>
  <c r="X30" i="3" l="1"/>
  <c r="Z30" i="3"/>
  <c r="Y30" i="3"/>
  <c r="W30" i="3"/>
  <c r="P30" i="3" l="1"/>
  <c r="R30" i="3"/>
  <c r="T30" i="3"/>
  <c r="O30" i="3"/>
  <c r="Q30" i="3"/>
  <c r="S30" i="3"/>
  <c r="V30" i="3" l="1"/>
  <c r="U30" i="3"/>
  <c r="Y31" i="3" l="1"/>
  <c r="W31" i="3"/>
  <c r="Z31" i="3"/>
  <c r="X31" i="3"/>
  <c r="P31" i="3" l="1"/>
  <c r="V31" i="3" s="1"/>
  <c r="X32" i="3" s="1"/>
  <c r="R31" i="3"/>
  <c r="T31" i="3"/>
  <c r="O31" i="3"/>
  <c r="Q31" i="3"/>
  <c r="S31" i="3"/>
  <c r="Z32" i="3" l="1"/>
  <c r="U31" i="3"/>
  <c r="W32" i="3" l="1"/>
  <c r="Y32" i="3"/>
  <c r="O32" i="3" l="1"/>
  <c r="Q32" i="3"/>
  <c r="S32" i="3"/>
  <c r="T32" i="3"/>
  <c r="R32" i="3"/>
  <c r="P32" i="3"/>
  <c r="U32" i="3" l="1"/>
  <c r="V32" i="3"/>
  <c r="X33" i="3" l="1"/>
  <c r="Z33" i="3"/>
  <c r="Y33" i="3"/>
  <c r="W33" i="3"/>
  <c r="P33" i="3" l="1"/>
  <c r="R33" i="3"/>
  <c r="T33" i="3"/>
  <c r="O33" i="3"/>
  <c r="Q33" i="3"/>
  <c r="S33" i="3"/>
  <c r="V33" i="3" l="1"/>
  <c r="U33" i="3"/>
  <c r="W34" i="3" l="1"/>
  <c r="Y34" i="3"/>
  <c r="Z34" i="3"/>
  <c r="X34" i="3"/>
  <c r="O34" i="3" l="1"/>
  <c r="Q34" i="3"/>
  <c r="S34" i="3"/>
  <c r="P34" i="3"/>
  <c r="R34" i="3"/>
  <c r="T34" i="3"/>
  <c r="U34" i="3" l="1"/>
  <c r="V34" i="3"/>
  <c r="X35" i="3" l="1"/>
  <c r="Z35" i="3"/>
  <c r="Y35" i="3"/>
  <c r="W35" i="3"/>
  <c r="P35" i="3" l="1"/>
  <c r="R35" i="3"/>
  <c r="T35" i="3"/>
  <c r="O35" i="3"/>
  <c r="Q35" i="3"/>
  <c r="S35" i="3"/>
  <c r="V35" i="3" l="1"/>
  <c r="U35" i="3"/>
  <c r="W36" i="3" l="1"/>
  <c r="Y36" i="3"/>
  <c r="Z36" i="3"/>
  <c r="X36" i="3"/>
  <c r="O36" i="3" l="1"/>
  <c r="Q36" i="3"/>
  <c r="S36" i="3"/>
  <c r="P36" i="3"/>
  <c r="T36" i="3"/>
  <c r="R36" i="3"/>
  <c r="U36" i="3" l="1"/>
  <c r="V36" i="3"/>
  <c r="X37" i="3" l="1"/>
  <c r="Z37" i="3"/>
  <c r="Y37" i="3"/>
  <c r="W37" i="3"/>
  <c r="P37" i="3" l="1"/>
  <c r="R37" i="3"/>
  <c r="T37" i="3"/>
  <c r="O37" i="3"/>
  <c r="Q37" i="3"/>
  <c r="S37" i="3"/>
  <c r="V37" i="3" l="1"/>
  <c r="U37" i="3"/>
  <c r="Y38" i="3" l="1"/>
  <c r="W38" i="3"/>
  <c r="Z38" i="3"/>
  <c r="X38" i="3"/>
  <c r="P38" i="3" l="1"/>
  <c r="R38" i="3"/>
  <c r="T38" i="3"/>
  <c r="O38" i="3"/>
  <c r="Q38" i="3"/>
  <c r="S38" i="3"/>
  <c r="U38" i="3" l="1"/>
  <c r="V38" i="3"/>
  <c r="Z39" i="3" l="1"/>
  <c r="X39" i="3"/>
  <c r="Y39" i="3"/>
  <c r="W39" i="3"/>
  <c r="O39" i="3" l="1"/>
  <c r="Q39" i="3"/>
  <c r="S39" i="3"/>
  <c r="P39" i="3"/>
  <c r="R39" i="3"/>
  <c r="T39" i="3"/>
  <c r="U39" i="3" l="1"/>
  <c r="V39" i="3"/>
  <c r="Z40" i="3" l="1"/>
  <c r="X40" i="3"/>
  <c r="W40" i="3"/>
  <c r="Y40" i="3"/>
  <c r="O40" i="3" l="1"/>
  <c r="Q40" i="3"/>
  <c r="S40" i="3"/>
  <c r="P40" i="3"/>
  <c r="R40" i="3"/>
  <c r="T40" i="3"/>
  <c r="V40" i="3" l="1"/>
  <c r="U40" i="3"/>
  <c r="Y41" i="3" l="1"/>
  <c r="W41" i="3"/>
  <c r="Z41" i="3"/>
  <c r="X41" i="3"/>
  <c r="P41" i="3" l="1"/>
  <c r="R41" i="3"/>
  <c r="T41" i="3"/>
  <c r="O41" i="3"/>
  <c r="Q41" i="3"/>
  <c r="S41" i="3"/>
  <c r="V41" i="3" l="1"/>
  <c r="U41" i="3"/>
  <c r="Y42" i="3" l="1"/>
  <c r="W42" i="3"/>
  <c r="X42" i="3"/>
  <c r="Z42" i="3"/>
  <c r="P42" i="3" l="1"/>
  <c r="R42" i="3"/>
  <c r="T42" i="3"/>
  <c r="O42" i="3"/>
  <c r="Q42" i="3"/>
  <c r="S42" i="3"/>
  <c r="V42" i="3" l="1"/>
  <c r="U42" i="3"/>
  <c r="Y43" i="3" l="1"/>
  <c r="W43" i="3"/>
  <c r="Z43" i="3"/>
  <c r="X43" i="3"/>
  <c r="P43" i="3" l="1"/>
  <c r="R43" i="3"/>
  <c r="T43" i="3"/>
  <c r="O43" i="3"/>
  <c r="Q43" i="3"/>
  <c r="S43" i="3"/>
  <c r="V43" i="3" l="1"/>
  <c r="U43" i="3"/>
  <c r="Y44" i="3" l="1"/>
  <c r="W44" i="3"/>
  <c r="X44" i="3"/>
  <c r="Z44" i="3"/>
  <c r="P44" i="3" l="1"/>
  <c r="R44" i="3"/>
  <c r="T44" i="3"/>
  <c r="O44" i="3"/>
  <c r="Q44" i="3"/>
  <c r="S44" i="3"/>
  <c r="U44" i="3" l="1"/>
  <c r="V44" i="3"/>
  <c r="Z45" i="3" l="1"/>
  <c r="X45" i="3"/>
  <c r="Y45" i="3"/>
  <c r="W45" i="3"/>
  <c r="O45" i="3" l="1"/>
  <c r="Q45" i="3"/>
  <c r="S45" i="3"/>
  <c r="P45" i="3"/>
  <c r="R45" i="3"/>
  <c r="T45" i="3"/>
  <c r="U45" i="3" l="1"/>
  <c r="V45" i="3"/>
  <c r="Z46" i="3" l="1"/>
  <c r="X46" i="3"/>
  <c r="W46" i="3"/>
  <c r="Y46" i="3"/>
  <c r="O46" i="3" l="1"/>
  <c r="S46" i="3"/>
  <c r="Q46" i="3"/>
  <c r="P46" i="3"/>
  <c r="R46" i="3"/>
  <c r="T46" i="3"/>
  <c r="V46" i="3" l="1"/>
  <c r="U46" i="3"/>
  <c r="Y47" i="3" l="1"/>
  <c r="W47" i="3"/>
  <c r="X47" i="3"/>
  <c r="Z47" i="3"/>
  <c r="P47" i="3" l="1"/>
  <c r="R47" i="3"/>
  <c r="T47" i="3"/>
  <c r="O47" i="3"/>
  <c r="S47" i="3"/>
  <c r="Q47" i="3"/>
  <c r="U47" i="3" l="1"/>
  <c r="V47" i="3"/>
  <c r="Z48" i="3" l="1"/>
  <c r="X48" i="3"/>
  <c r="W48" i="3"/>
  <c r="Y48" i="3"/>
  <c r="O48" i="3" l="1"/>
  <c r="Q48" i="3"/>
  <c r="S48" i="3"/>
  <c r="P48" i="3"/>
  <c r="R48" i="3"/>
  <c r="T48" i="3"/>
  <c r="V48" i="3" l="1"/>
  <c r="U48" i="3"/>
  <c r="Y49" i="3" l="1"/>
  <c r="W49" i="3"/>
  <c r="Z49" i="3"/>
  <c r="X49" i="3"/>
  <c r="P49" i="3" l="1"/>
  <c r="V49" i="3" s="1"/>
  <c r="X50" i="3" s="1"/>
  <c r="R49" i="3"/>
  <c r="T49" i="3"/>
  <c r="O49" i="3"/>
  <c r="Q49" i="3"/>
  <c r="S49" i="3"/>
  <c r="Z50" i="3" l="1"/>
  <c r="U49" i="3"/>
  <c r="W50" i="3" l="1"/>
  <c r="Y50" i="3"/>
  <c r="T50" i="3"/>
  <c r="O50" i="3" l="1"/>
  <c r="Q50" i="3"/>
  <c r="S50" i="3"/>
  <c r="R50" i="3"/>
  <c r="P50" i="3"/>
  <c r="V50" i="3" s="1"/>
  <c r="X51" i="3" l="1"/>
  <c r="Z51" i="3"/>
  <c r="U50" i="3"/>
  <c r="Y51" i="3" l="1"/>
  <c r="W51" i="3"/>
  <c r="O51" i="3" l="1"/>
  <c r="Q51" i="3"/>
  <c r="S51" i="3"/>
  <c r="P51" i="3"/>
  <c r="V51" i="3" s="1"/>
  <c r="T51" i="3"/>
  <c r="R51" i="3"/>
  <c r="Z52" i="3" l="1"/>
  <c r="X52" i="3"/>
  <c r="U51" i="3"/>
  <c r="Y52" i="3" l="1"/>
  <c r="W52" i="3"/>
  <c r="P52" i="3"/>
  <c r="R52" i="3"/>
  <c r="O52" i="3" l="1"/>
  <c r="U52" i="3" s="1"/>
  <c r="W53" i="3" s="1"/>
  <c r="Q52" i="3"/>
  <c r="S52" i="3"/>
  <c r="T52" i="3"/>
  <c r="V52" i="3" s="1"/>
  <c r="X53" i="3" l="1"/>
  <c r="Z53" i="3"/>
  <c r="Y53" i="3"/>
  <c r="P53" i="3" l="1"/>
  <c r="R53" i="3"/>
  <c r="T53" i="3"/>
  <c r="O53" i="3"/>
  <c r="U53" i="3" s="1"/>
  <c r="W54" i="3" s="1"/>
  <c r="Q53" i="3"/>
  <c r="S53" i="3"/>
  <c r="Y54" i="3" l="1"/>
  <c r="V53" i="3"/>
  <c r="Z54" i="3" l="1"/>
  <c r="X54" i="3"/>
  <c r="O54" i="3"/>
  <c r="U54" i="3" s="1"/>
  <c r="W55" i="3" s="1"/>
  <c r="Q54" i="3"/>
  <c r="S54" i="3"/>
  <c r="Y55" i="3" l="1"/>
  <c r="P54" i="3"/>
  <c r="V54" i="3" s="1"/>
  <c r="X55" i="3" s="1"/>
  <c r="T54" i="3"/>
  <c r="R54" i="3"/>
  <c r="Z55" i="3" l="1"/>
  <c r="S55" i="3"/>
  <c r="P55" i="3" l="1"/>
  <c r="R55" i="3"/>
  <c r="T55" i="3"/>
  <c r="Q55" i="3"/>
  <c r="O55" i="3"/>
  <c r="U55" i="3" s="1"/>
  <c r="W56" i="3" l="1"/>
  <c r="Y56" i="3"/>
  <c r="V55" i="3"/>
  <c r="X56" i="3" l="1"/>
  <c r="Z56" i="3"/>
  <c r="P56" i="3" l="1"/>
  <c r="R56" i="3"/>
  <c r="T56" i="3"/>
  <c r="O56" i="3"/>
  <c r="U56" i="3" s="1"/>
  <c r="S56" i="3"/>
  <c r="Q56" i="3"/>
  <c r="Y57" i="3" l="1"/>
  <c r="W57" i="3"/>
  <c r="V56" i="3"/>
  <c r="Z57" i="3" l="1"/>
  <c r="X57" i="3"/>
  <c r="O57" i="3"/>
  <c r="Q57" i="3"/>
  <c r="P57" i="3" l="1"/>
  <c r="R57" i="3"/>
  <c r="T57" i="3"/>
  <c r="S57" i="3"/>
  <c r="U57" i="3" s="1"/>
  <c r="W58" i="3" l="1"/>
  <c r="Y58" i="3"/>
  <c r="V57" i="3"/>
  <c r="X58" i="3" l="1"/>
  <c r="Z58" i="3"/>
  <c r="P58" i="3" l="1"/>
  <c r="R58" i="3"/>
  <c r="T58" i="3"/>
  <c r="Q58" i="3"/>
  <c r="S58" i="3"/>
  <c r="O58" i="3"/>
  <c r="V58" i="3" l="1"/>
  <c r="U58" i="3"/>
  <c r="Y59" i="3" l="1"/>
  <c r="W59" i="3"/>
  <c r="Z59" i="3"/>
  <c r="X59" i="3"/>
  <c r="P59" i="3" l="1"/>
  <c r="R59" i="3"/>
  <c r="T59" i="3"/>
  <c r="O59" i="3"/>
  <c r="Q59" i="3"/>
  <c r="S59" i="3"/>
  <c r="V59" i="3" l="1"/>
  <c r="U59" i="3"/>
  <c r="Y60" i="3" l="1"/>
  <c r="W60" i="3"/>
  <c r="X60" i="3"/>
  <c r="Z60" i="3"/>
  <c r="P60" i="3" l="1"/>
  <c r="R60" i="3"/>
  <c r="T60" i="3"/>
  <c r="O60" i="3"/>
  <c r="Q60" i="3"/>
  <c r="S60" i="3"/>
  <c r="V60" i="3" l="1"/>
  <c r="U60" i="3"/>
  <c r="Y61" i="3" l="1"/>
  <c r="W61" i="3"/>
  <c r="Z61" i="3"/>
  <c r="X61" i="3"/>
  <c r="P61" i="3" l="1"/>
  <c r="T61" i="3"/>
  <c r="R61" i="3"/>
  <c r="O61" i="3"/>
  <c r="Q61" i="3"/>
  <c r="S61" i="3"/>
  <c r="V61" i="3" l="1"/>
  <c r="U61" i="3"/>
  <c r="Y62" i="3" l="1"/>
  <c r="W62" i="3"/>
  <c r="Z62" i="3"/>
  <c r="X62" i="3"/>
  <c r="P62" i="3" l="1"/>
  <c r="R62" i="3"/>
  <c r="T62" i="3"/>
  <c r="O62" i="3"/>
  <c r="Q62" i="3"/>
  <c r="S62" i="3"/>
  <c r="V62" i="3" l="1"/>
  <c r="U62" i="3"/>
  <c r="Y63" i="3" l="1"/>
  <c r="W63" i="3"/>
  <c r="X63" i="3"/>
  <c r="Z63" i="3"/>
  <c r="P63" i="3" l="1"/>
  <c r="R63" i="3"/>
  <c r="T63" i="3"/>
  <c r="O63" i="3"/>
  <c r="Q63" i="3"/>
  <c r="S63" i="3"/>
  <c r="V63" i="3" l="1"/>
  <c r="U63" i="3"/>
  <c r="Y64" i="3" l="1"/>
  <c r="W64" i="3"/>
  <c r="Z64" i="3"/>
  <c r="X64" i="3"/>
  <c r="P64" i="3" l="1"/>
  <c r="R64" i="3"/>
  <c r="T64" i="3"/>
  <c r="O64" i="3"/>
  <c r="Q64" i="3"/>
  <c r="S64" i="3"/>
  <c r="V64" i="3" l="1"/>
  <c r="U64" i="3"/>
  <c r="W65" i="3" l="1"/>
  <c r="Y65" i="3"/>
  <c r="X65" i="3"/>
  <c r="Z65" i="3"/>
  <c r="O65" i="3" l="1"/>
  <c r="S65" i="3"/>
  <c r="Q65" i="3"/>
  <c r="P65" i="3"/>
  <c r="V65" i="3" s="1"/>
  <c r="X66" i="3" s="1"/>
  <c r="R65" i="3"/>
  <c r="T65" i="3"/>
  <c r="Z66" i="3" l="1"/>
  <c r="U65" i="3"/>
  <c r="Y66" i="3" l="1"/>
  <c r="W66" i="3"/>
  <c r="P66" i="3"/>
  <c r="R66" i="3"/>
  <c r="T66" i="3"/>
  <c r="V66" i="3" l="1"/>
  <c r="O66" i="3"/>
  <c r="Q66" i="3"/>
  <c r="S66" i="3"/>
  <c r="U66" i="3" l="1"/>
  <c r="X67" i="3"/>
  <c r="Z67" i="3"/>
  <c r="P67" i="3" l="1"/>
  <c r="R67" i="3"/>
  <c r="T67" i="3"/>
  <c r="W67" i="3"/>
  <c r="Y67" i="3"/>
  <c r="V67" i="3" l="1"/>
  <c r="O67" i="3"/>
  <c r="Q67" i="3"/>
  <c r="S67" i="3"/>
  <c r="U67" i="3" l="1"/>
  <c r="Z68" i="3"/>
  <c r="X68" i="3"/>
  <c r="P68" i="3" l="1"/>
  <c r="R68" i="3"/>
  <c r="T68" i="3"/>
  <c r="W68" i="3"/>
  <c r="Y68" i="3"/>
  <c r="V68" i="3" l="1"/>
  <c r="O68" i="3"/>
  <c r="Q68" i="3"/>
  <c r="S68" i="3"/>
  <c r="U68" i="3" l="1"/>
  <c r="X69" i="3"/>
  <c r="Z69" i="3"/>
  <c r="R69" i="3" l="1"/>
  <c r="T69" i="3"/>
  <c r="W69" i="3"/>
  <c r="Y69" i="3"/>
  <c r="P69" i="3" s="1"/>
  <c r="V69" i="3" s="1"/>
  <c r="Z70" i="3" l="1"/>
  <c r="X70" i="3"/>
  <c r="O69" i="3"/>
  <c r="U69" i="3" s="1"/>
  <c r="W70" i="3" s="1"/>
  <c r="Q69" i="3"/>
  <c r="S69" i="3"/>
  <c r="Y70" i="3" l="1"/>
  <c r="O70" i="3" l="1"/>
  <c r="Q70" i="3"/>
  <c r="S70" i="3"/>
  <c r="R70" i="3"/>
  <c r="P70" i="3"/>
  <c r="V70" i="3" s="1"/>
  <c r="T70" i="3"/>
  <c r="U70" i="3" l="1"/>
  <c r="X71" i="3"/>
  <c r="Z71" i="3"/>
  <c r="R71" i="3" l="1"/>
  <c r="T71" i="3"/>
  <c r="W71" i="3"/>
  <c r="Y71" i="3"/>
  <c r="O71" i="3" l="1"/>
  <c r="Q71" i="3"/>
  <c r="S71" i="3"/>
  <c r="P71" i="3"/>
  <c r="V71" i="3" s="1"/>
  <c r="Z72" i="3" l="1"/>
  <c r="X72" i="3"/>
  <c r="U71" i="3"/>
  <c r="W72" i="3" l="1"/>
  <c r="Y72" i="3"/>
  <c r="P72" i="3"/>
  <c r="T72" i="3"/>
  <c r="O72" i="3" l="1"/>
  <c r="Q72" i="3"/>
  <c r="S72" i="3"/>
  <c r="R72" i="3"/>
  <c r="V72" i="3" s="1"/>
  <c r="X73" i="3" l="1"/>
  <c r="Z73" i="3"/>
  <c r="U72" i="3"/>
  <c r="W73" i="3" l="1"/>
  <c r="Y73" i="3"/>
  <c r="O73" i="3" l="1"/>
  <c r="Q73" i="3"/>
  <c r="S73" i="3"/>
  <c r="R73" i="3"/>
  <c r="T73" i="3"/>
  <c r="P73" i="3"/>
  <c r="U73" i="3" l="1"/>
  <c r="V73" i="3"/>
  <c r="Z74" i="3" l="1"/>
  <c r="X74" i="3"/>
  <c r="Y74" i="3"/>
  <c r="W74" i="3"/>
  <c r="O74" i="3" l="1"/>
  <c r="U74" i="3" s="1"/>
  <c r="W75" i="3" s="1"/>
  <c r="Q74" i="3"/>
  <c r="S74" i="3"/>
  <c r="P74" i="3"/>
  <c r="R74" i="3"/>
  <c r="T74" i="3"/>
  <c r="V74" i="3" l="1"/>
  <c r="Y75" i="3"/>
  <c r="X75" i="3" l="1"/>
  <c r="Z75" i="3"/>
  <c r="P75" i="3" l="1"/>
  <c r="R75" i="3"/>
  <c r="T75" i="3"/>
  <c r="Q75" i="3"/>
  <c r="S75" i="3"/>
  <c r="O75" i="3"/>
  <c r="V75" i="3" l="1"/>
  <c r="U75" i="3"/>
  <c r="W76" i="3" l="1"/>
  <c r="Y76" i="3"/>
  <c r="Z76" i="3"/>
  <c r="X76" i="3"/>
  <c r="P76" i="3" l="1"/>
  <c r="R76" i="3"/>
  <c r="T76" i="3"/>
  <c r="O76" i="3"/>
  <c r="Q76" i="3"/>
  <c r="S76" i="3"/>
  <c r="V76" i="3" l="1"/>
  <c r="U76" i="3"/>
  <c r="W77" i="3" l="1"/>
  <c r="Y77" i="3"/>
  <c r="Z77" i="3"/>
  <c r="X77" i="3"/>
  <c r="O77" i="3" l="1"/>
  <c r="Q77" i="3"/>
  <c r="S77" i="3"/>
  <c r="P77" i="3"/>
  <c r="R77" i="3"/>
  <c r="T77" i="3"/>
  <c r="U77" i="3" l="1"/>
  <c r="V77" i="3"/>
  <c r="X78" i="3" l="1"/>
  <c r="Z78" i="3"/>
  <c r="Y78" i="3"/>
  <c r="W78" i="3"/>
  <c r="P78" i="3" l="1"/>
  <c r="R78" i="3"/>
  <c r="T78" i="3"/>
  <c r="O78" i="3"/>
  <c r="Q78" i="3"/>
  <c r="S78" i="3"/>
  <c r="V78" i="3" l="1"/>
  <c r="U78" i="3"/>
  <c r="Y79" i="3" l="1"/>
  <c r="W79" i="3"/>
  <c r="Z79" i="3"/>
  <c r="X79" i="3"/>
  <c r="P79" i="3" l="1"/>
  <c r="V79" i="3" s="1"/>
  <c r="X80" i="3" s="1"/>
  <c r="T79" i="3"/>
  <c r="R79" i="3"/>
  <c r="O79" i="3"/>
  <c r="Q79" i="3"/>
  <c r="S79" i="3"/>
  <c r="Z80" i="3" l="1"/>
  <c r="U79" i="3"/>
  <c r="W80" i="3" l="1"/>
  <c r="Y80" i="3"/>
  <c r="T80" i="3"/>
  <c r="O80" i="3" l="1"/>
  <c r="Q80" i="3"/>
  <c r="S80" i="3"/>
  <c r="R80" i="3"/>
  <c r="P80" i="3"/>
  <c r="V80" i="3" s="1"/>
  <c r="X81" i="3" l="1"/>
  <c r="Z81" i="3"/>
  <c r="U80" i="3"/>
  <c r="Y81" i="3" l="1"/>
  <c r="W81" i="3"/>
  <c r="P81" i="3"/>
  <c r="R81" i="3"/>
  <c r="T81" i="3"/>
  <c r="V81" i="3" l="1"/>
  <c r="O81" i="3"/>
  <c r="Q81" i="3"/>
  <c r="S81" i="3"/>
  <c r="X82" i="3" l="1"/>
  <c r="Z82" i="3"/>
  <c r="U81" i="3"/>
  <c r="W82" i="3" l="1"/>
  <c r="Y82" i="3"/>
  <c r="O82" i="3" l="1"/>
  <c r="Q82" i="3"/>
  <c r="S82" i="3"/>
  <c r="R82" i="3"/>
  <c r="T82" i="3"/>
  <c r="P82" i="3"/>
  <c r="U82" i="3" l="1"/>
  <c r="V82" i="3"/>
  <c r="Z83" i="3" l="1"/>
  <c r="X83" i="3"/>
  <c r="Y83" i="3"/>
  <c r="W83" i="3"/>
  <c r="O83" i="3" l="1"/>
  <c r="U83" i="3" s="1"/>
  <c r="W84" i="3" s="1"/>
  <c r="Q83" i="3"/>
  <c r="S83" i="3"/>
  <c r="P83" i="3"/>
  <c r="R83" i="3"/>
  <c r="T83" i="3"/>
  <c r="V83" i="3" l="1"/>
  <c r="Y84" i="3"/>
  <c r="X84" i="3" l="1"/>
  <c r="Z84" i="3"/>
  <c r="P84" i="3" l="1"/>
  <c r="R84" i="3"/>
  <c r="T84" i="3"/>
  <c r="Q84" i="3"/>
  <c r="S84" i="3"/>
  <c r="O84" i="3"/>
  <c r="V84" i="3" l="1"/>
  <c r="U84" i="3"/>
  <c r="W85" i="3" l="1"/>
  <c r="Y85" i="3"/>
  <c r="Z85" i="3"/>
  <c r="X85" i="3"/>
  <c r="O85" i="3" l="1"/>
  <c r="Q85" i="3"/>
  <c r="S85" i="3"/>
  <c r="P85" i="3"/>
  <c r="R85" i="3"/>
  <c r="T85" i="3"/>
  <c r="U85" i="3" l="1"/>
  <c r="V85" i="3"/>
  <c r="X86" i="3" l="1"/>
  <c r="Z86" i="3"/>
  <c r="Y86" i="3"/>
  <c r="W86" i="3"/>
  <c r="P86" i="3" l="1"/>
  <c r="R86" i="3"/>
  <c r="T86" i="3"/>
  <c r="O86" i="3"/>
  <c r="Q86" i="3"/>
  <c r="S86" i="3"/>
  <c r="V86" i="3" l="1"/>
  <c r="U86" i="3"/>
  <c r="W87" i="3" l="1"/>
  <c r="Y87" i="3"/>
  <c r="Z87" i="3"/>
  <c r="X87" i="3"/>
  <c r="O87" i="3" l="1"/>
  <c r="Q87" i="3"/>
  <c r="S87" i="3"/>
  <c r="P87" i="3"/>
  <c r="R87" i="3"/>
  <c r="T87" i="3"/>
  <c r="U87" i="3" l="1"/>
  <c r="V87" i="3"/>
  <c r="X88" i="3" l="1"/>
  <c r="Z88" i="3"/>
  <c r="Y88" i="3"/>
  <c r="W88" i="3"/>
  <c r="P88" i="3" l="1"/>
  <c r="R88" i="3"/>
  <c r="T88" i="3"/>
  <c r="O88" i="3"/>
  <c r="Q88" i="3"/>
  <c r="S88" i="3"/>
  <c r="V88" i="3" l="1"/>
  <c r="U88" i="3"/>
  <c r="W89" i="3" l="1"/>
  <c r="Y89" i="3"/>
  <c r="Z89" i="3"/>
  <c r="X89" i="3"/>
  <c r="O89" i="3" l="1"/>
  <c r="Q89" i="3"/>
  <c r="S89" i="3"/>
  <c r="P89" i="3"/>
  <c r="V89" i="3" s="1"/>
  <c r="Z90" i="3" s="1"/>
  <c r="R89" i="3"/>
  <c r="T89" i="3"/>
  <c r="X90" i="3" l="1"/>
  <c r="U89" i="3"/>
  <c r="Y90" i="3" l="1"/>
  <c r="W90" i="3"/>
  <c r="O90" i="3" l="1"/>
  <c r="U90" i="3" s="1"/>
  <c r="W91" i="3" s="1"/>
  <c r="Q90" i="3"/>
  <c r="S90" i="3"/>
  <c r="P90" i="3"/>
  <c r="V90" i="3" s="1"/>
  <c r="R90" i="3"/>
  <c r="T90" i="3"/>
  <c r="Y91" i="3" l="1"/>
  <c r="X91" i="3"/>
  <c r="Z91" i="3"/>
  <c r="P91" i="3" l="1"/>
  <c r="R91" i="3"/>
  <c r="T91" i="3"/>
  <c r="O91" i="3"/>
  <c r="Q91" i="3"/>
  <c r="S91" i="3"/>
  <c r="V91" i="3" l="1"/>
  <c r="U91" i="3"/>
  <c r="W92" i="3" l="1"/>
  <c r="Y92" i="3"/>
  <c r="X92" i="3"/>
  <c r="Z92" i="3"/>
  <c r="O92" i="3" l="1"/>
  <c r="Q92" i="3"/>
  <c r="S92" i="3"/>
  <c r="P92" i="3"/>
  <c r="V92" i="3" s="1"/>
  <c r="X93" i="3" s="1"/>
  <c r="R92" i="3"/>
  <c r="T92" i="3"/>
  <c r="U92" i="3" l="1"/>
  <c r="Z93" i="3"/>
  <c r="Y93" i="3" l="1"/>
  <c r="R93" i="3" s="1"/>
  <c r="W93" i="3"/>
  <c r="O93" i="3" l="1"/>
  <c r="Q93" i="3"/>
  <c r="S93" i="3"/>
  <c r="T93" i="3"/>
  <c r="P93" i="3"/>
  <c r="U93" i="3" l="1"/>
  <c r="V93" i="3"/>
  <c r="X94" i="3" l="1"/>
  <c r="Z94" i="3"/>
  <c r="W94" i="3"/>
  <c r="Y94" i="3"/>
  <c r="P94" i="3" l="1"/>
  <c r="R94" i="3"/>
  <c r="T94" i="3"/>
  <c r="O94" i="3"/>
  <c r="U94" i="3" s="1"/>
  <c r="W95" i="3" s="1"/>
  <c r="Q94" i="3"/>
  <c r="S94" i="3"/>
  <c r="Y95" i="3" l="1"/>
  <c r="V94" i="3"/>
  <c r="Z95" i="3" l="1"/>
  <c r="Q95" i="3" s="1"/>
  <c r="X95" i="3"/>
  <c r="P95" i="3" l="1"/>
  <c r="R95" i="3"/>
  <c r="T95" i="3"/>
  <c r="S95" i="3"/>
  <c r="O95" i="3"/>
  <c r="V95" i="3" l="1"/>
  <c r="U95" i="3"/>
  <c r="W96" i="3" l="1"/>
  <c r="Y96" i="3"/>
  <c r="X96" i="3"/>
  <c r="Z96" i="3"/>
  <c r="O96" i="3" l="1"/>
  <c r="S96" i="3"/>
  <c r="Q96" i="3"/>
  <c r="P96" i="3"/>
  <c r="V96" i="3" s="1"/>
  <c r="X97" i="3" s="1"/>
  <c r="R96" i="3"/>
  <c r="T96" i="3"/>
  <c r="Z97" i="3" l="1"/>
  <c r="U96" i="3"/>
  <c r="W97" i="3" l="1"/>
  <c r="Y97" i="3"/>
  <c r="R97" i="3"/>
  <c r="O97" i="3" l="1"/>
  <c r="Q97" i="3"/>
  <c r="S97" i="3"/>
  <c r="T97" i="3"/>
  <c r="P97" i="3"/>
  <c r="V97" i="3" l="1"/>
  <c r="U97" i="3"/>
  <c r="Y98" i="3" l="1"/>
  <c r="W98" i="3"/>
  <c r="X98" i="3"/>
  <c r="Z98" i="3"/>
  <c r="P98" i="3" l="1"/>
  <c r="R98" i="3"/>
  <c r="T98" i="3"/>
  <c r="O98" i="3"/>
  <c r="Q98" i="3"/>
  <c r="S98" i="3"/>
  <c r="U98" i="3" l="1"/>
  <c r="V98" i="3"/>
  <c r="Z99" i="3" l="1"/>
  <c r="X99" i="3"/>
  <c r="W99" i="3"/>
  <c r="Y99" i="3"/>
  <c r="O99" i="3" l="1"/>
  <c r="Q99" i="3"/>
  <c r="S99" i="3"/>
  <c r="P99" i="3"/>
  <c r="R99" i="3"/>
  <c r="T99" i="3"/>
  <c r="U99" i="3" l="1"/>
  <c r="V99" i="3"/>
  <c r="X100" i="3" l="1"/>
  <c r="Z100" i="3"/>
  <c r="W100" i="3"/>
  <c r="Y100" i="3"/>
  <c r="P100" i="3" l="1"/>
  <c r="R100" i="3"/>
  <c r="T100" i="3"/>
  <c r="O100" i="3"/>
  <c r="U100" i="3" s="1"/>
  <c r="W101" i="3" s="1"/>
  <c r="Q100" i="3"/>
  <c r="S100" i="3"/>
  <c r="Y101" i="3" l="1"/>
  <c r="V100" i="3"/>
  <c r="Z101" i="3" l="1"/>
  <c r="X101" i="3"/>
  <c r="O101" i="3"/>
  <c r="Q101" i="3"/>
  <c r="S101" i="3"/>
  <c r="U101" i="3" l="1"/>
  <c r="P101" i="3"/>
  <c r="R101" i="3"/>
  <c r="T101" i="3"/>
  <c r="V101" i="3" l="1"/>
  <c r="W102" i="3"/>
  <c r="Y102" i="3"/>
  <c r="Q102" i="3" l="1"/>
  <c r="S102" i="3"/>
  <c r="X102" i="3"/>
  <c r="Z102" i="3"/>
  <c r="P102" i="3" l="1"/>
  <c r="R102" i="3"/>
  <c r="T102" i="3"/>
  <c r="O102" i="3"/>
  <c r="U102" i="3" s="1"/>
  <c r="Y103" i="3" l="1"/>
  <c r="W103" i="3"/>
  <c r="V102" i="3"/>
  <c r="X103" i="3" l="1"/>
  <c r="Z103" i="3"/>
  <c r="O103" i="3"/>
  <c r="Q103" i="3"/>
  <c r="P103" i="3" l="1"/>
  <c r="R103" i="3"/>
  <c r="T103" i="3"/>
  <c r="S103" i="3"/>
  <c r="U103" i="3" s="1"/>
  <c r="W104" i="3" l="1"/>
  <c r="Y104" i="3"/>
  <c r="V103" i="3"/>
  <c r="X104" i="3" l="1"/>
  <c r="Z104" i="3"/>
  <c r="P104" i="3" l="1"/>
  <c r="R104" i="3"/>
  <c r="T104" i="3"/>
  <c r="O104" i="3"/>
  <c r="U104" i="3" s="1"/>
  <c r="S104" i="3"/>
  <c r="Q104" i="3"/>
  <c r="Y105" i="3" l="1"/>
  <c r="W105" i="3"/>
  <c r="V104" i="3"/>
  <c r="Z105" i="3" l="1"/>
  <c r="X105" i="3"/>
  <c r="O105" i="3"/>
  <c r="Q105" i="3"/>
  <c r="P105" i="3" l="1"/>
  <c r="T105" i="3"/>
  <c r="R105" i="3"/>
  <c r="S105" i="3"/>
  <c r="U105" i="3" s="1"/>
  <c r="W106" i="3" l="1"/>
  <c r="Y106" i="3"/>
  <c r="V105" i="3"/>
  <c r="X106" i="3" l="1"/>
  <c r="Z106" i="3"/>
  <c r="P106" i="3" l="1"/>
  <c r="R106" i="3"/>
  <c r="T106" i="3"/>
  <c r="Q106" i="3"/>
  <c r="S106" i="3"/>
  <c r="O106" i="3"/>
  <c r="V106" i="3" l="1"/>
  <c r="U106" i="3"/>
  <c r="Y107" i="3" l="1"/>
  <c r="W107" i="3"/>
  <c r="Z107" i="3"/>
  <c r="X107" i="3"/>
  <c r="P107" i="3" l="1"/>
  <c r="V107" i="3" s="1"/>
  <c r="X108" i="3" s="1"/>
  <c r="R107" i="3"/>
  <c r="T107" i="3"/>
  <c r="O107" i="3"/>
  <c r="Q107" i="3"/>
  <c r="S107" i="3"/>
  <c r="U107" i="3" l="1"/>
  <c r="Z108" i="3"/>
  <c r="W108" i="3" l="1"/>
  <c r="Y108" i="3"/>
  <c r="O108" i="3" l="1"/>
  <c r="Q108" i="3"/>
  <c r="S108" i="3"/>
  <c r="R108" i="3"/>
  <c r="T108" i="3"/>
  <c r="P108" i="3"/>
  <c r="V108" i="3" l="1"/>
  <c r="U108" i="3"/>
  <c r="W109" i="3" l="1"/>
  <c r="Y109" i="3"/>
  <c r="X109" i="3"/>
  <c r="Z109" i="3"/>
  <c r="O109" i="3" l="1"/>
  <c r="Q109" i="3"/>
  <c r="S109" i="3"/>
  <c r="P109" i="3"/>
  <c r="V109" i="3" s="1"/>
  <c r="Z110" i="3" s="1"/>
  <c r="R109" i="3"/>
  <c r="T109" i="3"/>
  <c r="X110" i="3" l="1"/>
  <c r="U109" i="3"/>
  <c r="Y110" i="3" l="1"/>
  <c r="W110" i="3"/>
  <c r="O110" i="3" l="1"/>
  <c r="Q110" i="3"/>
  <c r="S110" i="3"/>
  <c r="R110" i="3"/>
  <c r="T110" i="3"/>
  <c r="P110" i="3"/>
  <c r="V110" i="3" l="1"/>
  <c r="U110" i="3"/>
  <c r="W111" i="3" l="1"/>
  <c r="Y111" i="3"/>
  <c r="X111" i="3"/>
  <c r="Z111" i="3"/>
  <c r="O111" i="3" l="1"/>
  <c r="Q111" i="3"/>
  <c r="S111" i="3"/>
  <c r="P111" i="3"/>
  <c r="V111" i="3" s="1"/>
  <c r="X112" i="3" s="1"/>
  <c r="T111" i="3"/>
  <c r="R111" i="3"/>
  <c r="Z112" i="3" l="1"/>
  <c r="U111" i="3"/>
  <c r="Y112" i="3" l="1"/>
  <c r="W112" i="3"/>
  <c r="P112" i="3"/>
  <c r="V112" i="3" s="1"/>
  <c r="X113" i="3" s="1"/>
  <c r="R112" i="3"/>
  <c r="T112" i="3"/>
  <c r="Z113" i="3" l="1"/>
  <c r="O112" i="3"/>
  <c r="U112" i="3" s="1"/>
  <c r="W113" i="3" s="1"/>
  <c r="Q112" i="3"/>
  <c r="S112" i="3"/>
  <c r="Y113" i="3" l="1"/>
  <c r="P113" i="3" s="1"/>
  <c r="V113" i="3" s="1"/>
  <c r="R113" i="3"/>
  <c r="T113" i="3"/>
  <c r="X114" i="3" l="1"/>
  <c r="Z114" i="3"/>
  <c r="O113" i="3"/>
  <c r="Q113" i="3"/>
  <c r="S113" i="3"/>
  <c r="U113" i="3" l="1"/>
  <c r="W114" i="3" l="1"/>
  <c r="Y114" i="3"/>
  <c r="O114" i="3" l="1"/>
  <c r="S114" i="3"/>
  <c r="Q114" i="3"/>
  <c r="R114" i="3"/>
  <c r="T114" i="3"/>
  <c r="P114" i="3"/>
  <c r="V114" i="3" l="1"/>
  <c r="U114" i="3"/>
  <c r="Y115" i="3" l="1"/>
  <c r="W115" i="3"/>
  <c r="Z115" i="3"/>
  <c r="X115" i="3"/>
  <c r="P115" i="3" l="1"/>
  <c r="R115" i="3"/>
  <c r="T115" i="3"/>
  <c r="O115" i="3"/>
  <c r="Q115" i="3"/>
  <c r="S115" i="3"/>
  <c r="V115" i="3" l="1"/>
  <c r="U115" i="3"/>
  <c r="W116" i="3" l="1"/>
  <c r="Y116" i="3"/>
  <c r="X116" i="3"/>
  <c r="Z116" i="3"/>
  <c r="O116" i="3" l="1"/>
  <c r="Q116" i="3"/>
  <c r="S116" i="3"/>
  <c r="P116" i="3"/>
  <c r="V116" i="3" s="1"/>
  <c r="X117" i="3" s="1"/>
  <c r="R116" i="3"/>
  <c r="T116" i="3"/>
  <c r="U116" i="3" l="1"/>
  <c r="Z117" i="3"/>
  <c r="Y117" i="3" l="1"/>
  <c r="W117" i="3"/>
  <c r="O117" i="3" l="1"/>
  <c r="U117" i="3" s="1"/>
  <c r="Y118" i="3" s="1"/>
  <c r="Q117" i="3"/>
  <c r="S117" i="3"/>
  <c r="P117" i="3"/>
  <c r="V117" i="3" s="1"/>
  <c r="T117" i="3"/>
  <c r="R117" i="3"/>
  <c r="X118" i="3" l="1"/>
  <c r="Z118" i="3"/>
  <c r="S118" i="3" s="1"/>
  <c r="W118" i="3"/>
  <c r="P118" i="3" l="1"/>
  <c r="R118" i="3"/>
  <c r="T118" i="3"/>
  <c r="Q118" i="3"/>
  <c r="O118" i="3"/>
  <c r="V118" i="3" l="1"/>
  <c r="U118" i="3"/>
  <c r="W119" i="3" l="1"/>
  <c r="Y119" i="3"/>
  <c r="Z119" i="3"/>
  <c r="X119" i="3"/>
  <c r="O119" i="3" l="1"/>
  <c r="Q119" i="3"/>
  <c r="S119" i="3"/>
  <c r="P119" i="3"/>
  <c r="V119" i="3" s="1"/>
  <c r="Z120" i="3" s="1"/>
  <c r="R119" i="3"/>
  <c r="T119" i="3"/>
  <c r="X120" i="3" l="1"/>
  <c r="U119" i="3"/>
  <c r="Y120" i="3" l="1"/>
  <c r="W120" i="3"/>
  <c r="O120" i="3" l="1"/>
  <c r="Q120" i="3"/>
  <c r="S120" i="3"/>
  <c r="R120" i="3"/>
  <c r="T120" i="3"/>
  <c r="P120" i="3"/>
  <c r="V120" i="3" l="1"/>
  <c r="U120" i="3"/>
  <c r="W121" i="3" l="1"/>
  <c r="Y121" i="3"/>
  <c r="X121" i="3"/>
  <c r="Z121" i="3"/>
  <c r="O121" i="3" l="1"/>
  <c r="Q121" i="3"/>
  <c r="S121" i="3"/>
  <c r="P121" i="3"/>
  <c r="V121" i="3" s="1"/>
  <c r="X122" i="3" s="1"/>
  <c r="R121" i="3"/>
  <c r="T121" i="3"/>
  <c r="U121" i="3" l="1"/>
  <c r="Z122" i="3"/>
  <c r="Y122" i="3" l="1"/>
  <c r="R122" i="3" s="1"/>
  <c r="W122" i="3"/>
  <c r="T122" i="3" l="1"/>
  <c r="O122" i="3"/>
  <c r="Q122" i="3"/>
  <c r="S122" i="3"/>
  <c r="P122" i="3"/>
  <c r="U122" i="3" l="1"/>
  <c r="V122" i="3"/>
  <c r="X123" i="3" l="1"/>
  <c r="Z123" i="3"/>
  <c r="W123" i="3"/>
  <c r="Y123" i="3"/>
  <c r="P123" i="3" l="1"/>
  <c r="R123" i="3"/>
  <c r="T123" i="3"/>
  <c r="O123" i="3"/>
  <c r="Q123" i="3"/>
  <c r="S123" i="3"/>
  <c r="V123" i="3" l="1"/>
  <c r="U123" i="3"/>
  <c r="W124" i="3" l="1"/>
  <c r="Y124" i="3"/>
  <c r="X124" i="3"/>
  <c r="Z124" i="3"/>
  <c r="O124" i="3" l="1"/>
  <c r="Q124" i="3"/>
  <c r="S124" i="3"/>
  <c r="P124" i="3"/>
  <c r="R124" i="3"/>
  <c r="T124" i="3"/>
  <c r="U124" i="3" l="1"/>
  <c r="V124" i="3"/>
  <c r="X125" i="3" l="1"/>
  <c r="Z125" i="3"/>
  <c r="W125" i="3"/>
  <c r="Y125" i="3"/>
  <c r="P125" i="3" l="1"/>
  <c r="R125" i="3"/>
  <c r="T125" i="3"/>
  <c r="O125" i="3"/>
  <c r="U125" i="3" s="1"/>
  <c r="W126" i="3" s="1"/>
  <c r="Q125" i="3"/>
  <c r="S125" i="3"/>
  <c r="Y126" i="3" l="1"/>
  <c r="V125" i="3"/>
  <c r="Z126" i="3" l="1"/>
  <c r="X126" i="3"/>
  <c r="O126" i="3"/>
  <c r="U126" i="3" s="1"/>
  <c r="W127" i="3" s="1"/>
  <c r="Q126" i="3"/>
  <c r="S126" i="3"/>
  <c r="Y127" i="3" l="1"/>
  <c r="P126" i="3"/>
  <c r="T126" i="3"/>
  <c r="R126" i="3"/>
  <c r="V126" i="3" l="1"/>
  <c r="X127" i="3" l="1"/>
  <c r="Z127" i="3"/>
  <c r="P127" i="3" l="1"/>
  <c r="R127" i="3"/>
  <c r="T127" i="3"/>
  <c r="O127" i="3"/>
  <c r="S127" i="3"/>
  <c r="Q127" i="3"/>
  <c r="V127" i="3" l="1"/>
  <c r="U127" i="3"/>
  <c r="W128" i="3" l="1"/>
  <c r="Y128" i="3"/>
  <c r="Z128" i="3"/>
  <c r="X128" i="3"/>
  <c r="O128" i="3" l="1"/>
  <c r="Q128" i="3"/>
  <c r="S128" i="3"/>
  <c r="P128" i="3"/>
  <c r="R128" i="3"/>
  <c r="T128" i="3"/>
  <c r="U128" i="3" l="1"/>
  <c r="V128" i="3"/>
  <c r="X129" i="3" l="1"/>
  <c r="Z129" i="3"/>
  <c r="Y129" i="3"/>
  <c r="W129" i="3"/>
  <c r="P129" i="3" l="1"/>
  <c r="R129" i="3"/>
  <c r="T129" i="3"/>
  <c r="O129" i="3"/>
  <c r="Q129" i="3"/>
  <c r="S129" i="3"/>
  <c r="V129" i="3" l="1"/>
  <c r="U129" i="3"/>
  <c r="W130" i="3" l="1"/>
  <c r="Y130" i="3"/>
  <c r="Z130" i="3"/>
  <c r="X130" i="3"/>
  <c r="O130" i="3" l="1"/>
  <c r="Q130" i="3"/>
  <c r="S130" i="3"/>
  <c r="P130" i="3"/>
  <c r="R130" i="3"/>
  <c r="T130" i="3"/>
  <c r="U130" i="3" l="1"/>
  <c r="V130" i="3"/>
  <c r="X131" i="3" l="1"/>
  <c r="Z131" i="3"/>
  <c r="Y131" i="3"/>
  <c r="W131" i="3"/>
  <c r="P131" i="3" l="1"/>
  <c r="R131" i="3"/>
  <c r="T131" i="3"/>
  <c r="O131" i="3"/>
  <c r="Q131" i="3"/>
  <c r="S131" i="3"/>
  <c r="V131" i="3" l="1"/>
  <c r="U131" i="3"/>
  <c r="W132" i="3" l="1"/>
  <c r="Y132" i="3"/>
  <c r="Z132" i="3"/>
  <c r="X132" i="3"/>
  <c r="O132" i="3" l="1"/>
  <c r="Q132" i="3"/>
  <c r="S132" i="3"/>
  <c r="P132" i="3"/>
  <c r="R132" i="3"/>
  <c r="T132" i="3"/>
  <c r="U132" i="3" l="1"/>
  <c r="V132" i="3"/>
  <c r="X133" i="3" l="1"/>
  <c r="Z133" i="3"/>
  <c r="Y133" i="3"/>
  <c r="W133" i="3"/>
  <c r="P133" i="3" l="1"/>
  <c r="R133" i="3"/>
  <c r="T133" i="3"/>
  <c r="O133" i="3"/>
  <c r="S133" i="3"/>
  <c r="Q133" i="3"/>
  <c r="V133" i="3" l="1"/>
  <c r="U133" i="3"/>
  <c r="W134" i="3" l="1"/>
  <c r="Y134" i="3"/>
  <c r="Z134" i="3"/>
  <c r="X134" i="3"/>
  <c r="P134" i="3" l="1"/>
  <c r="R134" i="3"/>
  <c r="T134" i="3"/>
  <c r="O134" i="3"/>
  <c r="Q134" i="3"/>
  <c r="S134" i="3"/>
  <c r="V134" i="3" l="1"/>
  <c r="U134" i="3"/>
  <c r="W135" i="3" l="1"/>
  <c r="Y135" i="3"/>
  <c r="X135" i="3"/>
  <c r="Z135" i="3"/>
  <c r="O135" i="3" l="1"/>
  <c r="Q135" i="3"/>
  <c r="S135" i="3"/>
  <c r="P135" i="3"/>
  <c r="R135" i="3"/>
  <c r="T135" i="3"/>
  <c r="U135" i="3" l="1"/>
  <c r="V135" i="3"/>
  <c r="X136" i="3" l="1"/>
  <c r="Z136" i="3"/>
  <c r="Y136" i="3"/>
  <c r="W136" i="3"/>
  <c r="P136" i="3" l="1"/>
  <c r="R136" i="3"/>
  <c r="T136" i="3"/>
  <c r="O136" i="3"/>
  <c r="Q136" i="3"/>
  <c r="S136" i="3"/>
  <c r="V136" i="3" l="1"/>
  <c r="U136" i="3"/>
  <c r="W137" i="3" l="1"/>
  <c r="Y137" i="3"/>
  <c r="Z137" i="3"/>
  <c r="X137" i="3"/>
  <c r="P137" i="3" l="1"/>
  <c r="R137" i="3"/>
  <c r="T137" i="3"/>
  <c r="O137" i="3"/>
  <c r="Q137" i="3"/>
  <c r="S137" i="3"/>
  <c r="V137" i="3" l="1"/>
  <c r="U137" i="3"/>
  <c r="W138" i="3" l="1"/>
  <c r="Y138" i="3"/>
  <c r="X138" i="3"/>
  <c r="Z138" i="3"/>
  <c r="O138" i="3" l="1"/>
  <c r="Q138" i="3"/>
  <c r="S138" i="3"/>
  <c r="P138" i="3"/>
  <c r="V138" i="3" s="1"/>
  <c r="X139" i="3" s="1"/>
  <c r="R138" i="3"/>
  <c r="T138" i="3"/>
  <c r="U138" i="3" l="1"/>
  <c r="Z139" i="3"/>
  <c r="Y139" i="3" l="1"/>
  <c r="R139" i="3" s="1"/>
  <c r="W139" i="3"/>
  <c r="O139" i="3" l="1"/>
  <c r="Q139" i="3"/>
  <c r="S139" i="3"/>
  <c r="T139" i="3"/>
  <c r="P139" i="3"/>
  <c r="U139" i="3" l="1"/>
  <c r="V139" i="3"/>
  <c r="X140" i="3" l="1"/>
  <c r="Z140" i="3"/>
  <c r="W140" i="3"/>
  <c r="Y140" i="3"/>
  <c r="P140" i="3" l="1"/>
  <c r="T140" i="3"/>
  <c r="R140" i="3"/>
  <c r="O140" i="3"/>
  <c r="U140" i="3" s="1"/>
  <c r="W141" i="3" s="1"/>
  <c r="Q140" i="3"/>
  <c r="S140" i="3"/>
  <c r="V140" i="3" l="1"/>
  <c r="Y141" i="3"/>
  <c r="Z141" i="3" l="1"/>
  <c r="Q141" i="3" s="1"/>
  <c r="X141" i="3"/>
  <c r="P141" i="3" l="1"/>
  <c r="R141" i="3"/>
  <c r="T141" i="3"/>
  <c r="S141" i="3"/>
  <c r="O141" i="3"/>
  <c r="V141" i="3" l="1"/>
  <c r="U141" i="3"/>
  <c r="W142" i="3" l="1"/>
  <c r="Y142" i="3"/>
  <c r="X142" i="3"/>
  <c r="Z142" i="3"/>
  <c r="O142" i="3" l="1"/>
  <c r="Q142" i="3"/>
  <c r="S142" i="3"/>
  <c r="P142" i="3"/>
  <c r="V142" i="3" s="1"/>
  <c r="X143" i="3" s="1"/>
  <c r="R142" i="3"/>
  <c r="T142" i="3"/>
  <c r="U142" i="3" l="1"/>
  <c r="Z143" i="3"/>
  <c r="Y143" i="3" l="1"/>
  <c r="R143" i="3" s="1"/>
  <c r="W143" i="3"/>
  <c r="O143" i="3" l="1"/>
  <c r="Q143" i="3"/>
  <c r="S143" i="3"/>
  <c r="T143" i="3"/>
  <c r="P143" i="3"/>
  <c r="U143" i="3" l="1"/>
  <c r="V143" i="3"/>
  <c r="X144" i="3" l="1"/>
  <c r="Z144" i="3"/>
  <c r="W144" i="3"/>
  <c r="Y144" i="3"/>
  <c r="P144" i="3" l="1"/>
  <c r="R144" i="3"/>
  <c r="T144" i="3"/>
  <c r="O144" i="3"/>
  <c r="U144" i="3" s="1"/>
  <c r="W145" i="3" s="1"/>
  <c r="Q144" i="3"/>
  <c r="S144" i="3"/>
  <c r="Y145" i="3" l="1"/>
  <c r="V144" i="3"/>
  <c r="Z145" i="3" l="1"/>
  <c r="X145" i="3"/>
  <c r="O145" i="3"/>
  <c r="Q145" i="3"/>
  <c r="S145" i="3"/>
  <c r="U145" i="3" l="1"/>
  <c r="P145" i="3"/>
  <c r="R145" i="3"/>
  <c r="T145" i="3"/>
  <c r="V145" i="3" l="1"/>
  <c r="W146" i="3"/>
  <c r="Y146" i="3"/>
  <c r="O146" i="3" l="1"/>
  <c r="Q146" i="3"/>
  <c r="S146" i="3"/>
  <c r="X146" i="3"/>
  <c r="Z146" i="3"/>
  <c r="U146" i="3" l="1"/>
  <c r="P146" i="3"/>
  <c r="R146" i="3"/>
  <c r="T146" i="3"/>
  <c r="V146" i="3" l="1"/>
  <c r="Y147" i="3"/>
  <c r="W147" i="3"/>
  <c r="O147" i="3" l="1"/>
  <c r="Q147" i="3"/>
  <c r="S147" i="3"/>
  <c r="X147" i="3"/>
  <c r="Z147" i="3"/>
  <c r="U147" i="3" l="1"/>
  <c r="P147" i="3"/>
  <c r="R147" i="3"/>
  <c r="T147" i="3"/>
  <c r="W148" i="3" l="1"/>
  <c r="Y148" i="3"/>
  <c r="V147" i="3"/>
  <c r="X148" i="3" l="1"/>
  <c r="Z148" i="3"/>
  <c r="P148" i="3" l="1"/>
  <c r="R148" i="3"/>
  <c r="T148" i="3"/>
  <c r="S148" i="3"/>
  <c r="Q148" i="3"/>
  <c r="O148" i="3"/>
  <c r="V148" i="3" l="1"/>
  <c r="U148" i="3"/>
  <c r="Y149" i="3" l="1"/>
  <c r="W149" i="3"/>
  <c r="Z149" i="3"/>
  <c r="X149" i="3"/>
  <c r="P149" i="3" l="1"/>
  <c r="R149" i="3"/>
  <c r="T149" i="3"/>
  <c r="O149" i="3"/>
  <c r="Q149" i="3"/>
  <c r="S149" i="3"/>
  <c r="V149" i="3" l="1"/>
  <c r="U149" i="3"/>
  <c r="W150" i="3" l="1"/>
  <c r="Y150" i="3"/>
  <c r="X150" i="3"/>
  <c r="Z150" i="3"/>
  <c r="O150" i="3" l="1"/>
  <c r="Q150" i="3"/>
  <c r="S150" i="3"/>
  <c r="P150" i="3"/>
  <c r="V150" i="3" s="1"/>
  <c r="X151" i="3" s="1"/>
  <c r="R150" i="3"/>
  <c r="T150" i="3"/>
  <c r="U150" i="3" l="1"/>
  <c r="Z151" i="3"/>
  <c r="Y151" i="3" l="1"/>
  <c r="R151" i="3" s="1"/>
  <c r="W151" i="3"/>
  <c r="O151" i="3" l="1"/>
  <c r="Q151" i="3"/>
  <c r="S151" i="3"/>
  <c r="T151" i="3"/>
  <c r="P151" i="3"/>
  <c r="U151" i="3" l="1"/>
  <c r="V151" i="3"/>
  <c r="X152" i="3" l="1"/>
  <c r="Z152" i="3"/>
  <c r="W152" i="3"/>
  <c r="Y152" i="3"/>
  <c r="P152" i="3" l="1"/>
  <c r="R152" i="3"/>
  <c r="T152" i="3"/>
  <c r="O152" i="3"/>
  <c r="U152" i="3" s="1"/>
  <c r="W153" i="3" s="1"/>
  <c r="S152" i="3"/>
  <c r="Q152" i="3"/>
  <c r="Y153" i="3" l="1"/>
  <c r="V152" i="3"/>
  <c r="Z153" i="3" l="1"/>
  <c r="X153" i="3"/>
  <c r="O153" i="3"/>
  <c r="Q153" i="3"/>
  <c r="S153" i="3"/>
  <c r="U153" i="3" l="1"/>
  <c r="P153" i="3"/>
  <c r="R153" i="3"/>
  <c r="T153" i="3"/>
  <c r="V153" i="3" l="1"/>
  <c r="W154" i="3"/>
  <c r="Y154" i="3"/>
  <c r="O154" i="3" l="1"/>
  <c r="Q154" i="3"/>
  <c r="S154" i="3"/>
  <c r="X154" i="3"/>
  <c r="Z154" i="3"/>
  <c r="U154" i="3" l="1"/>
  <c r="P154" i="3"/>
  <c r="R154" i="3"/>
  <c r="T154" i="3"/>
  <c r="V154" i="3" l="1"/>
  <c r="Y155" i="3"/>
  <c r="W155" i="3"/>
  <c r="O155" i="3" l="1"/>
  <c r="S155" i="3"/>
  <c r="Q155" i="3"/>
  <c r="X155" i="3"/>
  <c r="Z155" i="3"/>
  <c r="U155" i="3" l="1"/>
  <c r="P155" i="3"/>
  <c r="R155" i="3"/>
  <c r="T155" i="3"/>
  <c r="V155" i="3" l="1"/>
  <c r="W156" i="3"/>
  <c r="Y156" i="3"/>
  <c r="O156" i="3" l="1"/>
  <c r="Q156" i="3"/>
  <c r="S156" i="3"/>
  <c r="X156" i="3"/>
  <c r="Z156" i="3"/>
  <c r="U156" i="3" l="1"/>
  <c r="P156" i="3"/>
  <c r="R156" i="3"/>
  <c r="T156" i="3"/>
  <c r="V156" i="3" l="1"/>
  <c r="Y157" i="3"/>
  <c r="W157" i="3"/>
  <c r="O157" i="3" l="1"/>
  <c r="Q157" i="3"/>
  <c r="S157" i="3"/>
  <c r="X157" i="3"/>
  <c r="Z157" i="3"/>
  <c r="U157" i="3" l="1"/>
  <c r="P157" i="3"/>
  <c r="R157" i="3"/>
  <c r="T157" i="3"/>
  <c r="V157" i="3" l="1"/>
  <c r="W158" i="3"/>
  <c r="Y158" i="3"/>
  <c r="O158" i="3" l="1"/>
  <c r="Q158" i="3"/>
  <c r="S158" i="3"/>
  <c r="X158" i="3"/>
  <c r="Z158" i="3"/>
  <c r="U158" i="3" l="1"/>
  <c r="P158" i="3"/>
  <c r="T158" i="3"/>
  <c r="R158" i="3"/>
  <c r="V158" i="3" l="1"/>
  <c r="Y159" i="3"/>
  <c r="W159" i="3"/>
  <c r="O159" i="3" l="1"/>
  <c r="Q159" i="3"/>
  <c r="S159" i="3"/>
  <c r="X159" i="3"/>
  <c r="Z159" i="3"/>
  <c r="U159" i="3" l="1"/>
  <c r="P159" i="3"/>
  <c r="R159" i="3"/>
  <c r="T159" i="3"/>
  <c r="V159" i="3" l="1"/>
  <c r="W160" i="3"/>
  <c r="Y160" i="3"/>
  <c r="O160" i="3" l="1"/>
  <c r="Q160" i="3"/>
  <c r="S160" i="3"/>
  <c r="X160" i="3"/>
  <c r="Z160" i="3"/>
  <c r="U160" i="3" l="1"/>
  <c r="P160" i="3"/>
  <c r="R160" i="3"/>
  <c r="T160" i="3"/>
  <c r="V160" i="3" l="1"/>
  <c r="Y161" i="3"/>
  <c r="W161" i="3"/>
  <c r="O161" i="3" l="1"/>
  <c r="Q161" i="3"/>
  <c r="S161" i="3"/>
  <c r="X161" i="3"/>
  <c r="Z161" i="3"/>
  <c r="U161" i="3" l="1"/>
  <c r="P161" i="3"/>
  <c r="R161" i="3"/>
  <c r="T161" i="3"/>
  <c r="V161" i="3" l="1"/>
  <c r="W162" i="3"/>
  <c r="Y162" i="3"/>
  <c r="O162" i="3" l="1"/>
  <c r="Q162" i="3"/>
  <c r="S162" i="3"/>
  <c r="X162" i="3"/>
  <c r="Z162" i="3"/>
  <c r="U162" i="3" l="1"/>
  <c r="P162" i="3"/>
  <c r="R162" i="3"/>
  <c r="T162" i="3"/>
  <c r="V162" i="3" l="1"/>
  <c r="Y163" i="3"/>
  <c r="W163" i="3"/>
  <c r="O163" i="3" l="1"/>
  <c r="Q163" i="3"/>
  <c r="S163" i="3"/>
  <c r="X163" i="3"/>
  <c r="Z163" i="3"/>
  <c r="U163" i="3" l="1"/>
  <c r="P163" i="3"/>
  <c r="R163" i="3"/>
  <c r="T163" i="3"/>
  <c r="V163" i="3" l="1"/>
  <c r="W164" i="3"/>
  <c r="Y164" i="3"/>
  <c r="O164" i="3" l="1"/>
  <c r="Q164" i="3"/>
  <c r="S164" i="3"/>
  <c r="X164" i="3"/>
  <c r="Z164" i="3"/>
  <c r="U164" i="3" l="1"/>
  <c r="P164" i="3"/>
  <c r="R164" i="3"/>
  <c r="T164" i="3"/>
  <c r="V164" i="3" l="1"/>
  <c r="Y165" i="3"/>
  <c r="W165" i="3"/>
  <c r="O165" i="3" l="1"/>
  <c r="Q165" i="3"/>
  <c r="S165" i="3"/>
  <c r="X165" i="3"/>
  <c r="Z165" i="3"/>
  <c r="U165" i="3" l="1"/>
  <c r="P165" i="3"/>
  <c r="R165" i="3"/>
  <c r="T165" i="3"/>
  <c r="V165" i="3" l="1"/>
  <c r="W166" i="3"/>
  <c r="Y166" i="3"/>
  <c r="O166" i="3" l="1"/>
  <c r="Q166" i="3"/>
  <c r="S166" i="3"/>
  <c r="X166" i="3"/>
  <c r="Z166" i="3"/>
  <c r="U166" i="3" l="1"/>
  <c r="P166" i="3"/>
  <c r="R166" i="3"/>
  <c r="T166" i="3"/>
  <c r="V166" i="3" l="1"/>
  <c r="Y167" i="3"/>
  <c r="W167" i="3"/>
  <c r="O167" i="3" l="1"/>
  <c r="Q167" i="3"/>
  <c r="S167" i="3"/>
  <c r="X167" i="3"/>
  <c r="Z167" i="3"/>
  <c r="U167" i="3" l="1"/>
  <c r="P167" i="3"/>
  <c r="R167" i="3"/>
  <c r="T167" i="3"/>
  <c r="V167" i="3" l="1"/>
  <c r="W168" i="3"/>
  <c r="Y168" i="3"/>
  <c r="O168" i="3" l="1"/>
  <c r="Q168" i="3"/>
  <c r="S168" i="3"/>
  <c r="X168" i="3"/>
  <c r="Z168" i="3"/>
  <c r="U168" i="3" l="1"/>
  <c r="P168" i="3"/>
  <c r="R168" i="3"/>
  <c r="T168" i="3"/>
  <c r="V168" i="3" l="1"/>
  <c r="Y169" i="3"/>
  <c r="W169" i="3"/>
  <c r="O169" i="3" l="1"/>
  <c r="Q169" i="3"/>
  <c r="S169" i="3"/>
  <c r="X169" i="3"/>
  <c r="Z169" i="3"/>
  <c r="U169" i="3" l="1"/>
  <c r="P169" i="3"/>
  <c r="R169" i="3"/>
  <c r="T169" i="3"/>
  <c r="V169" i="3" l="1"/>
  <c r="W170" i="3"/>
  <c r="Y170" i="3"/>
  <c r="O170" i="3" l="1"/>
  <c r="S170" i="3"/>
  <c r="Q170" i="3"/>
  <c r="X170" i="3"/>
  <c r="Z170" i="3"/>
  <c r="U170" i="3" l="1"/>
  <c r="P170" i="3"/>
  <c r="R170" i="3"/>
  <c r="T170" i="3"/>
  <c r="V170" i="3" l="1"/>
  <c r="Y171" i="3"/>
  <c r="W171" i="3"/>
  <c r="O171" i="3" l="1"/>
  <c r="Q171" i="3"/>
  <c r="S171" i="3"/>
  <c r="X171" i="3"/>
  <c r="Z171" i="3"/>
  <c r="U171" i="3" l="1"/>
  <c r="P171" i="3"/>
  <c r="R171" i="3"/>
  <c r="T171" i="3"/>
  <c r="V171" i="3" l="1"/>
  <c r="W172" i="3"/>
  <c r="Y172" i="3"/>
  <c r="Q172" i="3" l="1"/>
  <c r="S172" i="3"/>
  <c r="X172" i="3"/>
  <c r="Z172" i="3"/>
  <c r="O172" i="3" s="1"/>
  <c r="U172" i="3" s="1"/>
  <c r="Y173" i="3" l="1"/>
  <c r="W173" i="3"/>
  <c r="P172" i="3"/>
  <c r="R172" i="3"/>
  <c r="T172" i="3"/>
  <c r="V172" i="3" l="1"/>
  <c r="X173" i="3" l="1"/>
  <c r="Z173" i="3"/>
  <c r="P173" i="3" l="1"/>
  <c r="R173" i="3"/>
  <c r="T173" i="3"/>
  <c r="O173" i="3"/>
  <c r="Q173" i="3"/>
  <c r="S173" i="3"/>
  <c r="V173" i="3" l="1"/>
  <c r="U173" i="3"/>
  <c r="W174" i="3" l="1"/>
  <c r="Y174" i="3"/>
  <c r="Z174" i="3"/>
  <c r="X174" i="3"/>
  <c r="O174" i="3" l="1"/>
  <c r="Q174" i="3"/>
  <c r="S174" i="3"/>
  <c r="P174" i="3"/>
  <c r="R174" i="3"/>
  <c r="T174" i="3"/>
  <c r="U174" i="3" l="1"/>
  <c r="V174" i="3"/>
  <c r="X175" i="3" l="1"/>
  <c r="Z175" i="3"/>
  <c r="Y175" i="3"/>
  <c r="W175" i="3"/>
  <c r="P175" i="3" l="1"/>
  <c r="R175" i="3"/>
  <c r="T175" i="3"/>
  <c r="O175" i="3"/>
  <c r="S175" i="3"/>
  <c r="Q175" i="3"/>
  <c r="V175" i="3" l="1"/>
  <c r="U175" i="3"/>
  <c r="W176" i="3" l="1"/>
  <c r="Y176" i="3"/>
  <c r="Z176" i="3"/>
  <c r="X176" i="3"/>
  <c r="O176" i="3" l="1"/>
  <c r="Q176" i="3"/>
  <c r="S176" i="3"/>
  <c r="P176" i="3"/>
  <c r="T176" i="3"/>
  <c r="R176" i="3"/>
  <c r="U176" i="3" l="1"/>
  <c r="V176" i="3"/>
  <c r="X177" i="3" l="1"/>
  <c r="Z177" i="3"/>
  <c r="Y177" i="3"/>
  <c r="W177" i="3"/>
  <c r="P177" i="3" l="1"/>
  <c r="V177" i="3" s="1"/>
  <c r="X178" i="3" s="1"/>
  <c r="R177" i="3"/>
  <c r="T177" i="3"/>
  <c r="O177" i="3"/>
  <c r="Q177" i="3"/>
  <c r="S177" i="3"/>
  <c r="Z178" i="3" l="1"/>
  <c r="U177" i="3"/>
  <c r="W178" i="3" l="1"/>
  <c r="Y178" i="3"/>
  <c r="T178" i="3"/>
  <c r="O178" i="3" l="1"/>
  <c r="S178" i="3"/>
  <c r="Q178" i="3"/>
  <c r="R178" i="3"/>
  <c r="P178" i="3"/>
  <c r="V178" i="3" l="1"/>
  <c r="U178" i="3"/>
  <c r="Y179" i="3" l="1"/>
  <c r="W179" i="3"/>
  <c r="X179" i="3"/>
  <c r="Z179" i="3"/>
  <c r="P179" i="3" l="1"/>
  <c r="R179" i="3"/>
  <c r="T179" i="3"/>
  <c r="O179" i="3"/>
  <c r="Q179" i="3"/>
  <c r="S179" i="3"/>
  <c r="U179" i="3" l="1"/>
  <c r="V179" i="3"/>
  <c r="Z180" i="3" l="1"/>
  <c r="X180" i="3"/>
  <c r="W180" i="3"/>
  <c r="Y180" i="3"/>
  <c r="O180" i="3" l="1"/>
  <c r="Q180" i="3"/>
  <c r="S180" i="3"/>
  <c r="P180" i="3"/>
  <c r="R180" i="3"/>
  <c r="T180" i="3"/>
  <c r="V180" i="3" l="1"/>
  <c r="U180" i="3"/>
  <c r="Y181" i="3" l="1"/>
  <c r="W181" i="3"/>
  <c r="X181" i="3"/>
  <c r="Z181" i="3"/>
  <c r="P181" i="3" l="1"/>
  <c r="R181" i="3"/>
  <c r="T181" i="3"/>
  <c r="O181" i="3"/>
  <c r="Q181" i="3"/>
  <c r="S181" i="3"/>
  <c r="U181" i="3" l="1"/>
  <c r="V181" i="3"/>
  <c r="Z182" i="3" l="1"/>
  <c r="X182" i="3"/>
  <c r="W182" i="3"/>
  <c r="Y182" i="3"/>
  <c r="O182" i="3" l="1"/>
  <c r="Q182" i="3"/>
  <c r="S182" i="3"/>
  <c r="P182" i="3"/>
  <c r="R182" i="3"/>
  <c r="T182" i="3"/>
  <c r="V182" i="3" l="1"/>
  <c r="U182" i="3"/>
  <c r="Y183" i="3" l="1"/>
  <c r="W183" i="3"/>
  <c r="X183" i="3"/>
  <c r="Z183" i="3"/>
  <c r="P183" i="3" l="1"/>
  <c r="R183" i="3"/>
  <c r="T183" i="3"/>
  <c r="O183" i="3"/>
  <c r="Q183" i="3"/>
  <c r="S183" i="3"/>
  <c r="U183" i="3" l="1"/>
  <c r="V183" i="3"/>
  <c r="Z184" i="3" l="1"/>
  <c r="X184" i="3"/>
  <c r="W184" i="3"/>
  <c r="Y184" i="3"/>
  <c r="O184" i="3" l="1"/>
  <c r="Q184" i="3"/>
  <c r="S184" i="3"/>
  <c r="P184" i="3"/>
  <c r="R184" i="3"/>
  <c r="T184" i="3"/>
  <c r="V184" i="3" l="1"/>
  <c r="U184" i="3"/>
  <c r="Y185" i="3" l="1"/>
  <c r="W185" i="3"/>
  <c r="X185" i="3"/>
  <c r="Z185" i="3"/>
  <c r="P185" i="3" l="1"/>
  <c r="R185" i="3"/>
  <c r="T185" i="3"/>
  <c r="O185" i="3"/>
  <c r="Q185" i="3"/>
  <c r="S185" i="3"/>
  <c r="U185" i="3" l="1"/>
  <c r="V185" i="3"/>
  <c r="Z186" i="3" l="1"/>
  <c r="X186" i="3"/>
  <c r="W186" i="3"/>
  <c r="Y186" i="3"/>
  <c r="O186" i="3" l="1"/>
  <c r="Q186" i="3"/>
  <c r="S186" i="3"/>
  <c r="P186" i="3"/>
  <c r="R186" i="3"/>
  <c r="T186" i="3"/>
  <c r="V186" i="3" l="1"/>
  <c r="U186" i="3"/>
  <c r="W187" i="3" l="1"/>
  <c r="Y187" i="3"/>
  <c r="Z187" i="3"/>
  <c r="X187" i="3"/>
  <c r="O187" i="3" l="1"/>
  <c r="U187" i="3" s="1"/>
  <c r="Y188" i="3" s="1"/>
  <c r="Q187" i="3"/>
  <c r="S187" i="3"/>
  <c r="P187" i="3"/>
  <c r="R187" i="3"/>
  <c r="T187" i="3"/>
  <c r="W188" i="3" l="1"/>
  <c r="V187" i="3"/>
  <c r="X188" i="3" l="1"/>
  <c r="Z188" i="3"/>
  <c r="P188" i="3" l="1"/>
  <c r="R188" i="3"/>
  <c r="T188" i="3"/>
  <c r="O188" i="3"/>
  <c r="S188" i="3"/>
  <c r="Q188" i="3"/>
  <c r="V188" i="3" l="1"/>
  <c r="U188" i="3"/>
  <c r="W189" i="3" l="1"/>
  <c r="Y189" i="3"/>
  <c r="Z189" i="3"/>
  <c r="X189" i="3"/>
  <c r="O189" i="3" l="1"/>
  <c r="Q189" i="3"/>
  <c r="S189" i="3"/>
  <c r="P189" i="3"/>
  <c r="R189" i="3"/>
  <c r="T189" i="3"/>
  <c r="U189" i="3" l="1"/>
  <c r="V189" i="3"/>
  <c r="X190" i="3" l="1"/>
  <c r="Z190" i="3"/>
  <c r="Y190" i="3"/>
  <c r="W190" i="3"/>
  <c r="P190" i="3" l="1"/>
  <c r="R190" i="3"/>
  <c r="T190" i="3"/>
  <c r="O190" i="3"/>
  <c r="Q190" i="3"/>
  <c r="S190" i="3"/>
  <c r="V190" i="3" l="1"/>
  <c r="U190" i="3"/>
  <c r="W191" i="3" l="1"/>
  <c r="Y191" i="3"/>
  <c r="Z191" i="3"/>
  <c r="X191" i="3"/>
  <c r="O191" i="3" l="1"/>
  <c r="Q191" i="3"/>
  <c r="S191" i="3"/>
  <c r="P191" i="3"/>
  <c r="R191" i="3"/>
  <c r="T191" i="3"/>
  <c r="U191" i="3" l="1"/>
  <c r="V191" i="3"/>
  <c r="X192" i="3" l="1"/>
  <c r="Z192" i="3"/>
  <c r="Y192" i="3"/>
  <c r="W192" i="3"/>
  <c r="P192" i="3" l="1"/>
  <c r="R192" i="3"/>
  <c r="T192" i="3"/>
  <c r="O192" i="3"/>
  <c r="Q192" i="3"/>
  <c r="S192" i="3"/>
  <c r="V192" i="3" l="1"/>
  <c r="U192" i="3"/>
  <c r="W193" i="3" l="1"/>
  <c r="Y193" i="3"/>
  <c r="Z193" i="3"/>
  <c r="X193" i="3"/>
  <c r="O193" i="3" l="1"/>
  <c r="Q193" i="3"/>
  <c r="S193" i="3"/>
  <c r="P193" i="3"/>
  <c r="R193" i="3"/>
  <c r="T193" i="3"/>
  <c r="U193" i="3" l="1"/>
  <c r="V193" i="3"/>
  <c r="X194" i="3" l="1"/>
  <c r="Z194" i="3"/>
  <c r="Y194" i="3"/>
  <c r="W194" i="3"/>
  <c r="P194" i="3" l="1"/>
  <c r="R194" i="3"/>
  <c r="T194" i="3"/>
  <c r="O194" i="3"/>
  <c r="Q194" i="3"/>
  <c r="S194" i="3"/>
  <c r="V194" i="3" l="1"/>
  <c r="U194" i="3"/>
  <c r="W195" i="3" l="1"/>
  <c r="Y195" i="3"/>
  <c r="Z195" i="3"/>
  <c r="X195" i="3"/>
  <c r="O195" i="3" l="1"/>
  <c r="Q195" i="3"/>
  <c r="S195" i="3"/>
  <c r="P195" i="3"/>
  <c r="R195" i="3"/>
  <c r="T195" i="3"/>
  <c r="U195" i="3" l="1"/>
  <c r="V195" i="3"/>
  <c r="Z196" i="3" l="1"/>
  <c r="X196" i="3"/>
  <c r="Y196" i="3"/>
  <c r="W196" i="3"/>
  <c r="O196" i="3" l="1"/>
  <c r="U196" i="3" s="1"/>
  <c r="W197" i="3" s="1"/>
  <c r="S196" i="3"/>
  <c r="Q196" i="3"/>
  <c r="P196" i="3"/>
  <c r="R196" i="3"/>
  <c r="T196" i="3"/>
  <c r="Y197" i="3" l="1"/>
  <c r="V196" i="3"/>
  <c r="X197" i="3" l="1"/>
  <c r="Z197" i="3"/>
  <c r="Q197" i="3"/>
  <c r="P197" i="3" l="1"/>
  <c r="R197" i="3"/>
  <c r="T197" i="3"/>
  <c r="S197" i="3"/>
  <c r="O197" i="3"/>
  <c r="U197" i="3" s="1"/>
  <c r="W198" i="3" l="1"/>
  <c r="Y198" i="3"/>
  <c r="V197" i="3"/>
  <c r="Z198" i="3" l="1"/>
  <c r="Q198" i="3" s="1"/>
  <c r="X198" i="3"/>
  <c r="P198" i="3" l="1"/>
  <c r="R198" i="3"/>
  <c r="T198" i="3"/>
  <c r="S198" i="3"/>
  <c r="O198" i="3"/>
  <c r="V198" i="3" l="1"/>
  <c r="U198" i="3"/>
  <c r="Y199" i="3" l="1"/>
  <c r="W199" i="3"/>
  <c r="Z199" i="3"/>
  <c r="X199" i="3"/>
  <c r="P199" i="3" l="1"/>
  <c r="V199" i="3" s="1"/>
  <c r="X200" i="3" s="1"/>
  <c r="R199" i="3"/>
  <c r="T199" i="3"/>
  <c r="O199" i="3"/>
  <c r="Q199" i="3"/>
  <c r="S199" i="3"/>
  <c r="Z200" i="3" l="1"/>
  <c r="U199" i="3"/>
  <c r="W200" i="3" l="1"/>
  <c r="Y200" i="3"/>
  <c r="O200" i="3" l="1"/>
  <c r="Q200" i="3"/>
  <c r="S200" i="3"/>
  <c r="T200" i="3"/>
  <c r="R200" i="3"/>
  <c r="P200" i="3"/>
  <c r="U200" i="3" l="1"/>
  <c r="V200" i="3"/>
  <c r="X201" i="3" l="1"/>
  <c r="Z201" i="3"/>
  <c r="Y201" i="3"/>
  <c r="W201" i="3"/>
  <c r="P201" i="3" l="1"/>
  <c r="R201" i="3"/>
  <c r="T201" i="3"/>
  <c r="O201" i="3"/>
  <c r="Q201" i="3"/>
  <c r="S201" i="3"/>
  <c r="V201" i="3" l="1"/>
  <c r="U201" i="3"/>
  <c r="W202" i="3" l="1"/>
  <c r="Y202" i="3"/>
  <c r="Z202" i="3"/>
  <c r="X202" i="3"/>
  <c r="O202" i="3" l="1"/>
  <c r="Q202" i="3"/>
  <c r="S202" i="3"/>
  <c r="P202" i="3"/>
  <c r="R202" i="3"/>
  <c r="T202" i="3"/>
  <c r="U202" i="3" l="1"/>
  <c r="V202" i="3"/>
  <c r="X203" i="3" l="1"/>
  <c r="Z203" i="3"/>
  <c r="Y203" i="3"/>
  <c r="W203" i="3"/>
  <c r="P203" i="3" l="1"/>
  <c r="R203" i="3"/>
  <c r="T203" i="3"/>
  <c r="O203" i="3"/>
  <c r="Q203" i="3"/>
  <c r="S203" i="3"/>
  <c r="V203" i="3" l="1"/>
  <c r="U203" i="3"/>
  <c r="W204" i="3" l="1"/>
  <c r="Y204" i="3"/>
  <c r="Z204" i="3"/>
  <c r="X204" i="3"/>
  <c r="O204" i="3" l="1"/>
  <c r="Q204" i="3"/>
  <c r="S204" i="3"/>
  <c r="P204" i="3"/>
  <c r="R204" i="3"/>
  <c r="T204" i="3"/>
  <c r="U204" i="3" l="1"/>
  <c r="V204" i="3"/>
  <c r="X205" i="3" l="1"/>
  <c r="Z205" i="3"/>
  <c r="Y205" i="3"/>
  <c r="W205" i="3"/>
  <c r="P205" i="3" l="1"/>
  <c r="R205" i="3"/>
  <c r="T205" i="3"/>
  <c r="O205" i="3"/>
  <c r="Q205" i="3"/>
  <c r="S205" i="3"/>
  <c r="V205" i="3" l="1"/>
  <c r="U205" i="3"/>
  <c r="W206" i="3" l="1"/>
  <c r="Y206" i="3"/>
  <c r="Z206" i="3"/>
  <c r="X206" i="3"/>
  <c r="O206" i="3" l="1"/>
  <c r="Q206" i="3"/>
  <c r="S206" i="3"/>
  <c r="P206" i="3"/>
  <c r="R206" i="3"/>
  <c r="T206" i="3"/>
  <c r="U206" i="3" l="1"/>
  <c r="V206" i="3"/>
  <c r="X207" i="3" l="1"/>
  <c r="Z207" i="3"/>
  <c r="Y207" i="3"/>
  <c r="W207" i="3"/>
  <c r="P207" i="3" l="1"/>
  <c r="R207" i="3"/>
  <c r="T207" i="3"/>
  <c r="O207" i="3"/>
  <c r="Q207" i="3"/>
  <c r="S207" i="3"/>
  <c r="V207" i="3" l="1"/>
  <c r="U207" i="3"/>
  <c r="W208" i="3" l="1"/>
  <c r="Y208" i="3"/>
  <c r="Z208" i="3"/>
  <c r="X208" i="3"/>
  <c r="O208" i="3" l="1"/>
  <c r="Q208" i="3"/>
  <c r="S208" i="3"/>
  <c r="P208" i="3"/>
  <c r="R208" i="3"/>
  <c r="T208" i="3"/>
  <c r="U208" i="3" l="1"/>
  <c r="V208" i="3"/>
  <c r="X209" i="3" l="1"/>
  <c r="Z209" i="3"/>
  <c r="Y209" i="3"/>
  <c r="W209" i="3"/>
  <c r="P209" i="3" l="1"/>
  <c r="R209" i="3"/>
  <c r="T209" i="3"/>
  <c r="O209" i="3"/>
  <c r="Q209" i="3"/>
  <c r="S209" i="3"/>
  <c r="V209" i="3" l="1"/>
  <c r="U209" i="3"/>
  <c r="W210" i="3" l="1"/>
  <c r="Y210" i="3"/>
  <c r="Z210" i="3"/>
  <c r="X210" i="3"/>
  <c r="O210" i="3" l="1"/>
  <c r="Q210" i="3"/>
  <c r="S210" i="3"/>
  <c r="P210" i="3"/>
  <c r="R210" i="3"/>
  <c r="T210" i="3"/>
  <c r="U210" i="3" l="1"/>
  <c r="V210" i="3"/>
  <c r="X211" i="3" l="1"/>
  <c r="Z211" i="3"/>
  <c r="Y211" i="3"/>
  <c r="W211" i="3"/>
  <c r="P211" i="3" l="1"/>
  <c r="R211" i="3"/>
  <c r="T211" i="3"/>
  <c r="O211" i="3"/>
  <c r="Q211" i="3"/>
  <c r="S211" i="3"/>
  <c r="V211" i="3" l="1"/>
  <c r="U211" i="3"/>
  <c r="W212" i="3" l="1"/>
  <c r="Y212" i="3"/>
  <c r="Z212" i="3"/>
  <c r="X212" i="3"/>
  <c r="O212" i="3" l="1"/>
  <c r="Q212" i="3"/>
  <c r="S212" i="3"/>
  <c r="P212" i="3"/>
  <c r="T212" i="3"/>
  <c r="R212" i="3"/>
  <c r="U212" i="3" l="1"/>
  <c r="V212" i="3"/>
  <c r="X213" i="3" l="1"/>
  <c r="Z213" i="3"/>
  <c r="Y213" i="3"/>
  <c r="W213" i="3"/>
  <c r="O213" i="3" l="1"/>
  <c r="Q213" i="3"/>
  <c r="S213" i="3"/>
  <c r="P213" i="3"/>
  <c r="V213" i="3" s="1"/>
  <c r="X214" i="3" s="1"/>
  <c r="R213" i="3"/>
  <c r="T213" i="3"/>
  <c r="Z214" i="3" l="1"/>
  <c r="U213" i="3"/>
  <c r="Y214" i="3" l="1"/>
  <c r="W214" i="3"/>
  <c r="P214" i="3"/>
  <c r="R214" i="3"/>
  <c r="T214" i="3"/>
  <c r="V214" i="3" l="1"/>
  <c r="O214" i="3"/>
  <c r="S214" i="3"/>
  <c r="Q214" i="3"/>
  <c r="U214" i="3" l="1"/>
  <c r="X215" i="3"/>
  <c r="Z215" i="3"/>
  <c r="P215" i="3" l="1"/>
  <c r="R215" i="3"/>
  <c r="T215" i="3"/>
  <c r="W215" i="3"/>
  <c r="Y215" i="3"/>
  <c r="V215" i="3" l="1"/>
  <c r="O215" i="3"/>
  <c r="Q215" i="3"/>
  <c r="S215" i="3"/>
  <c r="U215" i="3" l="1"/>
  <c r="Z216" i="3"/>
  <c r="X216" i="3"/>
  <c r="P216" i="3" l="1"/>
  <c r="R216" i="3"/>
  <c r="T216" i="3"/>
  <c r="W216" i="3"/>
  <c r="Y216" i="3"/>
  <c r="V216" i="3" l="1"/>
  <c r="O216" i="3"/>
  <c r="Q216" i="3"/>
  <c r="S216" i="3"/>
  <c r="U216" i="3" l="1"/>
  <c r="X217" i="3"/>
  <c r="Z217" i="3"/>
  <c r="P217" i="3" l="1"/>
  <c r="R217" i="3"/>
  <c r="T217" i="3"/>
  <c r="W217" i="3"/>
  <c r="Y217" i="3"/>
  <c r="V217" i="3" l="1"/>
  <c r="O217" i="3"/>
  <c r="Q217" i="3"/>
  <c r="S217" i="3"/>
  <c r="U217" i="3" l="1"/>
  <c r="Z218" i="3"/>
  <c r="X218" i="3"/>
  <c r="P218" i="3" l="1"/>
  <c r="R218" i="3"/>
  <c r="T218" i="3"/>
  <c r="W218" i="3"/>
  <c r="Y218" i="3"/>
  <c r="V218" i="3" l="1"/>
  <c r="O218" i="3"/>
  <c r="Q218" i="3"/>
  <c r="S218" i="3"/>
  <c r="U218" i="3" l="1"/>
  <c r="X219" i="3"/>
  <c r="Z219" i="3"/>
  <c r="P219" i="3" l="1"/>
  <c r="R219" i="3"/>
  <c r="T219" i="3"/>
  <c r="W219" i="3"/>
  <c r="Y219" i="3"/>
  <c r="V219" i="3" l="1"/>
  <c r="O219" i="3"/>
  <c r="Q219" i="3"/>
  <c r="S219" i="3"/>
  <c r="U219" i="3" l="1"/>
  <c r="Z220" i="3"/>
  <c r="X220" i="3"/>
  <c r="P220" i="3" l="1"/>
  <c r="R220" i="3"/>
  <c r="T220" i="3"/>
  <c r="W220" i="3"/>
  <c r="Y220" i="3"/>
  <c r="V220" i="3" l="1"/>
  <c r="O220" i="3"/>
  <c r="Q220" i="3"/>
  <c r="S220" i="3"/>
  <c r="U220" i="3" l="1"/>
  <c r="Z221" i="3"/>
  <c r="X221" i="3"/>
  <c r="P221" i="3" l="1"/>
  <c r="R221" i="3"/>
  <c r="T221" i="3"/>
  <c r="W221" i="3"/>
  <c r="Y221" i="3"/>
  <c r="V221" i="3" l="1"/>
  <c r="O221" i="3"/>
  <c r="Q221" i="3"/>
  <c r="S221" i="3"/>
  <c r="U221" i="3" l="1"/>
  <c r="X222" i="3"/>
  <c r="Z222" i="3"/>
  <c r="P222" i="3" l="1"/>
  <c r="R222" i="3"/>
  <c r="T222" i="3"/>
  <c r="W222" i="3"/>
  <c r="Y222" i="3"/>
  <c r="V222" i="3" l="1"/>
  <c r="O222" i="3"/>
  <c r="Q222" i="3"/>
  <c r="S222" i="3"/>
  <c r="U222" i="3" l="1"/>
  <c r="Z223" i="3"/>
  <c r="X223" i="3"/>
  <c r="P223" i="3" l="1"/>
  <c r="R223" i="3"/>
  <c r="T223" i="3"/>
  <c r="W223" i="3"/>
  <c r="Y223" i="3"/>
  <c r="V223" i="3" l="1"/>
  <c r="O223" i="3"/>
  <c r="Q223" i="3"/>
  <c r="S223" i="3"/>
  <c r="U223" i="3" l="1"/>
  <c r="X224" i="3"/>
  <c r="Z224" i="3"/>
  <c r="P224" i="3" l="1"/>
  <c r="R224" i="3"/>
  <c r="T224" i="3"/>
  <c r="W224" i="3"/>
  <c r="Y224" i="3"/>
  <c r="V224" i="3" l="1"/>
  <c r="O224" i="3"/>
  <c r="Q224" i="3"/>
  <c r="S224" i="3"/>
  <c r="U224" i="3" l="1"/>
  <c r="Z225" i="3"/>
  <c r="X225" i="3"/>
  <c r="P225" i="3" l="1"/>
  <c r="R225" i="3"/>
  <c r="T225" i="3"/>
  <c r="W225" i="3"/>
  <c r="Y225" i="3"/>
  <c r="V225" i="3" l="1"/>
  <c r="O225" i="3"/>
  <c r="Q225" i="3"/>
  <c r="S225" i="3"/>
  <c r="U225" i="3" l="1"/>
  <c r="X226" i="3"/>
  <c r="Z226" i="3"/>
  <c r="P226" i="3" l="1"/>
  <c r="R226" i="3"/>
  <c r="T226" i="3"/>
  <c r="W226" i="3"/>
  <c r="Y226" i="3"/>
  <c r="V226" i="3" l="1"/>
  <c r="O226" i="3"/>
  <c r="Q226" i="3"/>
  <c r="S226" i="3"/>
  <c r="U226" i="3" l="1"/>
  <c r="Z227" i="3"/>
  <c r="X227" i="3"/>
  <c r="P227" i="3" l="1"/>
  <c r="R227" i="3"/>
  <c r="T227" i="3"/>
  <c r="W227" i="3"/>
  <c r="Y227" i="3"/>
  <c r="V227" i="3" l="1"/>
  <c r="O227" i="3"/>
  <c r="S227" i="3"/>
  <c r="Q227" i="3"/>
  <c r="U227" i="3" l="1"/>
  <c r="X228" i="3"/>
  <c r="Z228" i="3"/>
  <c r="P228" i="3" l="1"/>
  <c r="R228" i="3"/>
  <c r="T228" i="3"/>
  <c r="W228" i="3"/>
  <c r="Y228" i="3"/>
  <c r="V228" i="3" l="1"/>
  <c r="O228" i="3"/>
  <c r="Q228" i="3"/>
  <c r="S228" i="3"/>
  <c r="U228" i="3" l="1"/>
  <c r="Z229" i="3"/>
  <c r="X229" i="3"/>
  <c r="P229" i="3" l="1"/>
  <c r="R229" i="3"/>
  <c r="T229" i="3"/>
  <c r="W229" i="3"/>
  <c r="Y229" i="3"/>
  <c r="V229" i="3" l="1"/>
  <c r="O229" i="3"/>
  <c r="S229" i="3"/>
  <c r="Q229" i="3"/>
  <c r="U229" i="3" l="1"/>
  <c r="X230" i="3"/>
  <c r="Z230" i="3"/>
  <c r="T230" i="3" l="1"/>
  <c r="R230" i="3"/>
  <c r="W230" i="3"/>
  <c r="Y230" i="3"/>
  <c r="P230" i="3" s="1"/>
  <c r="V230" i="3" s="1"/>
  <c r="Z231" i="3" l="1"/>
  <c r="X231" i="3"/>
  <c r="O230" i="3"/>
  <c r="Q230" i="3"/>
  <c r="S230" i="3"/>
  <c r="U230" i="3" l="1"/>
  <c r="W231" i="3" l="1"/>
  <c r="Y231" i="3"/>
  <c r="O231" i="3" l="1"/>
  <c r="Q231" i="3"/>
  <c r="S231" i="3"/>
  <c r="P231" i="3"/>
  <c r="R231" i="3"/>
  <c r="T231" i="3"/>
  <c r="U231" i="3" l="1"/>
  <c r="V231" i="3"/>
  <c r="X232" i="3" l="1"/>
  <c r="Z232" i="3"/>
  <c r="Y232" i="3"/>
  <c r="W232" i="3"/>
  <c r="P232" i="3" l="1"/>
  <c r="R232" i="3"/>
  <c r="T232" i="3"/>
  <c r="O232" i="3"/>
  <c r="Q232" i="3"/>
  <c r="S232" i="3"/>
  <c r="V232" i="3" l="1"/>
  <c r="U232" i="3"/>
  <c r="W233" i="3" l="1"/>
  <c r="Y233" i="3"/>
  <c r="Z233" i="3"/>
  <c r="X233" i="3"/>
  <c r="O233" i="3" l="1"/>
  <c r="Q233" i="3"/>
  <c r="S233" i="3"/>
  <c r="P233" i="3"/>
  <c r="R233" i="3"/>
  <c r="T233" i="3"/>
  <c r="U233" i="3" l="1"/>
  <c r="V233" i="3"/>
  <c r="X234" i="3" l="1"/>
  <c r="Z234" i="3"/>
  <c r="Y234" i="3"/>
  <c r="W234" i="3"/>
  <c r="P234" i="3" l="1"/>
  <c r="R234" i="3"/>
  <c r="T234" i="3"/>
  <c r="O234" i="3"/>
  <c r="Q234" i="3"/>
  <c r="S234" i="3"/>
  <c r="V234" i="3" l="1"/>
  <c r="U234" i="3"/>
  <c r="W235" i="3" l="1"/>
  <c r="Y235" i="3"/>
  <c r="Z235" i="3"/>
  <c r="X235" i="3"/>
  <c r="O235" i="3" l="1"/>
  <c r="Q235" i="3"/>
  <c r="S235" i="3"/>
  <c r="P235" i="3"/>
  <c r="R235" i="3"/>
  <c r="T235" i="3"/>
  <c r="U235" i="3" l="1"/>
  <c r="V235" i="3"/>
  <c r="X236" i="3" l="1"/>
  <c r="Z236" i="3"/>
  <c r="Y236" i="3"/>
  <c r="W236" i="3"/>
  <c r="P236" i="3" l="1"/>
  <c r="R236" i="3"/>
  <c r="T236" i="3"/>
  <c r="O236" i="3"/>
  <c r="Q236" i="3"/>
  <c r="S236" i="3"/>
  <c r="V236" i="3" l="1"/>
  <c r="U236" i="3"/>
  <c r="W237" i="3" l="1"/>
  <c r="Y237" i="3"/>
  <c r="Z237" i="3"/>
  <c r="X237" i="3"/>
  <c r="P237" i="3" l="1"/>
  <c r="R237" i="3"/>
  <c r="T237" i="3"/>
  <c r="O237" i="3"/>
  <c r="U237" i="3" s="1"/>
  <c r="W238" i="3" s="1"/>
  <c r="Q237" i="3"/>
  <c r="S237" i="3"/>
  <c r="V237" i="3" l="1"/>
  <c r="Y238" i="3"/>
  <c r="Z238" i="3" l="1"/>
  <c r="Q238" i="3" s="1"/>
  <c r="X238" i="3"/>
  <c r="P238" i="3" l="1"/>
  <c r="R238" i="3"/>
  <c r="T238" i="3"/>
  <c r="S238" i="3"/>
  <c r="O238" i="3"/>
  <c r="V238" i="3" l="1"/>
  <c r="U238" i="3"/>
  <c r="W239" i="3" l="1"/>
  <c r="Y239" i="3"/>
  <c r="X239" i="3"/>
  <c r="Z239" i="3"/>
  <c r="O239" i="3" l="1"/>
  <c r="Q239" i="3"/>
  <c r="S239" i="3"/>
  <c r="P239" i="3"/>
  <c r="V239" i="3" s="1"/>
  <c r="X240" i="3" s="1"/>
  <c r="R239" i="3"/>
  <c r="T239" i="3"/>
  <c r="U239" i="3" l="1"/>
  <c r="Z240" i="3"/>
  <c r="Y240" i="3" l="1"/>
  <c r="T240" i="3" s="1"/>
  <c r="W240" i="3"/>
  <c r="O240" i="3" l="1"/>
  <c r="Q240" i="3"/>
  <c r="S240" i="3"/>
  <c r="R240" i="3"/>
  <c r="P240" i="3"/>
  <c r="U240" i="3" l="1"/>
  <c r="V240" i="3"/>
  <c r="X241" i="3" l="1"/>
  <c r="Z241" i="3"/>
  <c r="W241" i="3"/>
  <c r="Y241" i="3"/>
  <c r="P241" i="3" l="1"/>
  <c r="R241" i="3"/>
  <c r="T241" i="3"/>
  <c r="O241" i="3"/>
  <c r="U241" i="3" s="1"/>
  <c r="W242" i="3" s="1"/>
  <c r="Q241" i="3"/>
  <c r="S241" i="3"/>
  <c r="Y242" i="3" l="1"/>
  <c r="V241" i="3"/>
  <c r="Z242" i="3" l="1"/>
  <c r="X242" i="3"/>
  <c r="O242" i="3"/>
  <c r="Q242" i="3"/>
  <c r="S242" i="3"/>
  <c r="U242" i="3" l="1"/>
  <c r="P242" i="3"/>
  <c r="R242" i="3"/>
  <c r="T242" i="3"/>
  <c r="V242" i="3" l="1"/>
  <c r="W243" i="3"/>
  <c r="Y243" i="3"/>
  <c r="S243" i="3" l="1"/>
  <c r="X243" i="3"/>
  <c r="Z243" i="3"/>
  <c r="O243" i="3" s="1"/>
  <c r="Q243" i="3" l="1"/>
  <c r="U243" i="3" s="1"/>
  <c r="P243" i="3"/>
  <c r="V243" i="3" s="1"/>
  <c r="X244" i="3" s="1"/>
  <c r="R243" i="3"/>
  <c r="T243" i="3"/>
  <c r="Y244" i="3" l="1"/>
  <c r="W244" i="3"/>
  <c r="Z244" i="3"/>
  <c r="P244" i="3" l="1"/>
  <c r="R244" i="3"/>
  <c r="T244" i="3"/>
  <c r="O244" i="3"/>
  <c r="Q244" i="3"/>
  <c r="S244" i="3"/>
  <c r="V244" i="3" l="1"/>
  <c r="U244" i="3"/>
  <c r="Y245" i="3" l="1"/>
  <c r="W245" i="3"/>
  <c r="X245" i="3"/>
  <c r="Z245" i="3"/>
  <c r="P245" i="3" l="1"/>
  <c r="R245" i="3"/>
  <c r="T245" i="3"/>
  <c r="O245" i="3"/>
  <c r="S245" i="3"/>
  <c r="Q245" i="3"/>
  <c r="V245" i="3" l="1"/>
  <c r="U245" i="3"/>
  <c r="Y246" i="3" l="1"/>
  <c r="W246" i="3"/>
  <c r="Z246" i="3"/>
  <c r="X246" i="3"/>
  <c r="P246" i="3" l="1"/>
  <c r="R246" i="3"/>
  <c r="T246" i="3"/>
  <c r="O246" i="3"/>
  <c r="Q246" i="3"/>
  <c r="S246" i="3"/>
  <c r="V246" i="3" l="1"/>
  <c r="U246" i="3"/>
  <c r="Y247" i="3" l="1"/>
  <c r="W247" i="3"/>
  <c r="Z247" i="3"/>
  <c r="X247" i="3"/>
  <c r="P247" i="3" l="1"/>
  <c r="R247" i="3"/>
  <c r="T247" i="3"/>
  <c r="O247" i="3"/>
  <c r="Q247" i="3"/>
  <c r="S247" i="3"/>
  <c r="V247" i="3" l="1"/>
  <c r="U247" i="3"/>
  <c r="Y248" i="3" l="1"/>
  <c r="W248" i="3"/>
  <c r="Z248" i="3"/>
  <c r="X248" i="3"/>
  <c r="P248" i="3" l="1"/>
  <c r="T248" i="3"/>
  <c r="R248" i="3"/>
  <c r="O248" i="3"/>
  <c r="Q248" i="3"/>
  <c r="S248" i="3"/>
  <c r="U248" i="3" l="1"/>
  <c r="V248" i="3"/>
  <c r="X249" i="3" l="1"/>
  <c r="Z249" i="3"/>
  <c r="Y249" i="3"/>
  <c r="W249" i="3"/>
  <c r="P249" i="3" l="1"/>
  <c r="R249" i="3"/>
  <c r="T249" i="3"/>
  <c r="O249" i="3"/>
  <c r="Q249" i="3"/>
  <c r="S249" i="3"/>
  <c r="V249" i="3" l="1"/>
  <c r="U249" i="3"/>
  <c r="W250" i="3" l="1"/>
  <c r="Y250" i="3"/>
  <c r="Z250" i="3"/>
  <c r="X250" i="3"/>
  <c r="O250" i="3" l="1"/>
  <c r="Q250" i="3"/>
  <c r="S250" i="3"/>
  <c r="P250" i="3"/>
  <c r="R250" i="3"/>
  <c r="T250" i="3"/>
  <c r="U250" i="3" l="1"/>
  <c r="V250" i="3"/>
  <c r="X251" i="3" l="1"/>
  <c r="Z251" i="3"/>
  <c r="Y251" i="3"/>
  <c r="W251" i="3"/>
  <c r="O251" i="3" l="1"/>
  <c r="Q251" i="3"/>
  <c r="S251" i="3"/>
  <c r="P251" i="3"/>
  <c r="V251" i="3" s="1"/>
  <c r="X252" i="3" s="1"/>
  <c r="T251" i="3"/>
  <c r="R251" i="3"/>
  <c r="Z252" i="3" l="1"/>
  <c r="U251" i="3"/>
  <c r="Y252" i="3" l="1"/>
  <c r="W252" i="3"/>
  <c r="P252" i="3"/>
  <c r="R252" i="3"/>
  <c r="T252" i="3"/>
  <c r="V252" i="3" l="1"/>
  <c r="O252" i="3"/>
  <c r="Q252" i="3"/>
  <c r="S252" i="3"/>
  <c r="U252" i="3" l="1"/>
  <c r="X253" i="3"/>
  <c r="Z253" i="3"/>
  <c r="P253" i="3" l="1"/>
  <c r="V253" i="3" s="1"/>
  <c r="Z254" i="3" s="1"/>
  <c r="R253" i="3"/>
  <c r="T253" i="3"/>
  <c r="W253" i="3"/>
  <c r="Y253" i="3"/>
  <c r="X254" i="3" l="1"/>
  <c r="O253" i="3"/>
  <c r="U253" i="3" s="1"/>
  <c r="Y254" i="3" s="1"/>
  <c r="Q253" i="3"/>
  <c r="S253" i="3"/>
  <c r="O254" i="3" l="1"/>
  <c r="Q254" i="3"/>
  <c r="S254" i="3"/>
  <c r="P254" i="3"/>
  <c r="V254" i="3" s="1"/>
  <c r="Z255" i="3" s="1"/>
  <c r="R254" i="3"/>
  <c r="T254" i="3"/>
  <c r="W254" i="3"/>
  <c r="W255" i="3" l="1"/>
  <c r="X255" i="3"/>
  <c r="U254" i="3"/>
  <c r="Y255" i="3"/>
  <c r="R255" i="3" s="1"/>
  <c r="O255" i="3" l="1"/>
  <c r="Q255" i="3"/>
  <c r="S255" i="3"/>
  <c r="T255" i="3"/>
  <c r="P255" i="3"/>
  <c r="V255" i="3" s="1"/>
  <c r="Z256" i="3" s="1"/>
  <c r="X256" i="3" l="1"/>
  <c r="U255" i="3"/>
  <c r="W256" i="3" l="1"/>
  <c r="Y256" i="3"/>
  <c r="O256" i="3" l="1"/>
  <c r="Q256" i="3"/>
  <c r="S256" i="3"/>
  <c r="P256" i="3"/>
  <c r="T256" i="3"/>
  <c r="R256" i="3"/>
  <c r="U256" i="3" l="1"/>
  <c r="V256" i="3"/>
  <c r="Z257" i="3" l="1"/>
  <c r="X257" i="3"/>
  <c r="Y257" i="3"/>
  <c r="W257" i="3"/>
  <c r="O257" i="3" l="1"/>
  <c r="Q257" i="3"/>
  <c r="S257" i="3"/>
  <c r="P257" i="3"/>
  <c r="R257" i="3"/>
  <c r="T257" i="3"/>
  <c r="V257" i="3" l="1"/>
  <c r="U257" i="3"/>
  <c r="Y258" i="3" l="1"/>
  <c r="W258" i="3"/>
  <c r="Z258" i="3"/>
  <c r="X258" i="3"/>
  <c r="P258" i="3" l="1"/>
  <c r="R258" i="3"/>
  <c r="T258" i="3"/>
  <c r="O258" i="3"/>
  <c r="Q258" i="3"/>
  <c r="S258" i="3"/>
  <c r="V258" i="3" l="1"/>
  <c r="U258" i="3"/>
  <c r="Y259" i="3" l="1"/>
  <c r="W259" i="3"/>
  <c r="X259" i="3"/>
  <c r="Z259" i="3"/>
  <c r="P259" i="3" l="1"/>
  <c r="V259" i="3" s="1"/>
  <c r="X260" i="3" s="1"/>
  <c r="R259" i="3"/>
  <c r="T259" i="3"/>
  <c r="O259" i="3"/>
  <c r="Q259" i="3"/>
  <c r="S259" i="3"/>
  <c r="Z260" i="3" l="1"/>
  <c r="U259" i="3"/>
  <c r="Y260" i="3" l="1"/>
  <c r="W260" i="3"/>
  <c r="P260" i="3"/>
  <c r="R260" i="3"/>
  <c r="T260" i="3"/>
  <c r="V260" i="3" l="1"/>
  <c r="O260" i="3"/>
  <c r="U260" i="3" s="1"/>
  <c r="Y261" i="3" s="1"/>
  <c r="Q260" i="3"/>
  <c r="S260" i="3"/>
  <c r="O261" i="3" l="1"/>
  <c r="Q261" i="3"/>
  <c r="W261" i="3"/>
  <c r="X261" i="3"/>
  <c r="Z261" i="3"/>
  <c r="P261" i="3" l="1"/>
  <c r="R261" i="3"/>
  <c r="T261" i="3"/>
  <c r="S261" i="3"/>
  <c r="U261" i="3" s="1"/>
  <c r="Y262" i="3" l="1"/>
  <c r="W262" i="3"/>
  <c r="V261" i="3"/>
  <c r="X262" i="3" l="1"/>
  <c r="Z262" i="3"/>
  <c r="O262" i="3"/>
  <c r="Q262" i="3"/>
  <c r="P262" i="3" l="1"/>
  <c r="R262" i="3"/>
  <c r="T262" i="3"/>
  <c r="S262" i="3"/>
  <c r="U262" i="3" s="1"/>
  <c r="W263" i="3" l="1"/>
  <c r="Y263" i="3"/>
  <c r="V262" i="3"/>
  <c r="X263" i="3" l="1"/>
  <c r="Z263" i="3"/>
  <c r="O263" i="3"/>
  <c r="S263" i="3"/>
  <c r="Q263" i="3"/>
  <c r="U263" i="3" l="1"/>
  <c r="P263" i="3"/>
  <c r="V263" i="3" s="1"/>
  <c r="X264" i="3" s="1"/>
  <c r="R263" i="3"/>
  <c r="T263" i="3"/>
  <c r="Z264" i="3" l="1"/>
  <c r="W264" i="3"/>
  <c r="Y264" i="3"/>
  <c r="O264" i="3" l="1"/>
  <c r="Q264" i="3"/>
  <c r="S264" i="3"/>
  <c r="P264" i="3"/>
  <c r="R264" i="3"/>
  <c r="T264" i="3"/>
  <c r="U264" i="3" l="1"/>
  <c r="V264" i="3"/>
  <c r="X265" i="3" l="1"/>
  <c r="Z265" i="3"/>
  <c r="Y265" i="3"/>
  <c r="W265" i="3"/>
  <c r="O265" i="3" l="1"/>
  <c r="Q265" i="3"/>
  <c r="S265" i="3"/>
  <c r="P265" i="3"/>
  <c r="R265" i="3"/>
  <c r="T265" i="3"/>
  <c r="U265" i="3" l="1"/>
  <c r="V265" i="3"/>
  <c r="X266" i="3" l="1"/>
  <c r="Z266" i="3"/>
  <c r="W266" i="3"/>
  <c r="Y266" i="3"/>
  <c r="O266" i="3" l="1"/>
  <c r="Q266" i="3"/>
  <c r="S266" i="3"/>
  <c r="P266" i="3"/>
  <c r="T266" i="3"/>
  <c r="R266" i="3"/>
  <c r="U266" i="3" l="1"/>
  <c r="V266" i="3"/>
  <c r="X267" i="3" l="1"/>
  <c r="Z267" i="3"/>
  <c r="Y267" i="3"/>
  <c r="W267" i="3"/>
  <c r="O267" i="3" l="1"/>
  <c r="U267" i="3" s="1"/>
  <c r="W268" i="3" s="1"/>
  <c r="Q267" i="3"/>
  <c r="S267" i="3"/>
  <c r="P267" i="3"/>
  <c r="R267" i="3"/>
  <c r="T267" i="3"/>
  <c r="Y268" i="3" l="1"/>
  <c r="V267" i="3"/>
  <c r="X268" i="3" l="1"/>
  <c r="Z268" i="3"/>
  <c r="O268" i="3"/>
  <c r="S268" i="3"/>
  <c r="Q268" i="3"/>
  <c r="U268" i="3" l="1"/>
  <c r="P268" i="3"/>
  <c r="R268" i="3"/>
  <c r="T268" i="3"/>
  <c r="V268" i="3" l="1"/>
  <c r="W269" i="3"/>
  <c r="Y269" i="3"/>
  <c r="Z269" i="3" l="1"/>
  <c r="S269" i="3" s="1"/>
  <c r="X269" i="3"/>
  <c r="P269" i="3" l="1"/>
  <c r="R269" i="3"/>
  <c r="T269" i="3"/>
  <c r="Q269" i="3"/>
  <c r="O269" i="3"/>
  <c r="U269" i="3" l="1"/>
  <c r="V269" i="3"/>
  <c r="Z270" i="3" l="1"/>
  <c r="X270" i="3"/>
  <c r="Y270" i="3"/>
  <c r="W270" i="3"/>
  <c r="O270" i="3" l="1"/>
  <c r="Q270" i="3"/>
  <c r="S270" i="3"/>
  <c r="P270" i="3"/>
  <c r="R270" i="3"/>
  <c r="T270" i="3"/>
  <c r="U270" i="3" l="1"/>
  <c r="V270" i="3"/>
  <c r="X271" i="3" l="1"/>
  <c r="Z271" i="3"/>
  <c r="W271" i="3"/>
  <c r="Y271" i="3"/>
  <c r="P271" i="3" l="1"/>
  <c r="R271" i="3"/>
  <c r="T271" i="3"/>
  <c r="O271" i="3"/>
  <c r="U271" i="3" s="1"/>
  <c r="W272" i="3" s="1"/>
  <c r="Q271" i="3"/>
  <c r="S271" i="3"/>
  <c r="Y272" i="3" l="1"/>
  <c r="V271" i="3"/>
  <c r="Z272" i="3" l="1"/>
  <c r="X272" i="3"/>
  <c r="O272" i="3"/>
  <c r="Q272" i="3"/>
  <c r="S272" i="3"/>
  <c r="U272" i="3" l="1"/>
  <c r="P272" i="3"/>
  <c r="R272" i="3"/>
  <c r="T272" i="3"/>
  <c r="V272" i="3" l="1"/>
  <c r="W273" i="3"/>
  <c r="Y273" i="3"/>
  <c r="O273" i="3" l="1"/>
  <c r="Q273" i="3"/>
  <c r="S273" i="3"/>
  <c r="X273" i="3"/>
  <c r="Z273" i="3"/>
  <c r="U273" i="3" l="1"/>
  <c r="P273" i="3"/>
  <c r="R273" i="3"/>
  <c r="T273" i="3"/>
  <c r="V273" i="3" l="1"/>
  <c r="Y274" i="3"/>
  <c r="W274" i="3"/>
  <c r="O274" i="3" l="1"/>
  <c r="Q274" i="3"/>
  <c r="S274" i="3"/>
  <c r="X274" i="3"/>
  <c r="Z274" i="3"/>
  <c r="U274" i="3" l="1"/>
  <c r="P274" i="3"/>
  <c r="R274" i="3"/>
  <c r="T274" i="3"/>
  <c r="V274" i="3" l="1"/>
  <c r="W275" i="3"/>
  <c r="Y275" i="3"/>
  <c r="O275" i="3" l="1"/>
  <c r="Q275" i="3"/>
  <c r="S275" i="3"/>
  <c r="X275" i="3"/>
  <c r="Z275" i="3"/>
  <c r="U275" i="3" l="1"/>
  <c r="P275" i="3"/>
  <c r="T275" i="3"/>
  <c r="R275" i="3"/>
  <c r="V275" i="3" l="1"/>
  <c r="Y276" i="3"/>
  <c r="W276" i="3"/>
  <c r="X276" i="3" l="1"/>
  <c r="Z276" i="3"/>
  <c r="O276" i="3" s="1"/>
  <c r="S276" i="3" l="1"/>
  <c r="Q276" i="3"/>
  <c r="U276" i="3" s="1"/>
  <c r="P276" i="3"/>
  <c r="V276" i="3" s="1"/>
  <c r="X277" i="3" s="1"/>
  <c r="R276" i="3"/>
  <c r="T276" i="3"/>
  <c r="Y277" i="3" l="1"/>
  <c r="W277" i="3"/>
  <c r="Z277" i="3"/>
  <c r="P277" i="3" l="1"/>
  <c r="R277" i="3"/>
  <c r="T277" i="3"/>
  <c r="O277" i="3"/>
  <c r="Q277" i="3"/>
  <c r="S277" i="3"/>
  <c r="V277" i="3" l="1"/>
  <c r="U277" i="3"/>
  <c r="W278" i="3" l="1"/>
  <c r="Y278" i="3"/>
  <c r="X278" i="3"/>
  <c r="Z278" i="3"/>
  <c r="P278" i="3" l="1"/>
  <c r="T278" i="3"/>
  <c r="R278" i="3"/>
  <c r="O278" i="3"/>
  <c r="Q278" i="3"/>
  <c r="S278" i="3"/>
  <c r="V278" i="3" l="1"/>
  <c r="U278" i="3"/>
  <c r="W279" i="3" l="1"/>
  <c r="Y279" i="3"/>
  <c r="Z279" i="3"/>
  <c r="X279" i="3"/>
  <c r="P279" i="3" l="1"/>
  <c r="R279" i="3"/>
  <c r="T279" i="3"/>
  <c r="O279" i="3"/>
  <c r="Q279" i="3"/>
  <c r="S279" i="3"/>
  <c r="V279" i="3" l="1"/>
  <c r="U279" i="3"/>
  <c r="W280" i="3" l="1"/>
  <c r="Y280" i="3"/>
  <c r="X280" i="3"/>
  <c r="Z280" i="3"/>
  <c r="P280" i="3" l="1"/>
  <c r="V280" i="3" s="1"/>
  <c r="Z281" i="3" s="1"/>
  <c r="R280" i="3"/>
  <c r="T280" i="3"/>
  <c r="O280" i="3"/>
  <c r="Q280" i="3"/>
  <c r="S280" i="3"/>
  <c r="X281" i="3" l="1"/>
  <c r="U280" i="3"/>
  <c r="W281" i="3" l="1"/>
  <c r="Y281" i="3"/>
  <c r="O281" i="3" l="1"/>
  <c r="S281" i="3"/>
  <c r="Q281" i="3"/>
  <c r="P281" i="3"/>
  <c r="V281" i="3" s="1"/>
  <c r="R281" i="3"/>
  <c r="T281" i="3"/>
  <c r="X282" i="3" l="1"/>
  <c r="Z282" i="3"/>
  <c r="U281" i="3"/>
  <c r="P282" i="3" l="1"/>
  <c r="R282" i="3"/>
  <c r="T282" i="3"/>
  <c r="Y282" i="3"/>
  <c r="W282" i="3"/>
  <c r="V282" i="3" l="1"/>
  <c r="O282" i="3"/>
  <c r="U282" i="3" s="1"/>
  <c r="W283" i="3" s="1"/>
  <c r="Q282" i="3"/>
  <c r="S282" i="3"/>
  <c r="Y283" i="3" l="1"/>
  <c r="X283" i="3"/>
  <c r="Z283" i="3"/>
  <c r="P283" i="3" l="1"/>
  <c r="R283" i="3"/>
  <c r="T283" i="3"/>
  <c r="O283" i="3"/>
  <c r="Q283" i="3"/>
  <c r="S283" i="3"/>
  <c r="V283" i="3" l="1"/>
  <c r="U283" i="3"/>
  <c r="W284" i="3" l="1"/>
  <c r="Y284" i="3"/>
  <c r="Z284" i="3"/>
  <c r="X284" i="3"/>
  <c r="O284" i="3" l="1"/>
  <c r="Q284" i="3"/>
  <c r="S284" i="3"/>
  <c r="P284" i="3"/>
  <c r="R284" i="3"/>
  <c r="T284" i="3"/>
  <c r="U284" i="3" l="1"/>
  <c r="V284" i="3"/>
  <c r="X285" i="3" l="1"/>
  <c r="Z285" i="3"/>
  <c r="Y285" i="3"/>
  <c r="W285" i="3"/>
  <c r="P285" i="3" l="1"/>
  <c r="R285" i="3"/>
  <c r="T285" i="3"/>
  <c r="O285" i="3"/>
  <c r="Q285" i="3"/>
  <c r="S285" i="3"/>
  <c r="V285" i="3" l="1"/>
  <c r="U285" i="3"/>
  <c r="W286" i="3" l="1"/>
  <c r="Y286" i="3"/>
  <c r="Z286" i="3"/>
  <c r="X286" i="3"/>
  <c r="P286" i="3" l="1"/>
  <c r="R286" i="3"/>
  <c r="T286" i="3"/>
  <c r="O286" i="3"/>
  <c r="U286" i="3" s="1"/>
  <c r="W287" i="3" s="1"/>
  <c r="S286" i="3"/>
  <c r="Q286" i="3"/>
  <c r="V286" i="3" l="1"/>
  <c r="Y287" i="3"/>
  <c r="X287" i="3" l="1"/>
  <c r="Z287" i="3"/>
  <c r="P287" i="3" l="1"/>
  <c r="R287" i="3"/>
  <c r="T287" i="3"/>
  <c r="S287" i="3"/>
  <c r="Q287" i="3"/>
  <c r="O287" i="3"/>
  <c r="U287" i="3" l="1"/>
  <c r="V287" i="3"/>
  <c r="W288" i="3" l="1"/>
  <c r="Y288" i="3"/>
  <c r="X288" i="3"/>
  <c r="Z288" i="3"/>
  <c r="P288" i="3" l="1"/>
  <c r="R288" i="3"/>
  <c r="T288" i="3"/>
  <c r="O288" i="3"/>
  <c r="Q288" i="3"/>
  <c r="S288" i="3"/>
  <c r="V288" i="3" l="1"/>
  <c r="U288" i="3"/>
  <c r="W289" i="3" l="1"/>
  <c r="Y289" i="3"/>
  <c r="Z289" i="3"/>
  <c r="X289" i="3"/>
  <c r="O289" i="3" l="1"/>
  <c r="Q289" i="3"/>
  <c r="S289" i="3"/>
  <c r="P289" i="3"/>
  <c r="R289" i="3"/>
  <c r="T289" i="3"/>
  <c r="U289" i="3" l="1"/>
  <c r="V289" i="3"/>
  <c r="X290" i="3" l="1"/>
  <c r="Z290" i="3"/>
  <c r="Y290" i="3"/>
  <c r="W290" i="3"/>
  <c r="O290" i="3" l="1"/>
  <c r="Q290" i="3"/>
  <c r="S290" i="3"/>
  <c r="P290" i="3"/>
  <c r="R290" i="3"/>
  <c r="T290" i="3"/>
  <c r="U290" i="3" l="1"/>
  <c r="V290" i="3"/>
  <c r="X291" i="3" l="1"/>
  <c r="Z291" i="3"/>
  <c r="W291" i="3"/>
  <c r="Y291" i="3"/>
  <c r="O291" i="3" l="1"/>
  <c r="Q291" i="3"/>
  <c r="S291" i="3"/>
  <c r="P291" i="3"/>
  <c r="R291" i="3"/>
  <c r="T291" i="3"/>
  <c r="U291" i="3" l="1"/>
  <c r="V291" i="3"/>
  <c r="X292" i="3" l="1"/>
  <c r="Z292" i="3"/>
  <c r="Y292" i="3"/>
  <c r="W292" i="3"/>
  <c r="O292" i="3" l="1"/>
  <c r="Q292" i="3"/>
  <c r="S292" i="3"/>
  <c r="P292" i="3"/>
  <c r="V292" i="3" s="1"/>
  <c r="Z293" i="3" s="1"/>
  <c r="R292" i="3"/>
  <c r="T292" i="3"/>
  <c r="X293" i="3" l="1"/>
  <c r="U292" i="3"/>
  <c r="Y293" i="3" l="1"/>
  <c r="W293" i="3"/>
  <c r="O293" i="3" l="1"/>
  <c r="Q293" i="3"/>
  <c r="S293" i="3"/>
  <c r="P293" i="3"/>
  <c r="V293" i="3" s="1"/>
  <c r="T293" i="3"/>
  <c r="R293" i="3"/>
  <c r="X294" i="3" l="1"/>
  <c r="Z294" i="3"/>
  <c r="U293" i="3"/>
  <c r="W294" i="3" l="1"/>
  <c r="Y294" i="3"/>
  <c r="P294" i="3"/>
  <c r="R294" i="3"/>
  <c r="T294" i="3"/>
  <c r="V294" i="3" l="1"/>
  <c r="O294" i="3"/>
  <c r="Q294" i="3"/>
  <c r="S294" i="3"/>
  <c r="U294" i="3" l="1"/>
  <c r="X295" i="3"/>
  <c r="Z295" i="3"/>
  <c r="Y295" i="3" l="1"/>
  <c r="P295" i="3" s="1"/>
  <c r="W295" i="3"/>
  <c r="T295" i="3"/>
  <c r="R295" i="3" l="1"/>
  <c r="V295" i="3" s="1"/>
  <c r="O295" i="3"/>
  <c r="Q295" i="3"/>
  <c r="S295" i="3"/>
  <c r="Z296" i="3" l="1"/>
  <c r="X296" i="3"/>
  <c r="U295" i="3"/>
  <c r="W296" i="3" l="1"/>
  <c r="Y296" i="3"/>
  <c r="O296" i="3" l="1"/>
  <c r="Q296" i="3"/>
  <c r="S296" i="3"/>
  <c r="T296" i="3"/>
  <c r="R296" i="3"/>
  <c r="P296" i="3"/>
  <c r="U296" i="3" l="1"/>
  <c r="V296" i="3"/>
  <c r="Y297" i="3" l="1"/>
  <c r="W297" i="3"/>
  <c r="X297" i="3"/>
  <c r="Z297" i="3"/>
  <c r="P297" i="3" l="1"/>
  <c r="R297" i="3"/>
  <c r="T297" i="3"/>
  <c r="W298" i="3"/>
  <c r="Y298" i="3"/>
  <c r="O297" i="3"/>
  <c r="U297" i="3" s="1"/>
  <c r="Q297" i="3"/>
  <c r="S297" i="3"/>
  <c r="V297" i="3" l="1"/>
  <c r="Z298" i="3" l="1"/>
  <c r="X298" i="3"/>
  <c r="Z299" i="3" l="1"/>
  <c r="P298" i="3"/>
  <c r="V298" i="3" s="1"/>
  <c r="R298" i="3"/>
  <c r="T298" i="3"/>
  <c r="Q298" i="3"/>
  <c r="S298" i="3"/>
  <c r="O298" i="3"/>
  <c r="U298" i="3" s="1"/>
  <c r="X299" i="3"/>
  <c r="W299" i="3" l="1"/>
  <c r="Y299" i="3"/>
  <c r="P299" i="3"/>
  <c r="R299" i="3"/>
  <c r="T299" i="3"/>
  <c r="V299" i="3" l="1"/>
  <c r="O299" i="3"/>
  <c r="U299" i="3" s="1"/>
  <c r="W300" i="3" s="1"/>
  <c r="S299" i="3"/>
  <c r="Q299" i="3"/>
  <c r="Y300" i="3" l="1"/>
  <c r="X300" i="3"/>
  <c r="Z300" i="3"/>
  <c r="P300" i="3" l="1"/>
  <c r="R300" i="3"/>
  <c r="T300" i="3"/>
  <c r="O300" i="3"/>
  <c r="U300" i="3" s="1"/>
  <c r="W301" i="3" s="1"/>
  <c r="Q300" i="3"/>
  <c r="S300" i="3"/>
  <c r="Y301" i="3" l="1"/>
  <c r="V300" i="3"/>
  <c r="X301" i="3" l="1"/>
  <c r="Z301" i="3"/>
  <c r="P301" i="3" l="1"/>
  <c r="R301" i="3"/>
  <c r="T301" i="3"/>
  <c r="S301" i="3"/>
  <c r="Q301" i="3"/>
  <c r="O301" i="3"/>
  <c r="U301" i="3" l="1"/>
  <c r="V301" i="3"/>
  <c r="Z302" i="3" l="1"/>
  <c r="X302" i="3"/>
  <c r="W302" i="3"/>
  <c r="Y302" i="3"/>
  <c r="O302" i="3" l="1"/>
  <c r="Q302" i="3"/>
  <c r="S302" i="3"/>
  <c r="P302" i="3"/>
  <c r="R302" i="3"/>
  <c r="T302" i="3"/>
  <c r="U302" i="3" l="1"/>
  <c r="V302" i="3"/>
  <c r="Z303" i="3" l="1"/>
  <c r="X303" i="3"/>
  <c r="W303" i="3"/>
  <c r="Y303" i="3"/>
  <c r="O303" i="3" l="1"/>
  <c r="Q303" i="3"/>
  <c r="S303" i="3"/>
  <c r="P303" i="3"/>
  <c r="R303" i="3"/>
  <c r="T303" i="3"/>
  <c r="U303" i="3" l="1"/>
  <c r="V303" i="3"/>
  <c r="Z304" i="3" l="1"/>
  <c r="X304" i="3"/>
  <c r="W304" i="3"/>
  <c r="Y304" i="3"/>
  <c r="O304" i="3" l="1"/>
  <c r="S304" i="3"/>
  <c r="Q304" i="3"/>
  <c r="P304" i="3"/>
  <c r="R304" i="3"/>
  <c r="T304" i="3"/>
  <c r="V304" i="3" l="1"/>
  <c r="U304" i="3"/>
  <c r="Y305" i="3" l="1"/>
  <c r="W305" i="3"/>
  <c r="Z305" i="3"/>
  <c r="X305" i="3"/>
  <c r="P305" i="3" l="1"/>
  <c r="R305" i="3"/>
  <c r="T305" i="3"/>
  <c r="O305" i="3"/>
  <c r="Q305" i="3"/>
  <c r="S305" i="3"/>
  <c r="V305" i="3" l="1"/>
  <c r="U305" i="3"/>
  <c r="W306" i="3" l="1"/>
  <c r="Y306" i="3"/>
  <c r="X306" i="3"/>
  <c r="Z306" i="3"/>
  <c r="O306" i="3" l="1"/>
  <c r="Q306" i="3"/>
  <c r="S306" i="3"/>
  <c r="P306" i="3"/>
  <c r="R306" i="3"/>
  <c r="T306" i="3"/>
  <c r="U306" i="3" l="1"/>
  <c r="V306" i="3"/>
  <c r="X307" i="3" l="1"/>
  <c r="Z307" i="3"/>
  <c r="Y307" i="3"/>
  <c r="W307" i="3"/>
  <c r="O307" i="3" l="1"/>
  <c r="Q307" i="3"/>
  <c r="S307" i="3"/>
  <c r="P307" i="3"/>
  <c r="V307" i="3" s="1"/>
  <c r="X308" i="3" s="1"/>
  <c r="R307" i="3"/>
  <c r="T307" i="3"/>
  <c r="Z308" i="3" l="1"/>
  <c r="U307" i="3"/>
  <c r="Y308" i="3" l="1"/>
  <c r="W308" i="3"/>
  <c r="P308" i="3"/>
  <c r="R308" i="3"/>
  <c r="T308" i="3"/>
  <c r="V308" i="3" l="1"/>
  <c r="O308" i="3"/>
  <c r="Q308" i="3"/>
  <c r="S308" i="3"/>
  <c r="U308" i="3" l="1"/>
  <c r="X309" i="3"/>
  <c r="Z309" i="3"/>
  <c r="T309" i="3" l="1"/>
  <c r="W309" i="3"/>
  <c r="Y309" i="3"/>
  <c r="P309" i="3" s="1"/>
  <c r="R309" i="3" l="1"/>
  <c r="V309" i="3" s="1"/>
  <c r="O309" i="3"/>
  <c r="S309" i="3"/>
  <c r="Q309" i="3"/>
  <c r="X310" i="3" l="1"/>
  <c r="Z310" i="3"/>
  <c r="U309" i="3"/>
  <c r="W310" i="3" l="1"/>
  <c r="Y310" i="3"/>
  <c r="P310" i="3"/>
  <c r="R310" i="3"/>
  <c r="T310" i="3"/>
  <c r="V310" i="3" l="1"/>
  <c r="O310" i="3"/>
  <c r="Q310" i="3"/>
  <c r="S310" i="3"/>
  <c r="Z311" i="3" l="1"/>
  <c r="X311" i="3"/>
  <c r="U310" i="3"/>
  <c r="Y311" i="3" l="1"/>
  <c r="W311" i="3"/>
  <c r="O311" i="3" l="1"/>
  <c r="Q311" i="3"/>
  <c r="S311" i="3"/>
  <c r="R311" i="3"/>
  <c r="T311" i="3"/>
  <c r="P311" i="3"/>
  <c r="V311" i="3" l="1"/>
  <c r="U311" i="3"/>
  <c r="Z312" i="3" l="1"/>
  <c r="X312" i="3"/>
  <c r="Y312" i="3"/>
  <c r="W312" i="3"/>
  <c r="O312" i="3" l="1"/>
  <c r="Q312" i="3"/>
  <c r="S312" i="3"/>
  <c r="P312" i="3"/>
  <c r="R312" i="3"/>
  <c r="T312" i="3"/>
  <c r="V312" i="3" l="1"/>
  <c r="U312" i="3"/>
  <c r="X313" i="3" l="1"/>
  <c r="Z313" i="3"/>
  <c r="Y313" i="3"/>
  <c r="W313" i="3"/>
  <c r="O313" i="3" l="1"/>
  <c r="Q313" i="3"/>
  <c r="S313" i="3"/>
  <c r="P313" i="3"/>
  <c r="R313" i="3"/>
  <c r="T313" i="3"/>
  <c r="U313" i="3" l="1"/>
  <c r="V313" i="3"/>
  <c r="Y314" i="3" l="1"/>
  <c r="W314" i="3"/>
  <c r="X314" i="3"/>
  <c r="Z314" i="3"/>
  <c r="P314" i="3" l="1"/>
  <c r="R314" i="3"/>
  <c r="T314" i="3"/>
  <c r="O314" i="3"/>
  <c r="U314" i="3" s="1"/>
  <c r="Y315" i="3" s="1"/>
  <c r="Q314" i="3"/>
  <c r="S314" i="3"/>
  <c r="W315" i="3" l="1"/>
  <c r="V314" i="3"/>
  <c r="Z315" i="3" l="1"/>
  <c r="X315" i="3"/>
  <c r="P315" i="3" l="1"/>
  <c r="R315" i="3"/>
  <c r="T315" i="3"/>
  <c r="O315" i="3"/>
  <c r="Q315" i="3"/>
  <c r="S315" i="3"/>
  <c r="U315" i="3" l="1"/>
  <c r="V315" i="3"/>
  <c r="X316" i="3" l="1"/>
  <c r="Z316" i="3"/>
  <c r="Y316" i="3"/>
  <c r="W316" i="3"/>
  <c r="O316" i="3" l="1"/>
  <c r="Q316" i="3"/>
  <c r="S316" i="3"/>
  <c r="P316" i="3"/>
  <c r="R316" i="3"/>
  <c r="T316" i="3"/>
  <c r="U316" i="3" l="1"/>
  <c r="V316" i="3"/>
  <c r="Z317" i="3" l="1"/>
  <c r="X317" i="3"/>
  <c r="W317" i="3"/>
  <c r="Y317" i="3"/>
  <c r="O317" i="3" l="1"/>
  <c r="S317" i="3"/>
  <c r="Q317" i="3"/>
  <c r="P317" i="3"/>
  <c r="R317" i="3"/>
  <c r="T317" i="3"/>
  <c r="V317" i="3" l="1"/>
  <c r="U317" i="3"/>
  <c r="Y318" i="3" l="1"/>
  <c r="W318" i="3"/>
  <c r="Z318" i="3"/>
  <c r="X318" i="3"/>
  <c r="P318" i="3" l="1"/>
  <c r="V318" i="3" s="1"/>
  <c r="X319" i="3" s="1"/>
  <c r="R318" i="3"/>
  <c r="T318" i="3"/>
  <c r="O318" i="3"/>
  <c r="Q318" i="3"/>
  <c r="S318" i="3"/>
  <c r="U318" i="3" l="1"/>
  <c r="Z319" i="3"/>
  <c r="W319" i="3" l="1"/>
  <c r="Y319" i="3"/>
  <c r="O319" i="3" l="1"/>
  <c r="Q319" i="3"/>
  <c r="S319" i="3"/>
  <c r="T319" i="3"/>
  <c r="R319" i="3"/>
  <c r="P319" i="3"/>
  <c r="U319" i="3" l="1"/>
  <c r="V319" i="3"/>
  <c r="X320" i="3" l="1"/>
  <c r="Z320" i="3"/>
  <c r="Y320" i="3"/>
  <c r="W320" i="3"/>
  <c r="P320" i="3" l="1"/>
  <c r="R320" i="3"/>
  <c r="T320" i="3"/>
  <c r="O320" i="3"/>
  <c r="Q320" i="3"/>
  <c r="S320" i="3"/>
  <c r="V320" i="3" l="1"/>
  <c r="U320" i="3"/>
  <c r="W321" i="3" l="1"/>
  <c r="Y321" i="3"/>
  <c r="Z321" i="3"/>
  <c r="X321" i="3"/>
  <c r="O321" i="3" l="1"/>
  <c r="Q321" i="3"/>
  <c r="S321" i="3"/>
  <c r="P321" i="3"/>
  <c r="R321" i="3"/>
  <c r="T321" i="3"/>
  <c r="U321" i="3" l="1"/>
  <c r="V321" i="3"/>
  <c r="X322" i="3" l="1"/>
  <c r="Z322" i="3"/>
  <c r="Y322" i="3"/>
  <c r="W322" i="3"/>
  <c r="P322" i="3" l="1"/>
  <c r="R322" i="3"/>
  <c r="T322" i="3"/>
  <c r="O322" i="3"/>
  <c r="Q322" i="3"/>
  <c r="S322" i="3"/>
  <c r="V322" i="3" l="1"/>
  <c r="U322" i="3"/>
  <c r="W323" i="3" l="1"/>
  <c r="Y323" i="3"/>
  <c r="Z323" i="3"/>
  <c r="X323" i="3"/>
  <c r="O323" i="3" l="1"/>
  <c r="Q323" i="3"/>
  <c r="S323" i="3"/>
  <c r="P323" i="3"/>
  <c r="R323" i="3"/>
  <c r="T323" i="3"/>
  <c r="U323" i="3" l="1"/>
  <c r="V323" i="3"/>
  <c r="Z324" i="3" l="1"/>
  <c r="X324" i="3"/>
  <c r="Y324" i="3"/>
  <c r="W324" i="3"/>
  <c r="O324" i="3" l="1"/>
  <c r="U324" i="3" s="1"/>
  <c r="W325" i="3" s="1"/>
  <c r="Q324" i="3"/>
  <c r="S324" i="3"/>
  <c r="P324" i="3"/>
  <c r="R324" i="3"/>
  <c r="T324" i="3"/>
  <c r="V324" i="3" l="1"/>
  <c r="Y325" i="3"/>
  <c r="X325" i="3" l="1"/>
  <c r="Z325" i="3"/>
  <c r="P325" i="3" l="1"/>
  <c r="R325" i="3"/>
  <c r="T325" i="3"/>
  <c r="S325" i="3"/>
  <c r="Q325" i="3"/>
  <c r="O325" i="3"/>
  <c r="V325" i="3" l="1"/>
  <c r="U325" i="3"/>
  <c r="W326" i="3" l="1"/>
  <c r="Y326" i="3"/>
  <c r="Z326" i="3"/>
  <c r="X326" i="3"/>
  <c r="O326" i="3" l="1"/>
  <c r="Q326" i="3"/>
  <c r="S326" i="3"/>
  <c r="P326" i="3"/>
  <c r="R326" i="3"/>
  <c r="T326" i="3"/>
  <c r="U326" i="3" l="1"/>
  <c r="V326" i="3"/>
  <c r="X327" i="3" l="1"/>
  <c r="Z327" i="3"/>
  <c r="Y327" i="3"/>
  <c r="W327" i="3"/>
  <c r="O327" i="3" l="1"/>
  <c r="Q327" i="3"/>
  <c r="S327" i="3"/>
  <c r="P327" i="3"/>
  <c r="R327" i="3"/>
  <c r="T327" i="3"/>
  <c r="U327" i="3" l="1"/>
  <c r="V327" i="3"/>
  <c r="X328" i="3" l="1"/>
  <c r="Z328" i="3"/>
  <c r="Y328" i="3"/>
  <c r="W328" i="3"/>
  <c r="P328" i="3" l="1"/>
  <c r="R328" i="3"/>
  <c r="T328" i="3"/>
  <c r="O328" i="3"/>
  <c r="Q328" i="3"/>
  <c r="S328" i="3"/>
  <c r="V328" i="3" l="1"/>
  <c r="U328" i="3"/>
  <c r="W329" i="3" l="1"/>
  <c r="Y329" i="3"/>
  <c r="Z329" i="3"/>
  <c r="X329" i="3"/>
  <c r="O329" i="3" l="1"/>
  <c r="Q329" i="3"/>
  <c r="S329" i="3"/>
  <c r="P329" i="3"/>
  <c r="R329" i="3"/>
  <c r="T329" i="3"/>
  <c r="U329" i="3" l="1"/>
  <c r="V329" i="3"/>
  <c r="X330" i="3" l="1"/>
  <c r="Z330" i="3"/>
  <c r="Y330" i="3"/>
  <c r="W330" i="3"/>
  <c r="P330" i="3" l="1"/>
  <c r="R330" i="3"/>
  <c r="T330" i="3"/>
  <c r="O330" i="3"/>
  <c r="Q330" i="3"/>
  <c r="S330" i="3"/>
  <c r="V330" i="3" l="1"/>
  <c r="U330" i="3"/>
  <c r="Y331" i="3" l="1"/>
  <c r="W331" i="3"/>
  <c r="Z331" i="3"/>
  <c r="X331" i="3"/>
  <c r="P331" i="3" l="1"/>
  <c r="R331" i="3"/>
  <c r="T331" i="3"/>
  <c r="O331" i="3"/>
  <c r="Q331" i="3"/>
  <c r="S331" i="3"/>
  <c r="V331" i="3" l="1"/>
  <c r="U331" i="3"/>
  <c r="W332" i="3" l="1"/>
  <c r="Y332" i="3"/>
  <c r="X332" i="3"/>
  <c r="Z332" i="3"/>
  <c r="O332" i="3" l="1"/>
  <c r="Q332" i="3"/>
  <c r="S332" i="3"/>
  <c r="P332" i="3"/>
  <c r="V332" i="3" s="1"/>
  <c r="X333" i="3" s="1"/>
  <c r="R332" i="3"/>
  <c r="T332" i="3"/>
  <c r="U332" i="3" l="1"/>
  <c r="Z333" i="3"/>
  <c r="Y333" i="3" l="1"/>
  <c r="W333" i="3"/>
  <c r="O333" i="3" l="1"/>
  <c r="Q333" i="3"/>
  <c r="S333" i="3"/>
  <c r="T333" i="3"/>
  <c r="R333" i="3"/>
  <c r="P333" i="3"/>
  <c r="U333" i="3" l="1"/>
  <c r="V333" i="3"/>
  <c r="X334" i="3" l="1"/>
  <c r="Z334" i="3"/>
  <c r="W334" i="3"/>
  <c r="Y334" i="3"/>
  <c r="P334" i="3" l="1"/>
  <c r="R334" i="3"/>
  <c r="T334" i="3"/>
  <c r="O334" i="3"/>
  <c r="U334" i="3" s="1"/>
  <c r="W335" i="3" s="1"/>
  <c r="Q334" i="3"/>
  <c r="S334" i="3"/>
  <c r="Y335" i="3" l="1"/>
  <c r="V334" i="3"/>
  <c r="Z335" i="3" l="1"/>
  <c r="X335" i="3"/>
  <c r="O335" i="3"/>
  <c r="S335" i="3"/>
  <c r="Q335" i="3"/>
  <c r="U335" i="3" l="1"/>
  <c r="P335" i="3"/>
  <c r="R335" i="3"/>
  <c r="T335" i="3"/>
  <c r="V335" i="3" l="1"/>
  <c r="W336" i="3"/>
  <c r="Y336" i="3"/>
  <c r="O336" i="3" l="1"/>
  <c r="Q336" i="3"/>
  <c r="S336" i="3"/>
  <c r="X336" i="3"/>
  <c r="Z336" i="3"/>
  <c r="U336" i="3" l="1"/>
  <c r="P336" i="3"/>
  <c r="R336" i="3"/>
  <c r="T336" i="3"/>
  <c r="V336" i="3" l="1"/>
  <c r="Y337" i="3"/>
  <c r="W337" i="3"/>
  <c r="O337" i="3" l="1"/>
  <c r="Q337" i="3"/>
  <c r="S337" i="3"/>
  <c r="X337" i="3"/>
  <c r="Z337" i="3"/>
  <c r="U337" i="3" l="1"/>
  <c r="P337" i="3"/>
  <c r="R337" i="3"/>
  <c r="T337" i="3"/>
  <c r="V337" i="3" l="1"/>
  <c r="W338" i="3"/>
  <c r="Y338" i="3"/>
  <c r="O338" i="3" l="1"/>
  <c r="Q338" i="3"/>
  <c r="S338" i="3"/>
  <c r="X338" i="3"/>
  <c r="Z338" i="3"/>
  <c r="U338" i="3" l="1"/>
  <c r="P338" i="3"/>
  <c r="T338" i="3"/>
  <c r="R338" i="3"/>
  <c r="V338" i="3" l="1"/>
  <c r="W339" i="3"/>
  <c r="Y339" i="3"/>
  <c r="Q339" i="3" l="1"/>
  <c r="S339" i="3"/>
  <c r="X339" i="3"/>
  <c r="Z339" i="3"/>
  <c r="O339" i="3" s="1"/>
  <c r="U339" i="3" s="1"/>
  <c r="Y340" i="3" l="1"/>
  <c r="W340" i="3"/>
  <c r="P339" i="3"/>
  <c r="R339" i="3"/>
  <c r="T339" i="3"/>
  <c r="V339" i="3" l="1"/>
  <c r="Z340" i="3" l="1"/>
  <c r="X340" i="3"/>
  <c r="P340" i="3" l="1"/>
  <c r="V340" i="3" s="1"/>
  <c r="X341" i="3" s="1"/>
  <c r="R340" i="3"/>
  <c r="T340" i="3"/>
  <c r="O340" i="3"/>
  <c r="U340" i="3" s="1"/>
  <c r="Q340" i="3"/>
  <c r="S340" i="3"/>
  <c r="W341" i="3" l="1"/>
  <c r="Y341" i="3"/>
  <c r="Z341" i="3"/>
  <c r="O341" i="3" l="1"/>
  <c r="Q341" i="3"/>
  <c r="S341" i="3"/>
  <c r="P341" i="3"/>
  <c r="V341" i="3" s="1"/>
  <c r="X342" i="3" s="1"/>
  <c r="R341" i="3"/>
  <c r="T341" i="3"/>
  <c r="Z342" i="3" l="1"/>
  <c r="U341" i="3"/>
  <c r="Y342" i="3" l="1"/>
  <c r="W342" i="3"/>
  <c r="P342" i="3"/>
  <c r="R342" i="3"/>
  <c r="T342" i="3"/>
  <c r="V342" i="3" l="1"/>
  <c r="O342" i="3"/>
  <c r="Q342" i="3"/>
  <c r="S342" i="3"/>
  <c r="U342" i="3" l="1"/>
  <c r="X343" i="3"/>
  <c r="Z343" i="3"/>
  <c r="Y343" i="3" l="1"/>
  <c r="W343" i="3"/>
  <c r="O343" i="3" l="1"/>
  <c r="Q343" i="3"/>
  <c r="S343" i="3"/>
  <c r="P343" i="3"/>
  <c r="R343" i="3"/>
  <c r="T343" i="3"/>
  <c r="U343" i="3" l="1"/>
  <c r="V343" i="3"/>
  <c r="Z344" i="3" l="1"/>
  <c r="X344" i="3"/>
  <c r="Y344" i="3"/>
  <c r="W344" i="3"/>
  <c r="O344" i="3" l="1"/>
  <c r="Q344" i="3"/>
  <c r="S344" i="3"/>
  <c r="P344" i="3"/>
  <c r="R344" i="3"/>
  <c r="T344" i="3"/>
  <c r="U344" i="3" l="1"/>
  <c r="V344" i="3"/>
  <c r="Z345" i="3" l="1"/>
  <c r="X345" i="3"/>
  <c r="Y345" i="3"/>
  <c r="W345" i="3"/>
  <c r="O345" i="3" l="1"/>
  <c r="Q345" i="3"/>
  <c r="S345" i="3"/>
  <c r="P345" i="3"/>
  <c r="T345" i="3"/>
  <c r="R345" i="3"/>
  <c r="U345" i="3" l="1"/>
  <c r="V345" i="3"/>
  <c r="X346" i="3" l="1"/>
  <c r="Z346" i="3"/>
  <c r="W346" i="3"/>
  <c r="Y346" i="3"/>
  <c r="P346" i="3" l="1"/>
  <c r="R346" i="3"/>
  <c r="T346" i="3"/>
  <c r="O346" i="3"/>
  <c r="U346" i="3" s="1"/>
  <c r="W347" i="3" s="1"/>
  <c r="Q346" i="3"/>
  <c r="S346" i="3"/>
  <c r="Y347" i="3" l="1"/>
  <c r="V346" i="3"/>
  <c r="Z347" i="3" l="1"/>
  <c r="X347" i="3"/>
  <c r="O347" i="3"/>
  <c r="Q347" i="3"/>
  <c r="S347" i="3"/>
  <c r="U347" i="3" l="1"/>
  <c r="P347" i="3"/>
  <c r="R347" i="3"/>
  <c r="T347" i="3"/>
  <c r="V347" i="3" l="1"/>
  <c r="W348" i="3"/>
  <c r="Y348" i="3"/>
  <c r="Q348" i="3" l="1"/>
  <c r="S348" i="3"/>
  <c r="X348" i="3"/>
  <c r="Z348" i="3"/>
  <c r="O348" i="3" s="1"/>
  <c r="U348" i="3" s="1"/>
  <c r="Y349" i="3" l="1"/>
  <c r="W349" i="3"/>
  <c r="P348" i="3"/>
  <c r="R348" i="3"/>
  <c r="T348" i="3"/>
  <c r="V348" i="3" l="1"/>
  <c r="Z349" i="3" l="1"/>
  <c r="X349" i="3"/>
  <c r="P349" i="3" l="1"/>
  <c r="R349" i="3"/>
  <c r="T349" i="3"/>
  <c r="O349" i="3"/>
  <c r="U349" i="3" s="1"/>
  <c r="Q349" i="3"/>
  <c r="S349" i="3"/>
  <c r="W350" i="3" l="1"/>
  <c r="Y350" i="3"/>
  <c r="V349" i="3"/>
  <c r="X350" i="3" l="1"/>
  <c r="Z350" i="3"/>
  <c r="P350" i="3" l="1"/>
  <c r="R350" i="3"/>
  <c r="T350" i="3"/>
  <c r="Q350" i="3"/>
  <c r="S350" i="3"/>
  <c r="O350" i="3"/>
  <c r="V350" i="3" l="1"/>
  <c r="U350" i="3"/>
  <c r="Y351" i="3" l="1"/>
  <c r="W351" i="3"/>
  <c r="Z351" i="3"/>
  <c r="X351" i="3"/>
  <c r="P351" i="3" l="1"/>
  <c r="R351" i="3"/>
  <c r="T351" i="3"/>
  <c r="O351" i="3"/>
  <c r="Q351" i="3"/>
  <c r="S351" i="3"/>
  <c r="V351" i="3" l="1"/>
  <c r="U351" i="3"/>
  <c r="W352" i="3" l="1"/>
  <c r="Y352" i="3"/>
  <c r="X352" i="3"/>
  <c r="Z352" i="3"/>
  <c r="O352" i="3" l="1"/>
  <c r="Q352" i="3"/>
  <c r="S352" i="3"/>
  <c r="P352" i="3"/>
  <c r="V352" i="3" s="1"/>
  <c r="X353" i="3" s="1"/>
  <c r="R352" i="3"/>
  <c r="T352" i="3"/>
  <c r="Z353" i="3" l="1"/>
  <c r="U352" i="3"/>
  <c r="Y353" i="3" l="1"/>
  <c r="W353" i="3"/>
  <c r="P353" i="3"/>
  <c r="R353" i="3"/>
  <c r="T353" i="3"/>
  <c r="V353" i="3" l="1"/>
  <c r="O353" i="3"/>
  <c r="Q353" i="3"/>
  <c r="S353" i="3"/>
  <c r="U353" i="3" l="1"/>
  <c r="X354" i="3"/>
  <c r="Z354" i="3"/>
  <c r="P354" i="3" l="1"/>
  <c r="R354" i="3"/>
  <c r="T354" i="3"/>
  <c r="W354" i="3"/>
  <c r="Y354" i="3"/>
  <c r="V354" i="3" l="1"/>
  <c r="O354" i="3"/>
  <c r="Q354" i="3"/>
  <c r="S354" i="3"/>
  <c r="U354" i="3" l="1"/>
  <c r="Z355" i="3"/>
  <c r="X355" i="3"/>
  <c r="P355" i="3" l="1"/>
  <c r="R355" i="3"/>
  <c r="T355" i="3"/>
  <c r="W355" i="3"/>
  <c r="Y355" i="3"/>
  <c r="V355" i="3" l="1"/>
  <c r="O355" i="3"/>
  <c r="Q355" i="3"/>
  <c r="S355" i="3"/>
  <c r="U355" i="3" l="1"/>
  <c r="X356" i="3"/>
  <c r="Z356" i="3"/>
  <c r="R356" i="3" l="1"/>
  <c r="T356" i="3"/>
  <c r="W356" i="3"/>
  <c r="Y356" i="3"/>
  <c r="P356" i="3" s="1"/>
  <c r="V356" i="3" s="1"/>
  <c r="Z357" i="3" l="1"/>
  <c r="X357" i="3"/>
  <c r="O356" i="3"/>
  <c r="U356" i="3" s="1"/>
  <c r="W357" i="3" s="1"/>
  <c r="Q356" i="3"/>
  <c r="S356" i="3"/>
  <c r="Y357" i="3" l="1"/>
  <c r="O357" i="3" l="1"/>
  <c r="Q357" i="3"/>
  <c r="S357" i="3"/>
  <c r="R357" i="3"/>
  <c r="P357" i="3"/>
  <c r="V357" i="3" s="1"/>
  <c r="T357" i="3"/>
  <c r="X358" i="3" l="1"/>
  <c r="Z358" i="3"/>
  <c r="U357" i="3"/>
  <c r="W358" i="3" l="1"/>
  <c r="Y358" i="3"/>
  <c r="O358" i="3" l="1"/>
  <c r="Q358" i="3"/>
  <c r="S358" i="3"/>
  <c r="P358" i="3"/>
  <c r="V358" i="3" s="1"/>
  <c r="T358" i="3"/>
  <c r="R358" i="3"/>
  <c r="Z359" i="3" l="1"/>
  <c r="X359" i="3"/>
  <c r="U358" i="3"/>
  <c r="Y359" i="3" l="1"/>
  <c r="W359" i="3"/>
  <c r="P359" i="3"/>
  <c r="R359" i="3"/>
  <c r="O359" i="3" l="1"/>
  <c r="U359" i="3" s="1"/>
  <c r="Y360" i="3" s="1"/>
  <c r="Q359" i="3"/>
  <c r="S359" i="3"/>
  <c r="T359" i="3"/>
  <c r="V359" i="3" s="1"/>
  <c r="X360" i="3" l="1"/>
  <c r="Z360" i="3"/>
  <c r="Q360" i="3"/>
  <c r="S360" i="3"/>
  <c r="W360" i="3"/>
  <c r="P360" i="3" l="1"/>
  <c r="R360" i="3"/>
  <c r="T360" i="3"/>
  <c r="O360" i="3"/>
  <c r="U360" i="3" s="1"/>
  <c r="Y361" i="3" s="1"/>
  <c r="W361" i="3" l="1"/>
  <c r="V360" i="3"/>
  <c r="Z361" i="3" l="1"/>
  <c r="X361" i="3"/>
  <c r="P361" i="3" l="1"/>
  <c r="R361" i="3"/>
  <c r="T361" i="3"/>
  <c r="O361" i="3"/>
  <c r="U361" i="3" s="1"/>
  <c r="S361" i="3"/>
  <c r="Q361" i="3"/>
  <c r="Y362" i="3" l="1"/>
  <c r="W362" i="3"/>
  <c r="V361" i="3"/>
  <c r="X362" i="3" l="1"/>
  <c r="Z362" i="3"/>
  <c r="O362" i="3"/>
  <c r="Q362" i="3"/>
  <c r="P362" i="3" l="1"/>
  <c r="V362" i="3" s="1"/>
  <c r="X363" i="3" s="1"/>
  <c r="R362" i="3"/>
  <c r="T362" i="3"/>
  <c r="S362" i="3"/>
  <c r="U362" i="3" s="1"/>
  <c r="W363" i="3" l="1"/>
  <c r="Y363" i="3"/>
  <c r="Z363" i="3"/>
  <c r="O363" i="3" l="1"/>
  <c r="Q363" i="3"/>
  <c r="S363" i="3"/>
  <c r="P363" i="3"/>
  <c r="V363" i="3" s="1"/>
  <c r="X364" i="3" s="1"/>
  <c r="R363" i="3"/>
  <c r="T363" i="3"/>
  <c r="Z364" i="3" l="1"/>
  <c r="U363" i="3"/>
  <c r="Y364" i="3" l="1"/>
  <c r="W364" i="3"/>
  <c r="P364" i="3"/>
  <c r="R364" i="3"/>
  <c r="T364" i="3"/>
  <c r="V364" i="3" l="1"/>
  <c r="O364" i="3"/>
  <c r="Q364" i="3"/>
  <c r="S364" i="3"/>
  <c r="U364" i="3" l="1"/>
  <c r="X365" i="3"/>
  <c r="Z365" i="3"/>
  <c r="R365" i="3" l="1"/>
  <c r="T365" i="3"/>
  <c r="W365" i="3"/>
  <c r="Y365" i="3"/>
  <c r="P365" i="3" s="1"/>
  <c r="V365" i="3" s="1"/>
  <c r="Z366" i="3" l="1"/>
  <c r="X366" i="3"/>
  <c r="O365" i="3"/>
  <c r="S365" i="3"/>
  <c r="Q365" i="3"/>
  <c r="U365" i="3" l="1"/>
  <c r="Y366" i="3" l="1"/>
  <c r="W366" i="3"/>
  <c r="O366" i="3" l="1"/>
  <c r="Q366" i="3"/>
  <c r="S366" i="3"/>
  <c r="P366" i="3"/>
  <c r="V366" i="3" s="1"/>
  <c r="R366" i="3"/>
  <c r="T366" i="3"/>
  <c r="X367" i="3" l="1"/>
  <c r="Z367" i="3"/>
  <c r="U366" i="3"/>
  <c r="W367" i="3" l="1"/>
  <c r="Y367" i="3"/>
  <c r="O367" i="3" l="1"/>
  <c r="Q367" i="3"/>
  <c r="S367" i="3"/>
  <c r="P367" i="3"/>
  <c r="V367" i="3" s="1"/>
  <c r="T367" i="3"/>
  <c r="R367" i="3"/>
  <c r="Z368" i="3" l="1"/>
  <c r="X368" i="3"/>
  <c r="U367" i="3"/>
  <c r="Y368" i="3" l="1"/>
  <c r="W368" i="3"/>
  <c r="P368" i="3"/>
  <c r="R368" i="3"/>
  <c r="O368" i="3" l="1"/>
  <c r="Q368" i="3"/>
  <c r="S368" i="3"/>
  <c r="T368" i="3"/>
  <c r="V368" i="3" s="1"/>
  <c r="X369" i="3" l="1"/>
  <c r="Z369" i="3"/>
  <c r="U368" i="3"/>
  <c r="Y369" i="3" l="1"/>
  <c r="P369" i="3" s="1"/>
  <c r="W369" i="3"/>
  <c r="O369" i="3" l="1"/>
  <c r="S369" i="3"/>
  <c r="Q369" i="3"/>
  <c r="T369" i="3"/>
  <c r="R369" i="3"/>
  <c r="V369" i="3" s="1"/>
  <c r="Z370" i="3" l="1"/>
  <c r="X370" i="3"/>
  <c r="U369" i="3"/>
  <c r="W370" i="3" l="1"/>
  <c r="Y370" i="3"/>
  <c r="P370" i="3"/>
  <c r="R370" i="3"/>
  <c r="O370" i="3" l="1"/>
  <c r="Q370" i="3"/>
  <c r="S370" i="3"/>
  <c r="T370" i="3"/>
  <c r="V370" i="3" s="1"/>
  <c r="X371" i="3" l="1"/>
  <c r="Z371" i="3"/>
  <c r="U370" i="3"/>
  <c r="W371" i="3" l="1"/>
  <c r="Y371" i="3"/>
  <c r="O371" i="3" l="1"/>
  <c r="Q371" i="3"/>
  <c r="S371" i="3"/>
  <c r="R371" i="3"/>
  <c r="T371" i="3"/>
  <c r="P371" i="3"/>
  <c r="U371" i="3" l="1"/>
  <c r="V371" i="3"/>
  <c r="Z372" i="3" l="1"/>
  <c r="X372" i="3"/>
  <c r="Y372" i="3"/>
  <c r="W372" i="3"/>
  <c r="O372" i="3" l="1"/>
  <c r="Q372" i="3"/>
  <c r="S372" i="3"/>
  <c r="P372" i="3"/>
  <c r="R372" i="3"/>
  <c r="T372" i="3"/>
  <c r="U372" i="3" l="1"/>
  <c r="V372" i="3"/>
  <c r="Z373" i="3" l="1"/>
  <c r="X373" i="3"/>
  <c r="Y373" i="3"/>
  <c r="W373" i="3"/>
  <c r="O373" i="3" l="1"/>
  <c r="Q373" i="3"/>
  <c r="S373" i="3"/>
  <c r="P373" i="3"/>
  <c r="R373" i="3"/>
  <c r="T373" i="3"/>
  <c r="U373" i="3" l="1"/>
  <c r="V373" i="3"/>
  <c r="Z374" i="3" l="1"/>
  <c r="X374" i="3"/>
  <c r="Y374" i="3"/>
  <c r="W374" i="3"/>
  <c r="O374" i="3" l="1"/>
  <c r="Q374" i="3"/>
  <c r="S374" i="3"/>
  <c r="P374" i="3"/>
  <c r="R374" i="3"/>
  <c r="T374" i="3"/>
  <c r="V374" i="3" l="1"/>
  <c r="U374" i="3"/>
  <c r="Y375" i="3" l="1"/>
  <c r="W375" i="3"/>
  <c r="Z375" i="3"/>
  <c r="X375" i="3"/>
  <c r="P375" i="3" l="1"/>
  <c r="R375" i="3"/>
  <c r="T375" i="3"/>
  <c r="O375" i="3"/>
  <c r="Q375" i="3"/>
  <c r="S375" i="3"/>
  <c r="U375" i="3" l="1"/>
  <c r="V375" i="3"/>
  <c r="Z376" i="3" l="1"/>
  <c r="X376" i="3"/>
  <c r="Y376" i="3"/>
  <c r="W376" i="3"/>
  <c r="O376" i="3" l="1"/>
  <c r="Q376" i="3"/>
  <c r="S376" i="3"/>
  <c r="P376" i="3"/>
  <c r="R376" i="3"/>
  <c r="T376" i="3"/>
  <c r="U376" i="3" l="1"/>
  <c r="V376" i="3"/>
  <c r="Z377" i="3" l="1"/>
  <c r="X377" i="3"/>
  <c r="Y377" i="3"/>
  <c r="W377" i="3"/>
  <c r="O377" i="3" l="1"/>
  <c r="Q377" i="3"/>
  <c r="S377" i="3"/>
  <c r="P377" i="3"/>
  <c r="R377" i="3"/>
  <c r="T377" i="3"/>
  <c r="U377" i="3" l="1"/>
  <c r="V377" i="3"/>
  <c r="X378" i="3" l="1"/>
  <c r="Z378" i="3"/>
  <c r="W378" i="3"/>
  <c r="Y378" i="3"/>
  <c r="O378" i="3" l="1"/>
  <c r="Q378" i="3"/>
  <c r="S378" i="3"/>
  <c r="P378" i="3"/>
  <c r="V378" i="3" s="1"/>
  <c r="Z379" i="3" s="1"/>
  <c r="R378" i="3"/>
  <c r="T378" i="3"/>
  <c r="X379" i="3" l="1"/>
  <c r="U378" i="3"/>
  <c r="Y379" i="3" l="1"/>
  <c r="W379" i="3"/>
  <c r="O379" i="3" l="1"/>
  <c r="Q379" i="3"/>
  <c r="S379" i="3"/>
  <c r="R379" i="3"/>
  <c r="P379" i="3"/>
  <c r="T379" i="3"/>
  <c r="U379" i="3" l="1"/>
  <c r="V379" i="3"/>
  <c r="X380" i="3" l="1"/>
  <c r="Z380" i="3"/>
  <c r="W380" i="3"/>
  <c r="Y380" i="3"/>
  <c r="O380" i="3" l="1"/>
  <c r="Q380" i="3"/>
  <c r="S380" i="3"/>
  <c r="P380" i="3"/>
  <c r="V380" i="3" s="1"/>
  <c r="X381" i="3" s="1"/>
  <c r="R380" i="3"/>
  <c r="T380" i="3"/>
  <c r="Z381" i="3" l="1"/>
  <c r="U380" i="3"/>
  <c r="Y381" i="3" l="1"/>
  <c r="W381" i="3"/>
  <c r="P381" i="3"/>
  <c r="R381" i="3"/>
  <c r="T381" i="3"/>
  <c r="V381" i="3" l="1"/>
  <c r="O381" i="3"/>
  <c r="Q381" i="3"/>
  <c r="S381" i="3"/>
  <c r="U381" i="3" l="1"/>
  <c r="X382" i="3"/>
  <c r="Z382" i="3"/>
  <c r="P382" i="3" l="1"/>
  <c r="R382" i="3"/>
  <c r="T382" i="3"/>
  <c r="W382" i="3"/>
  <c r="Y382" i="3"/>
  <c r="V382" i="3" l="1"/>
  <c r="O382" i="3"/>
  <c r="Q382" i="3"/>
  <c r="S382" i="3"/>
  <c r="U382" i="3" l="1"/>
  <c r="Z383" i="3"/>
  <c r="X383" i="3"/>
  <c r="P383" i="3" l="1"/>
  <c r="R383" i="3"/>
  <c r="T383" i="3"/>
  <c r="W383" i="3"/>
  <c r="Y383" i="3"/>
  <c r="V383" i="3" l="1"/>
  <c r="O383" i="3"/>
  <c r="Q383" i="3"/>
  <c r="S383" i="3"/>
  <c r="U383" i="3" l="1"/>
  <c r="X384" i="3"/>
  <c r="Z384" i="3"/>
  <c r="R384" i="3" l="1"/>
  <c r="T384" i="3"/>
  <c r="W384" i="3"/>
  <c r="Y384" i="3"/>
  <c r="P384" i="3" s="1"/>
  <c r="V384" i="3" s="1"/>
  <c r="Z385" i="3" l="1"/>
  <c r="X385" i="3"/>
  <c r="O384" i="3"/>
  <c r="Q384" i="3"/>
  <c r="S384" i="3"/>
  <c r="U384" i="3" l="1"/>
  <c r="Y385" i="3" l="1"/>
  <c r="W385" i="3"/>
  <c r="O385" i="3" l="1"/>
  <c r="U385" i="3" s="1"/>
  <c r="W386" i="3" s="1"/>
  <c r="Q385" i="3"/>
  <c r="S385" i="3"/>
  <c r="P385" i="3"/>
  <c r="V385" i="3" s="1"/>
  <c r="R385" i="3"/>
  <c r="T385" i="3"/>
  <c r="X386" i="3" l="1"/>
  <c r="Z386" i="3"/>
  <c r="Y386" i="3"/>
  <c r="P386" i="3" l="1"/>
  <c r="R386" i="3"/>
  <c r="T386" i="3"/>
  <c r="O386" i="3"/>
  <c r="U386" i="3" s="1"/>
  <c r="W387" i="3" s="1"/>
  <c r="Q386" i="3"/>
  <c r="S386" i="3"/>
  <c r="V386" i="3" l="1"/>
  <c r="Y387" i="3"/>
  <c r="Z387" i="3" l="1"/>
  <c r="S387" i="3" s="1"/>
  <c r="X387" i="3"/>
  <c r="P387" i="3" l="1"/>
  <c r="R387" i="3"/>
  <c r="T387" i="3"/>
  <c r="Q387" i="3"/>
  <c r="O387" i="3"/>
  <c r="V387" i="3" l="1"/>
  <c r="U387" i="3"/>
  <c r="W388" i="3" l="1"/>
  <c r="Y388" i="3"/>
  <c r="X388" i="3"/>
  <c r="Z388" i="3"/>
  <c r="O388" i="3" l="1"/>
  <c r="Q388" i="3"/>
  <c r="S388" i="3"/>
  <c r="P388" i="3"/>
  <c r="V388" i="3" s="1"/>
  <c r="X389" i="3" s="1"/>
  <c r="R388" i="3"/>
  <c r="T388" i="3"/>
  <c r="Z389" i="3" l="1"/>
  <c r="U388" i="3"/>
  <c r="Y389" i="3" l="1"/>
  <c r="W389" i="3"/>
  <c r="P389" i="3"/>
  <c r="R389" i="3"/>
  <c r="T389" i="3"/>
  <c r="V389" i="3" l="1"/>
  <c r="O389" i="3"/>
  <c r="Q389" i="3"/>
  <c r="S389" i="3"/>
  <c r="U389" i="3" l="1"/>
  <c r="X390" i="3"/>
  <c r="Z390" i="3"/>
  <c r="P390" i="3" l="1"/>
  <c r="R390" i="3"/>
  <c r="T390" i="3"/>
  <c r="W390" i="3"/>
  <c r="Y390" i="3"/>
  <c r="V390" i="3" l="1"/>
  <c r="O390" i="3"/>
  <c r="Q390" i="3"/>
  <c r="S390" i="3"/>
  <c r="U390" i="3" l="1"/>
  <c r="Z391" i="3"/>
  <c r="X391" i="3"/>
  <c r="P391" i="3" l="1"/>
  <c r="R391" i="3"/>
  <c r="T391" i="3"/>
  <c r="W391" i="3"/>
  <c r="Y391" i="3"/>
  <c r="V391" i="3" l="1"/>
  <c r="O391" i="3"/>
  <c r="Q391" i="3"/>
  <c r="S391" i="3"/>
  <c r="U391" i="3" l="1"/>
  <c r="Z392" i="3"/>
  <c r="X392" i="3"/>
  <c r="R392" i="3" l="1"/>
  <c r="T392" i="3"/>
  <c r="W392" i="3"/>
  <c r="Y392" i="3"/>
  <c r="P392" i="3" s="1"/>
  <c r="V392" i="3" s="1"/>
  <c r="X393" i="3" l="1"/>
  <c r="Z393" i="3"/>
  <c r="O392" i="3"/>
  <c r="Q392" i="3"/>
  <c r="S392" i="3"/>
  <c r="U392" i="3" l="1"/>
  <c r="W393" i="3" l="1"/>
  <c r="Y393" i="3"/>
  <c r="O393" i="3" l="1"/>
  <c r="Q393" i="3"/>
  <c r="S393" i="3"/>
  <c r="P393" i="3"/>
  <c r="V393" i="3" s="1"/>
  <c r="T393" i="3"/>
  <c r="R393" i="3"/>
  <c r="Z394" i="3" l="1"/>
  <c r="X394" i="3"/>
  <c r="U393" i="3"/>
  <c r="Y394" i="3" l="1"/>
  <c r="W394" i="3"/>
  <c r="P394" i="3"/>
  <c r="R394" i="3"/>
  <c r="O394" i="3" l="1"/>
  <c r="Q394" i="3"/>
  <c r="S394" i="3"/>
  <c r="T394" i="3"/>
  <c r="V394" i="3" s="1"/>
  <c r="X395" i="3" l="1"/>
  <c r="Z395" i="3"/>
  <c r="U394" i="3"/>
  <c r="W395" i="3" l="1"/>
  <c r="Y395" i="3"/>
  <c r="O395" i="3" l="1"/>
  <c r="Q395" i="3"/>
  <c r="S395" i="3"/>
  <c r="R395" i="3"/>
  <c r="T395" i="3"/>
  <c r="P395" i="3"/>
  <c r="U395" i="3" l="1"/>
  <c r="V395" i="3"/>
  <c r="Z396" i="3" l="1"/>
  <c r="X396" i="3"/>
  <c r="Y396" i="3"/>
  <c r="W396" i="3"/>
  <c r="O396" i="3" l="1"/>
  <c r="Q396" i="3"/>
  <c r="S396" i="3"/>
  <c r="P396" i="3"/>
  <c r="R396" i="3"/>
  <c r="T396" i="3"/>
  <c r="U396" i="3" l="1"/>
  <c r="V396" i="3"/>
  <c r="X397" i="3" l="1"/>
  <c r="Z397" i="3"/>
  <c r="W397" i="3"/>
  <c r="Y397" i="3"/>
  <c r="P397" i="3" l="1"/>
  <c r="R397" i="3"/>
  <c r="T397" i="3"/>
  <c r="O397" i="3"/>
  <c r="U397" i="3" s="1"/>
  <c r="W398" i="3" s="1"/>
  <c r="Q397" i="3"/>
  <c r="S397" i="3"/>
  <c r="Y398" i="3" l="1"/>
  <c r="V397" i="3"/>
  <c r="Z398" i="3" l="1"/>
  <c r="X398" i="3"/>
  <c r="O398" i="3"/>
  <c r="Q398" i="3"/>
  <c r="S398" i="3"/>
  <c r="U398" i="3" l="1"/>
  <c r="P398" i="3"/>
  <c r="R398" i="3"/>
  <c r="T398" i="3"/>
  <c r="V398" i="3" l="1"/>
  <c r="W399" i="3"/>
  <c r="Y399" i="3"/>
  <c r="O399" i="3" l="1"/>
  <c r="Q399" i="3"/>
  <c r="S399" i="3"/>
  <c r="X399" i="3"/>
  <c r="Z399" i="3"/>
  <c r="U399" i="3" l="1"/>
  <c r="P399" i="3"/>
  <c r="R399" i="3"/>
  <c r="T399" i="3"/>
  <c r="V399" i="3" l="1"/>
  <c r="Y400" i="3"/>
  <c r="W400" i="3"/>
  <c r="O400" i="3" l="1"/>
  <c r="Q400" i="3"/>
  <c r="S400" i="3"/>
  <c r="X400" i="3"/>
  <c r="Z400" i="3"/>
  <c r="U400" i="3" l="1"/>
  <c r="P400" i="3"/>
  <c r="R400" i="3"/>
  <c r="T400" i="3"/>
  <c r="V400" i="3" l="1"/>
  <c r="W401" i="3"/>
  <c r="Y401" i="3"/>
  <c r="O401" i="3" l="1"/>
  <c r="Q401" i="3"/>
  <c r="S401" i="3"/>
  <c r="X401" i="3"/>
  <c r="Z401" i="3"/>
  <c r="U401" i="3" l="1"/>
  <c r="P401" i="3"/>
  <c r="R401" i="3"/>
  <c r="T401" i="3"/>
  <c r="V401" i="3" l="1"/>
  <c r="Y402" i="3"/>
  <c r="W402" i="3"/>
  <c r="O402" i="3" l="1"/>
  <c r="S402" i="3"/>
  <c r="Q402" i="3"/>
  <c r="X402" i="3"/>
  <c r="Z402" i="3"/>
  <c r="U402" i="3" l="1"/>
  <c r="P402" i="3"/>
  <c r="R402" i="3"/>
  <c r="T402" i="3"/>
  <c r="V402" i="3" l="1"/>
  <c r="W403" i="3"/>
  <c r="Y403" i="3"/>
  <c r="O403" i="3" l="1"/>
  <c r="Q403" i="3"/>
  <c r="S403" i="3"/>
  <c r="X403" i="3"/>
  <c r="Z403" i="3"/>
  <c r="U403" i="3" l="1"/>
  <c r="P403" i="3"/>
  <c r="R403" i="3"/>
  <c r="T403" i="3"/>
  <c r="V403" i="3" l="1"/>
  <c r="Y404" i="3"/>
  <c r="W404" i="3"/>
  <c r="X404" i="3" l="1"/>
  <c r="Z404" i="3"/>
  <c r="P404" i="3" l="1"/>
  <c r="R404" i="3"/>
  <c r="T404" i="3"/>
  <c r="O404" i="3"/>
  <c r="U404" i="3" s="1"/>
  <c r="S404" i="3"/>
  <c r="Q404" i="3"/>
  <c r="W405" i="3" l="1"/>
  <c r="Y405" i="3"/>
  <c r="V404" i="3"/>
  <c r="Z405" i="3" l="1"/>
  <c r="Q405" i="3" s="1"/>
  <c r="X405" i="3"/>
  <c r="P405" i="3" l="1"/>
  <c r="R405" i="3"/>
  <c r="T405" i="3"/>
  <c r="S405" i="3"/>
  <c r="O405" i="3"/>
  <c r="V405" i="3" l="1"/>
  <c r="U405" i="3"/>
  <c r="Y406" i="3" l="1"/>
  <c r="W406" i="3"/>
  <c r="X406" i="3"/>
  <c r="Z406" i="3"/>
  <c r="P406" i="3" l="1"/>
  <c r="R406" i="3"/>
  <c r="T406" i="3"/>
  <c r="O406" i="3"/>
  <c r="Q406" i="3"/>
  <c r="S406" i="3"/>
  <c r="U406" i="3" l="1"/>
  <c r="V406" i="3"/>
  <c r="Z407" i="3" l="1"/>
  <c r="X407" i="3"/>
  <c r="W407" i="3"/>
  <c r="Y407" i="3"/>
  <c r="O407" i="3" l="1"/>
  <c r="Q407" i="3"/>
  <c r="S407" i="3"/>
  <c r="P407" i="3"/>
  <c r="R407" i="3"/>
  <c r="T407" i="3"/>
  <c r="V407" i="3" l="1"/>
  <c r="U407" i="3"/>
  <c r="Y408" i="3" l="1"/>
  <c r="W408" i="3"/>
  <c r="X408" i="3"/>
  <c r="Z408" i="3"/>
  <c r="P408" i="3" l="1"/>
  <c r="R408" i="3"/>
  <c r="T408" i="3"/>
  <c r="O408" i="3"/>
  <c r="Q408" i="3"/>
  <c r="S408" i="3"/>
  <c r="U408" i="3" l="1"/>
  <c r="V408" i="3"/>
  <c r="Z409" i="3" l="1"/>
  <c r="X409" i="3"/>
  <c r="W409" i="3"/>
  <c r="Y409" i="3"/>
  <c r="O409" i="3" l="1"/>
  <c r="Q409" i="3"/>
  <c r="S409" i="3"/>
  <c r="P409" i="3"/>
  <c r="T409" i="3"/>
  <c r="R409" i="3"/>
  <c r="U409" i="3" l="1"/>
  <c r="V409" i="3"/>
  <c r="X410" i="3" l="1"/>
  <c r="Z410" i="3"/>
  <c r="Y410" i="3"/>
  <c r="W410" i="3"/>
  <c r="P410" i="3" l="1"/>
  <c r="R410" i="3"/>
  <c r="T410" i="3"/>
  <c r="O410" i="3"/>
  <c r="Q410" i="3"/>
  <c r="S410" i="3"/>
  <c r="V410" i="3" l="1"/>
  <c r="U410" i="3"/>
  <c r="W411" i="3" l="1"/>
  <c r="Y411" i="3"/>
  <c r="Z411" i="3"/>
  <c r="X411" i="3"/>
  <c r="O411" i="3" l="1"/>
  <c r="Q411" i="3"/>
  <c r="S411" i="3"/>
  <c r="P411" i="3"/>
  <c r="T411" i="3"/>
  <c r="R411" i="3"/>
  <c r="U411" i="3" l="1"/>
  <c r="V411" i="3"/>
  <c r="X412" i="3" l="1"/>
  <c r="Z412" i="3"/>
  <c r="Y412" i="3"/>
  <c r="W412" i="3"/>
  <c r="P412" i="3" l="1"/>
  <c r="R412" i="3"/>
  <c r="T412" i="3"/>
  <c r="O412" i="3"/>
  <c r="Q412" i="3"/>
  <c r="S412" i="3"/>
  <c r="V412" i="3" l="1"/>
  <c r="U412" i="3"/>
  <c r="W413" i="3" l="1"/>
  <c r="Y413" i="3"/>
  <c r="Z413" i="3"/>
  <c r="X413" i="3"/>
  <c r="O413" i="3" l="1"/>
  <c r="Q413" i="3"/>
  <c r="S413" i="3"/>
  <c r="P413" i="3"/>
  <c r="R413" i="3"/>
  <c r="T413" i="3"/>
  <c r="U413" i="3" l="1"/>
  <c r="V413" i="3"/>
  <c r="X414" i="3" l="1"/>
  <c r="Z414" i="3"/>
  <c r="Y414" i="3"/>
  <c r="W414" i="3"/>
  <c r="P414" i="3" l="1"/>
  <c r="R414" i="3"/>
  <c r="T414" i="3"/>
  <c r="O414" i="3"/>
  <c r="Q414" i="3"/>
  <c r="S414" i="3"/>
  <c r="V414" i="3" l="1"/>
  <c r="U414" i="3"/>
  <c r="W415" i="3" l="1"/>
  <c r="Y415" i="3"/>
  <c r="Z415" i="3"/>
  <c r="X415" i="3"/>
  <c r="O415" i="3" l="1"/>
  <c r="Q415" i="3"/>
  <c r="S415" i="3"/>
  <c r="P415" i="3"/>
  <c r="R415" i="3"/>
  <c r="T415" i="3"/>
  <c r="U415" i="3" l="1"/>
  <c r="V415" i="3"/>
  <c r="X416" i="3" l="1"/>
  <c r="Z416" i="3"/>
  <c r="Y416" i="3"/>
  <c r="W416" i="3"/>
  <c r="P416" i="3" l="1"/>
  <c r="R416" i="3"/>
  <c r="T416" i="3"/>
  <c r="O416" i="3"/>
  <c r="Q416" i="3"/>
  <c r="S416" i="3"/>
  <c r="V416" i="3" l="1"/>
  <c r="U416" i="3"/>
  <c r="W417" i="3" l="1"/>
  <c r="Y417" i="3"/>
  <c r="Z417" i="3"/>
  <c r="X417" i="3"/>
  <c r="O417" i="3" l="1"/>
  <c r="Q417" i="3"/>
  <c r="S417" i="3"/>
  <c r="P417" i="3"/>
  <c r="R417" i="3"/>
  <c r="T417" i="3"/>
  <c r="U417" i="3" l="1"/>
  <c r="V417" i="3"/>
  <c r="X418" i="3" l="1"/>
  <c r="Z418" i="3"/>
  <c r="Y418" i="3"/>
  <c r="W418" i="3"/>
  <c r="P418" i="3" l="1"/>
  <c r="R418" i="3"/>
  <c r="T418" i="3"/>
  <c r="O418" i="3"/>
  <c r="Q418" i="3"/>
  <c r="S418" i="3"/>
  <c r="V418" i="3" l="1"/>
  <c r="U418" i="3"/>
  <c r="Y419" i="3" l="1"/>
  <c r="W419" i="3"/>
  <c r="Z419" i="3"/>
  <c r="X419" i="3"/>
  <c r="P419" i="3" l="1"/>
  <c r="R419" i="3"/>
  <c r="T419" i="3"/>
  <c r="O419" i="3"/>
  <c r="Q419" i="3"/>
  <c r="S419" i="3"/>
  <c r="V419" i="3" l="1"/>
  <c r="U419" i="3"/>
  <c r="W420" i="3" l="1"/>
  <c r="Y420" i="3"/>
  <c r="X420" i="3"/>
  <c r="Z420" i="3"/>
  <c r="O420" i="3" l="1"/>
  <c r="S420" i="3"/>
  <c r="Q420" i="3"/>
  <c r="P420" i="3"/>
  <c r="V420" i="3" s="1"/>
  <c r="X421" i="3" s="1"/>
  <c r="R420" i="3"/>
  <c r="T420" i="3"/>
  <c r="Z421" i="3" l="1"/>
  <c r="U420" i="3"/>
  <c r="Y421" i="3" l="1"/>
  <c r="W421" i="3"/>
  <c r="P421" i="3"/>
  <c r="R421" i="3"/>
  <c r="T421" i="3"/>
  <c r="V421" i="3" l="1"/>
  <c r="O421" i="3"/>
  <c r="Q421" i="3"/>
  <c r="S421" i="3"/>
  <c r="U421" i="3" l="1"/>
  <c r="X422" i="3"/>
  <c r="Z422" i="3"/>
  <c r="P422" i="3" l="1"/>
  <c r="R422" i="3"/>
  <c r="T422" i="3"/>
  <c r="W422" i="3"/>
  <c r="Y422" i="3"/>
  <c r="V422" i="3" l="1"/>
  <c r="O422" i="3"/>
  <c r="Q422" i="3"/>
  <c r="S422" i="3"/>
  <c r="U422" i="3" l="1"/>
  <c r="Z423" i="3"/>
  <c r="X423" i="3"/>
  <c r="P423" i="3" l="1"/>
  <c r="R423" i="3"/>
  <c r="T423" i="3"/>
  <c r="W423" i="3"/>
  <c r="Y423" i="3"/>
  <c r="V423" i="3" l="1"/>
  <c r="O423" i="3"/>
  <c r="Q423" i="3"/>
  <c r="S423" i="3"/>
  <c r="U423" i="3" l="1"/>
  <c r="X424" i="3"/>
  <c r="Z424" i="3"/>
  <c r="P424" i="3" l="1"/>
  <c r="R424" i="3"/>
  <c r="T424" i="3"/>
  <c r="W424" i="3"/>
  <c r="Y424" i="3"/>
  <c r="V424" i="3" l="1"/>
  <c r="O424" i="3"/>
  <c r="Q424" i="3"/>
  <c r="S424" i="3"/>
  <c r="U424" i="3" l="1"/>
  <c r="Z425" i="3"/>
  <c r="X425" i="3"/>
  <c r="P425" i="3" l="1"/>
  <c r="R425" i="3"/>
  <c r="T425" i="3"/>
  <c r="W425" i="3"/>
  <c r="Y425" i="3"/>
  <c r="V425" i="3" l="1"/>
  <c r="O425" i="3"/>
  <c r="S425" i="3"/>
  <c r="Q425" i="3"/>
  <c r="U425" i="3" l="1"/>
  <c r="X426" i="3"/>
  <c r="Z426" i="3"/>
  <c r="P426" i="3" l="1"/>
  <c r="R426" i="3"/>
  <c r="T426" i="3"/>
  <c r="W426" i="3"/>
  <c r="Y426" i="3"/>
  <c r="V426" i="3" l="1"/>
  <c r="O426" i="3"/>
  <c r="Q426" i="3"/>
  <c r="S426" i="3"/>
  <c r="U426" i="3" l="1"/>
  <c r="X427" i="3"/>
  <c r="Z427" i="3"/>
  <c r="P427" i="3" l="1"/>
  <c r="R427" i="3"/>
  <c r="T427" i="3"/>
  <c r="W427" i="3"/>
  <c r="Y427" i="3"/>
  <c r="V427" i="3" l="1"/>
  <c r="O427" i="3"/>
  <c r="Q427" i="3"/>
  <c r="S427" i="3"/>
  <c r="U427" i="3" l="1"/>
  <c r="Z428" i="3"/>
  <c r="X428" i="3"/>
  <c r="P428" i="3" l="1"/>
  <c r="R428" i="3"/>
  <c r="T428" i="3"/>
  <c r="W428" i="3"/>
  <c r="Y428" i="3"/>
  <c r="V428" i="3" l="1"/>
  <c r="O428" i="3"/>
  <c r="Q428" i="3"/>
  <c r="S428" i="3"/>
  <c r="U428" i="3" l="1"/>
  <c r="X429" i="3"/>
  <c r="Z429" i="3"/>
  <c r="P429" i="3" l="1"/>
  <c r="T429" i="3"/>
  <c r="R429" i="3"/>
  <c r="W429" i="3"/>
  <c r="Y429" i="3"/>
  <c r="V429" i="3" l="1"/>
  <c r="O429" i="3"/>
  <c r="Q429" i="3"/>
  <c r="S429" i="3"/>
  <c r="U429" i="3" l="1"/>
  <c r="Z430" i="3"/>
  <c r="X430" i="3"/>
  <c r="P430" i="3" l="1"/>
  <c r="R430" i="3"/>
  <c r="T430" i="3"/>
  <c r="W430" i="3"/>
  <c r="Y430" i="3"/>
  <c r="V430" i="3" l="1"/>
  <c r="O430" i="3"/>
  <c r="Q430" i="3"/>
  <c r="S430" i="3"/>
  <c r="U430" i="3" l="1"/>
  <c r="X431" i="3"/>
  <c r="Z431" i="3"/>
  <c r="P431" i="3" l="1"/>
  <c r="R431" i="3"/>
  <c r="T431" i="3"/>
  <c r="W431" i="3"/>
  <c r="Y431" i="3"/>
  <c r="V431" i="3" l="1"/>
  <c r="O431" i="3"/>
  <c r="Q431" i="3"/>
  <c r="S431" i="3"/>
  <c r="U431" i="3" l="1"/>
  <c r="Z432" i="3"/>
  <c r="X432" i="3"/>
  <c r="P432" i="3" l="1"/>
  <c r="R432" i="3"/>
  <c r="T432" i="3"/>
  <c r="W432" i="3"/>
  <c r="Y432" i="3"/>
  <c r="V432" i="3" l="1"/>
  <c r="O432" i="3"/>
  <c r="Q432" i="3"/>
  <c r="S432" i="3"/>
  <c r="U432" i="3" l="1"/>
  <c r="X433" i="3"/>
  <c r="Z433" i="3"/>
  <c r="P433" i="3" l="1"/>
  <c r="R433" i="3"/>
  <c r="T433" i="3"/>
  <c r="W433" i="3"/>
  <c r="Y433" i="3"/>
  <c r="V433" i="3" l="1"/>
  <c r="O433" i="3"/>
  <c r="Q433" i="3"/>
  <c r="S433" i="3"/>
  <c r="U433" i="3" l="1"/>
  <c r="Z434" i="3"/>
  <c r="X434" i="3"/>
  <c r="P434" i="3" l="1"/>
  <c r="R434" i="3"/>
  <c r="T434" i="3"/>
  <c r="W434" i="3"/>
  <c r="Y434" i="3"/>
  <c r="V434" i="3" l="1"/>
  <c r="O434" i="3"/>
  <c r="Q434" i="3"/>
  <c r="S434" i="3"/>
  <c r="U434" i="3" l="1"/>
  <c r="X435" i="3"/>
  <c r="Z435" i="3"/>
  <c r="P435" i="3" l="1"/>
  <c r="R435" i="3"/>
  <c r="T435" i="3"/>
  <c r="W435" i="3"/>
  <c r="Y435" i="3"/>
  <c r="V435" i="3" l="1"/>
  <c r="O435" i="3"/>
  <c r="Q435" i="3"/>
  <c r="S435" i="3"/>
  <c r="U435" i="3" l="1"/>
  <c r="Z436" i="3"/>
  <c r="X436" i="3"/>
  <c r="P436" i="3" l="1"/>
  <c r="R436" i="3"/>
  <c r="T436" i="3"/>
  <c r="W436" i="3"/>
  <c r="Y436" i="3"/>
  <c r="V436" i="3" l="1"/>
  <c r="O436" i="3"/>
  <c r="Q436" i="3"/>
  <c r="S436" i="3"/>
  <c r="U436" i="3" l="1"/>
  <c r="X437" i="3"/>
  <c r="Z437" i="3"/>
  <c r="P437" i="3" l="1"/>
  <c r="R437" i="3"/>
  <c r="T437" i="3"/>
  <c r="W437" i="3"/>
  <c r="Y437" i="3"/>
  <c r="V437" i="3" l="1"/>
  <c r="O437" i="3"/>
  <c r="Q437" i="3"/>
  <c r="S437" i="3"/>
  <c r="U437" i="3" l="1"/>
  <c r="Z438" i="3"/>
  <c r="X438" i="3"/>
  <c r="P438" i="3" l="1"/>
  <c r="R438" i="3"/>
  <c r="T438" i="3"/>
  <c r="W438" i="3"/>
  <c r="Y438" i="3"/>
  <c r="V438" i="3" l="1"/>
  <c r="O438" i="3"/>
  <c r="Q438" i="3"/>
  <c r="S438" i="3"/>
  <c r="U438" i="3" l="1"/>
  <c r="X439" i="3"/>
  <c r="Z439" i="3"/>
  <c r="P439" i="3" l="1"/>
  <c r="R439" i="3"/>
  <c r="T439" i="3"/>
  <c r="W439" i="3"/>
  <c r="Y439" i="3"/>
  <c r="V439" i="3" l="1"/>
  <c r="O439" i="3"/>
  <c r="Q439" i="3"/>
  <c r="S439" i="3"/>
  <c r="U439" i="3" l="1"/>
  <c r="Z440" i="3"/>
  <c r="X440" i="3"/>
  <c r="P440" i="3" l="1"/>
  <c r="R440" i="3"/>
  <c r="T440" i="3"/>
  <c r="W440" i="3"/>
  <c r="Y440" i="3"/>
  <c r="V440" i="3" l="1"/>
  <c r="O440" i="3"/>
  <c r="Q440" i="3"/>
  <c r="S440" i="3"/>
  <c r="U440" i="3" l="1"/>
  <c r="X441" i="3"/>
  <c r="Z441" i="3"/>
  <c r="P441" i="3" l="1"/>
  <c r="R441" i="3"/>
  <c r="T441" i="3"/>
  <c r="W441" i="3"/>
  <c r="Y441" i="3"/>
  <c r="V441" i="3" l="1"/>
  <c r="O441" i="3"/>
  <c r="Q441" i="3"/>
  <c r="S441" i="3"/>
  <c r="U441" i="3" l="1"/>
  <c r="Z442" i="3"/>
  <c r="X442" i="3"/>
  <c r="P442" i="3" l="1"/>
  <c r="R442" i="3"/>
  <c r="T442" i="3"/>
  <c r="W442" i="3"/>
  <c r="Y442" i="3"/>
  <c r="V442" i="3" l="1"/>
  <c r="O442" i="3"/>
  <c r="Q442" i="3"/>
  <c r="S442" i="3"/>
  <c r="U442" i="3" l="1"/>
  <c r="X443" i="3"/>
  <c r="Z443" i="3"/>
  <c r="P443" i="3" l="1"/>
  <c r="R443" i="3"/>
  <c r="T443" i="3"/>
  <c r="W443" i="3"/>
  <c r="Y443" i="3"/>
  <c r="V443" i="3" l="1"/>
  <c r="O443" i="3"/>
  <c r="Q443" i="3"/>
  <c r="S443" i="3"/>
  <c r="U443" i="3" l="1"/>
  <c r="Z444" i="3"/>
  <c r="X444" i="3"/>
  <c r="P444" i="3" l="1"/>
  <c r="R444" i="3"/>
  <c r="T444" i="3"/>
  <c r="W444" i="3"/>
  <c r="Y444" i="3"/>
  <c r="V444" i="3" l="1"/>
  <c r="O444" i="3"/>
  <c r="Q444" i="3"/>
  <c r="S444" i="3"/>
  <c r="U444" i="3" l="1"/>
  <c r="X445" i="3"/>
  <c r="Z445" i="3"/>
  <c r="P445" i="3" l="1"/>
  <c r="T445" i="3"/>
  <c r="R445" i="3"/>
  <c r="W445" i="3"/>
  <c r="Y445" i="3"/>
  <c r="V445" i="3" l="1"/>
  <c r="O445" i="3"/>
  <c r="Q445" i="3"/>
  <c r="S445" i="3"/>
  <c r="U445" i="3" l="1"/>
  <c r="Z446" i="3"/>
  <c r="X446" i="3"/>
  <c r="P446" i="3" l="1"/>
  <c r="R446" i="3"/>
  <c r="T446" i="3"/>
  <c r="W446" i="3"/>
  <c r="Y446" i="3"/>
  <c r="V446" i="3" l="1"/>
  <c r="O446" i="3"/>
  <c r="Q446" i="3"/>
  <c r="S446" i="3"/>
  <c r="U446" i="3" l="1"/>
  <c r="X447" i="3"/>
  <c r="Z447" i="3"/>
  <c r="T447" i="3" l="1"/>
  <c r="R447" i="3"/>
  <c r="W447" i="3"/>
  <c r="Y447" i="3"/>
  <c r="P447" i="3" s="1"/>
  <c r="V447" i="3" s="1"/>
  <c r="Z448" i="3" l="1"/>
  <c r="X448" i="3"/>
  <c r="O447" i="3"/>
  <c r="Q447" i="3"/>
  <c r="S447" i="3"/>
  <c r="U447" i="3" l="1"/>
  <c r="Y448" i="3" l="1"/>
  <c r="W448" i="3"/>
  <c r="O448" i="3" l="1"/>
  <c r="Q448" i="3"/>
  <c r="S448" i="3"/>
  <c r="P448" i="3"/>
  <c r="V448" i="3" s="1"/>
  <c r="R448" i="3"/>
  <c r="T448" i="3"/>
  <c r="U448" i="3" l="1"/>
  <c r="X449" i="3"/>
  <c r="Z449" i="3"/>
  <c r="P449" i="3" l="1"/>
  <c r="R449" i="3"/>
  <c r="T449" i="3"/>
  <c r="W449" i="3"/>
  <c r="Y449" i="3"/>
  <c r="V449" i="3" l="1"/>
  <c r="O449" i="3"/>
  <c r="Q449" i="3"/>
  <c r="S449" i="3"/>
  <c r="U449" i="3" l="1"/>
  <c r="Z450" i="3"/>
  <c r="X450" i="3"/>
  <c r="P450" i="3" l="1"/>
  <c r="R450" i="3"/>
  <c r="T450" i="3"/>
  <c r="W450" i="3"/>
  <c r="Y450" i="3"/>
  <c r="V450" i="3" l="1"/>
  <c r="O450" i="3"/>
  <c r="Q450" i="3"/>
  <c r="S450" i="3"/>
  <c r="U450" i="3" l="1"/>
  <c r="X451" i="3"/>
  <c r="Z451" i="3"/>
  <c r="R451" i="3" l="1"/>
  <c r="T451" i="3"/>
  <c r="W451" i="3"/>
  <c r="Y451" i="3"/>
  <c r="P451" i="3" s="1"/>
  <c r="V451" i="3" s="1"/>
  <c r="Z452" i="3" l="1"/>
  <c r="X452" i="3"/>
  <c r="O451" i="3"/>
  <c r="Q451" i="3"/>
  <c r="S451" i="3"/>
  <c r="U451" i="3" l="1"/>
  <c r="Y452" i="3" l="1"/>
  <c r="W452" i="3"/>
  <c r="O452" i="3" l="1"/>
  <c r="Q452" i="3"/>
  <c r="S452" i="3"/>
  <c r="P452" i="3"/>
  <c r="V452" i="3" s="1"/>
  <c r="R452" i="3"/>
  <c r="T452" i="3"/>
  <c r="U452" i="3" l="1"/>
  <c r="X453" i="3"/>
  <c r="Z453" i="3"/>
  <c r="P453" i="3" l="1"/>
  <c r="R453" i="3"/>
  <c r="T453" i="3"/>
  <c r="W453" i="3"/>
  <c r="Y453" i="3"/>
  <c r="V453" i="3" l="1"/>
  <c r="O453" i="3"/>
  <c r="Q453" i="3"/>
  <c r="S453" i="3"/>
  <c r="U453" i="3" l="1"/>
  <c r="Z454" i="3"/>
  <c r="X454" i="3"/>
  <c r="R454" i="3" l="1"/>
  <c r="T454" i="3"/>
  <c r="W454" i="3"/>
  <c r="Y454" i="3"/>
  <c r="P454" i="3" s="1"/>
  <c r="V454" i="3" s="1"/>
  <c r="X455" i="3" l="1"/>
  <c r="Z455" i="3"/>
  <c r="O454" i="3"/>
  <c r="U454" i="3" s="1"/>
  <c r="Y455" i="3" s="1"/>
  <c r="Q454" i="3"/>
  <c r="S454" i="3"/>
  <c r="O455" i="3" l="1"/>
  <c r="Q455" i="3"/>
  <c r="S455" i="3"/>
  <c r="W455" i="3"/>
  <c r="P455" i="3"/>
  <c r="R455" i="3"/>
  <c r="T455" i="3"/>
  <c r="U455" i="3" l="1"/>
  <c r="W456" i="3" s="1"/>
  <c r="V455" i="3"/>
  <c r="Y456" i="3"/>
  <c r="X456" i="3" l="1"/>
  <c r="Z456" i="3"/>
  <c r="O456" i="3"/>
  <c r="Q456" i="3"/>
  <c r="P456" i="3" l="1"/>
  <c r="R456" i="3"/>
  <c r="T456" i="3"/>
  <c r="S456" i="3"/>
  <c r="U456" i="3" s="1"/>
  <c r="W457" i="3" l="1"/>
  <c r="Y457" i="3"/>
  <c r="V456" i="3"/>
  <c r="X457" i="3" l="1"/>
  <c r="Z457" i="3"/>
  <c r="P457" i="3" l="1"/>
  <c r="R457" i="3"/>
  <c r="T457" i="3"/>
  <c r="Q457" i="3"/>
  <c r="S457" i="3"/>
  <c r="O457" i="3"/>
  <c r="V457" i="3" l="1"/>
  <c r="U457" i="3"/>
  <c r="Y458" i="3" l="1"/>
  <c r="W458" i="3"/>
  <c r="Z458" i="3"/>
  <c r="X458" i="3"/>
  <c r="P458" i="3" l="1"/>
  <c r="V458" i="3" s="1"/>
  <c r="X459" i="3" s="1"/>
  <c r="R458" i="3"/>
  <c r="T458" i="3"/>
  <c r="O458" i="3"/>
  <c r="Q458" i="3"/>
  <c r="S458" i="3"/>
  <c r="U458" i="3" l="1"/>
  <c r="Z459" i="3"/>
  <c r="W459" i="3" l="1"/>
  <c r="Y459" i="3"/>
  <c r="O459" i="3" l="1"/>
  <c r="S459" i="3"/>
  <c r="Q459" i="3"/>
  <c r="R459" i="3"/>
  <c r="T459" i="3"/>
  <c r="P459" i="3"/>
  <c r="U459" i="3" l="1"/>
  <c r="V459" i="3"/>
  <c r="X460" i="3" l="1"/>
  <c r="Z460" i="3"/>
  <c r="Y460" i="3"/>
  <c r="W460" i="3"/>
  <c r="P460" i="3" l="1"/>
  <c r="R460" i="3"/>
  <c r="T460" i="3"/>
  <c r="O460" i="3"/>
  <c r="Q460" i="3"/>
  <c r="S460" i="3"/>
  <c r="V460" i="3" l="1"/>
  <c r="U460" i="3"/>
  <c r="W461" i="3" l="1"/>
  <c r="Y461" i="3"/>
  <c r="Z461" i="3"/>
  <c r="X461" i="3"/>
  <c r="O461" i="3" l="1"/>
  <c r="S461" i="3"/>
  <c r="Q461" i="3"/>
  <c r="P461" i="3"/>
  <c r="R461" i="3"/>
  <c r="T461" i="3"/>
  <c r="U461" i="3" l="1"/>
  <c r="V461" i="3"/>
  <c r="X462" i="3" l="1"/>
  <c r="Z462" i="3"/>
  <c r="Y462" i="3"/>
  <c r="W462" i="3"/>
  <c r="P462" i="3" l="1"/>
  <c r="R462" i="3"/>
  <c r="T462" i="3"/>
  <c r="O462" i="3"/>
  <c r="Q462" i="3"/>
  <c r="S462" i="3"/>
  <c r="V462" i="3" l="1"/>
  <c r="U462" i="3"/>
  <c r="W463" i="3" l="1"/>
  <c r="Y463" i="3"/>
  <c r="Z463" i="3"/>
  <c r="X463" i="3"/>
  <c r="P463" i="3" l="1"/>
  <c r="T463" i="3"/>
  <c r="R463" i="3"/>
  <c r="O463" i="3"/>
  <c r="S463" i="3"/>
  <c r="Q463" i="3"/>
  <c r="V463" i="3" l="1"/>
  <c r="U463" i="3"/>
  <c r="W464" i="3" l="1"/>
  <c r="Y464" i="3"/>
  <c r="X464" i="3"/>
  <c r="Z464" i="3"/>
  <c r="P464" i="3" l="1"/>
  <c r="R464" i="3"/>
  <c r="T464" i="3"/>
  <c r="O464" i="3"/>
  <c r="U464" i="3" s="1"/>
  <c r="W465" i="3" s="1"/>
  <c r="Q464" i="3"/>
  <c r="S464" i="3"/>
  <c r="Y465" i="3" l="1"/>
  <c r="V464" i="3"/>
  <c r="Z465" i="3" l="1"/>
  <c r="X465" i="3"/>
  <c r="O465" i="3"/>
  <c r="Q465" i="3"/>
  <c r="S465" i="3"/>
  <c r="U465" i="3" l="1"/>
  <c r="P465" i="3"/>
  <c r="R465" i="3"/>
  <c r="T465" i="3"/>
  <c r="V465" i="3" l="1"/>
  <c r="W466" i="3"/>
  <c r="Y466" i="3"/>
  <c r="O466" i="3" l="1"/>
  <c r="Q466" i="3"/>
  <c r="S466" i="3"/>
  <c r="X466" i="3"/>
  <c r="Z466" i="3"/>
  <c r="U466" i="3" l="1"/>
  <c r="P466" i="3"/>
  <c r="R466" i="3"/>
  <c r="T466" i="3"/>
  <c r="V466" i="3" l="1"/>
  <c r="Y467" i="3"/>
  <c r="W467" i="3"/>
  <c r="O467" i="3" l="1"/>
  <c r="Q467" i="3"/>
  <c r="S467" i="3"/>
  <c r="X467" i="3"/>
  <c r="Z467" i="3"/>
  <c r="U467" i="3" l="1"/>
  <c r="P467" i="3"/>
  <c r="V467" i="3" s="1"/>
  <c r="X468" i="3" s="1"/>
  <c r="R467" i="3"/>
  <c r="T467" i="3"/>
  <c r="Z468" i="3" l="1"/>
  <c r="W468" i="3"/>
  <c r="Y468" i="3"/>
  <c r="O468" i="3" l="1"/>
  <c r="Q468" i="3"/>
  <c r="S468" i="3"/>
  <c r="P468" i="3"/>
  <c r="R468" i="3"/>
  <c r="T468" i="3"/>
  <c r="U468" i="3" l="1"/>
  <c r="V468" i="3"/>
  <c r="X469" i="3" l="1"/>
  <c r="Z469" i="3"/>
  <c r="W469" i="3"/>
  <c r="Y469" i="3"/>
  <c r="P469" i="3" l="1"/>
  <c r="R469" i="3"/>
  <c r="T469" i="3"/>
  <c r="O469" i="3"/>
  <c r="U469" i="3" s="1"/>
  <c r="Y470" i="3" s="1"/>
  <c r="Q469" i="3"/>
  <c r="S469" i="3"/>
  <c r="W470" i="3" l="1"/>
  <c r="V469" i="3"/>
  <c r="Z470" i="3" l="1"/>
  <c r="X470" i="3"/>
  <c r="P470" i="3" l="1"/>
  <c r="R470" i="3"/>
  <c r="T470" i="3"/>
  <c r="O470" i="3"/>
  <c r="U470" i="3" s="1"/>
  <c r="Q470" i="3"/>
  <c r="S470" i="3"/>
  <c r="V470" i="3" l="1"/>
  <c r="W471" i="3"/>
  <c r="Y471" i="3"/>
  <c r="O471" i="3" l="1"/>
  <c r="Q471" i="3"/>
  <c r="S471" i="3"/>
  <c r="X471" i="3"/>
  <c r="Z471" i="3"/>
  <c r="U471" i="3" l="1"/>
  <c r="P471" i="3"/>
  <c r="R471" i="3"/>
  <c r="T471" i="3"/>
  <c r="V471" i="3" l="1"/>
  <c r="Y472" i="3"/>
  <c r="W472" i="3"/>
  <c r="O472" i="3" l="1"/>
  <c r="Q472" i="3"/>
  <c r="S472" i="3"/>
  <c r="X472" i="3"/>
  <c r="Z472" i="3"/>
  <c r="U472" i="3" l="1"/>
  <c r="P472" i="3"/>
  <c r="R472" i="3"/>
  <c r="T472" i="3"/>
  <c r="V472" i="3" l="1"/>
  <c r="W473" i="3"/>
  <c r="Y473" i="3"/>
  <c r="Q473" i="3" l="1"/>
  <c r="S473" i="3"/>
  <c r="X473" i="3"/>
  <c r="Z473" i="3"/>
  <c r="O473" i="3" s="1"/>
  <c r="U473" i="3" s="1"/>
  <c r="Y474" i="3" l="1"/>
  <c r="W474" i="3"/>
  <c r="P473" i="3"/>
  <c r="R473" i="3"/>
  <c r="T473" i="3"/>
  <c r="V473" i="3" l="1"/>
  <c r="Z474" i="3" l="1"/>
  <c r="X474" i="3"/>
  <c r="P474" i="3" l="1"/>
  <c r="R474" i="3"/>
  <c r="T474" i="3"/>
  <c r="O474" i="3"/>
  <c r="U474" i="3" s="1"/>
  <c r="Q474" i="3"/>
  <c r="S474" i="3"/>
  <c r="V474" i="3" l="1"/>
  <c r="W475" i="3"/>
  <c r="Y475" i="3"/>
  <c r="O475" i="3" l="1"/>
  <c r="Q475" i="3"/>
  <c r="S475" i="3"/>
  <c r="X475" i="3"/>
  <c r="Z475" i="3"/>
  <c r="U475" i="3" l="1"/>
  <c r="P475" i="3"/>
  <c r="R475" i="3"/>
  <c r="T475" i="3"/>
  <c r="V475" i="3" l="1"/>
  <c r="Y476" i="3"/>
  <c r="W476" i="3"/>
  <c r="O476" i="3" l="1"/>
  <c r="Q476" i="3"/>
  <c r="S476" i="3"/>
  <c r="X476" i="3"/>
  <c r="Z476" i="3"/>
  <c r="U476" i="3" l="1"/>
  <c r="P476" i="3"/>
  <c r="R476" i="3"/>
  <c r="T476" i="3"/>
  <c r="V476" i="3" l="1"/>
  <c r="W477" i="3"/>
  <c r="Y477" i="3"/>
  <c r="S477" i="3" l="1"/>
  <c r="Q477" i="3"/>
  <c r="X477" i="3"/>
  <c r="Z477" i="3"/>
  <c r="O477" i="3" s="1"/>
  <c r="U477" i="3" s="1"/>
  <c r="Y478" i="3" l="1"/>
  <c r="W478" i="3"/>
  <c r="P477" i="3"/>
  <c r="V477" i="3" s="1"/>
  <c r="Z478" i="3" s="1"/>
  <c r="R477" i="3"/>
  <c r="T477" i="3"/>
  <c r="P478" i="3" l="1"/>
  <c r="R478" i="3"/>
  <c r="T478" i="3"/>
  <c r="X478" i="3"/>
  <c r="O478" i="3"/>
  <c r="Q478" i="3"/>
  <c r="S478" i="3"/>
  <c r="U478" i="3" l="1"/>
  <c r="V478" i="3"/>
  <c r="X479" i="3" s="1"/>
  <c r="Z479" i="3" l="1"/>
  <c r="Y479" i="3"/>
  <c r="W479" i="3"/>
  <c r="O479" i="3" l="1"/>
  <c r="Q479" i="3"/>
  <c r="S479" i="3"/>
  <c r="P479" i="3"/>
  <c r="R479" i="3"/>
  <c r="T479" i="3"/>
  <c r="U479" i="3" l="1"/>
  <c r="V479" i="3"/>
  <c r="X480" i="3" l="1"/>
  <c r="Z480" i="3"/>
  <c r="Y480" i="3"/>
  <c r="W480" i="3"/>
  <c r="O480" i="3" l="1"/>
  <c r="Q480" i="3"/>
  <c r="S480" i="3"/>
  <c r="P480" i="3"/>
  <c r="R480" i="3"/>
  <c r="T480" i="3"/>
  <c r="U480" i="3" l="1"/>
  <c r="V480" i="3"/>
  <c r="Z481" i="3" l="1"/>
  <c r="X481" i="3"/>
  <c r="W481" i="3"/>
  <c r="Y481" i="3"/>
  <c r="O481" i="3" l="1"/>
  <c r="Q481" i="3"/>
  <c r="S481" i="3"/>
  <c r="P481" i="3"/>
  <c r="R481" i="3"/>
  <c r="T481" i="3"/>
  <c r="V481" i="3" l="1"/>
  <c r="U481" i="3"/>
  <c r="Y482" i="3" l="1"/>
  <c r="W482" i="3"/>
  <c r="X482" i="3"/>
  <c r="Z482" i="3"/>
  <c r="P482" i="3" l="1"/>
  <c r="R482" i="3"/>
  <c r="T482" i="3"/>
  <c r="O482" i="3"/>
  <c r="Q482" i="3"/>
  <c r="S482" i="3"/>
  <c r="U482" i="3" l="1"/>
  <c r="V482" i="3"/>
  <c r="Z483" i="3" l="1"/>
  <c r="X483" i="3"/>
  <c r="W483" i="3"/>
  <c r="Y483" i="3"/>
  <c r="O483" i="3" l="1"/>
  <c r="Q483" i="3"/>
  <c r="S483" i="3"/>
  <c r="P483" i="3"/>
  <c r="R483" i="3"/>
  <c r="T483" i="3"/>
  <c r="V483" i="3" l="1"/>
  <c r="U483" i="3"/>
  <c r="Y484" i="3" l="1"/>
  <c r="W484" i="3"/>
  <c r="X484" i="3"/>
  <c r="Z484" i="3"/>
  <c r="P484" i="3" l="1"/>
  <c r="R484" i="3"/>
  <c r="T484" i="3"/>
  <c r="O484" i="3"/>
  <c r="Q484" i="3"/>
  <c r="S484" i="3"/>
  <c r="V484" i="3" l="1"/>
  <c r="U484" i="3"/>
  <c r="W485" i="3" l="1"/>
  <c r="Y485" i="3"/>
  <c r="Z485" i="3"/>
  <c r="X485" i="3"/>
  <c r="O485" i="3" l="1"/>
  <c r="Q485" i="3"/>
  <c r="S485" i="3"/>
  <c r="P485" i="3"/>
  <c r="R485" i="3"/>
  <c r="T485" i="3"/>
  <c r="U485" i="3" l="1"/>
  <c r="V485" i="3"/>
  <c r="X486" i="3" l="1"/>
  <c r="Z486" i="3"/>
  <c r="Y486" i="3"/>
  <c r="W486" i="3"/>
  <c r="P486" i="3" l="1"/>
  <c r="R486" i="3"/>
  <c r="T486" i="3"/>
  <c r="O486" i="3"/>
  <c r="Q486" i="3"/>
  <c r="S486" i="3"/>
  <c r="V486" i="3" l="1"/>
  <c r="U486" i="3"/>
  <c r="Y487" i="3" l="1"/>
  <c r="W487" i="3"/>
  <c r="Z487" i="3"/>
  <c r="X487" i="3"/>
  <c r="P487" i="3" l="1"/>
  <c r="R487" i="3"/>
  <c r="T487" i="3"/>
  <c r="O487" i="3"/>
  <c r="Q487" i="3"/>
  <c r="S487" i="3"/>
  <c r="V487" i="3" l="1"/>
  <c r="U487" i="3"/>
  <c r="W488" i="3" l="1"/>
  <c r="Y488" i="3"/>
  <c r="X488" i="3"/>
  <c r="Z488" i="3"/>
  <c r="O488" i="3" l="1"/>
  <c r="Q488" i="3"/>
  <c r="S488" i="3"/>
  <c r="P488" i="3"/>
  <c r="V488" i="3" s="1"/>
  <c r="X489" i="3" s="1"/>
  <c r="R488" i="3"/>
  <c r="T488" i="3"/>
  <c r="U488" i="3" l="1"/>
  <c r="Z489" i="3"/>
  <c r="Y489" i="3" l="1"/>
  <c r="R489" i="3" s="1"/>
  <c r="W489" i="3"/>
  <c r="O489" i="3" l="1"/>
  <c r="Q489" i="3"/>
  <c r="S489" i="3"/>
  <c r="T489" i="3"/>
  <c r="P489" i="3"/>
  <c r="U489" i="3" l="1"/>
  <c r="V489" i="3"/>
  <c r="X490" i="3" l="1"/>
  <c r="Z490" i="3"/>
  <c r="W490" i="3"/>
  <c r="Y490" i="3"/>
  <c r="P490" i="3" l="1"/>
  <c r="R490" i="3"/>
  <c r="T490" i="3"/>
  <c r="O490" i="3"/>
  <c r="U490" i="3" s="1"/>
  <c r="W491" i="3" s="1"/>
  <c r="Q490" i="3"/>
  <c r="S490" i="3"/>
  <c r="V490" i="3" l="1"/>
  <c r="Y491" i="3"/>
  <c r="Z491" i="3" l="1"/>
  <c r="Q491" i="3" s="1"/>
  <c r="X491" i="3"/>
  <c r="P491" i="3" l="1"/>
  <c r="R491" i="3"/>
  <c r="T491" i="3"/>
  <c r="S491" i="3"/>
  <c r="O491" i="3"/>
  <c r="V491" i="3" l="1"/>
  <c r="U491" i="3"/>
  <c r="W492" i="3" l="1"/>
  <c r="Y492" i="3"/>
  <c r="X492" i="3"/>
  <c r="Z492" i="3"/>
  <c r="O492" i="3" l="1"/>
  <c r="Q492" i="3"/>
  <c r="S492" i="3"/>
  <c r="P492" i="3"/>
  <c r="V492" i="3" s="1"/>
  <c r="X493" i="3" s="1"/>
  <c r="R492" i="3"/>
  <c r="T492" i="3"/>
  <c r="U492" i="3" l="1"/>
  <c r="Z493" i="3"/>
  <c r="Y493" i="3" l="1"/>
  <c r="T493" i="3" s="1"/>
  <c r="W493" i="3"/>
  <c r="O493" i="3" l="1"/>
  <c r="Q493" i="3"/>
  <c r="S493" i="3"/>
  <c r="R493" i="3"/>
  <c r="P493" i="3"/>
  <c r="U493" i="3" l="1"/>
  <c r="V493" i="3"/>
  <c r="X494" i="3" l="1"/>
  <c r="Z494" i="3"/>
  <c r="W494" i="3"/>
  <c r="Y494" i="3"/>
  <c r="P494" i="3" l="1"/>
  <c r="T494" i="3"/>
  <c r="R494" i="3"/>
  <c r="O494" i="3"/>
  <c r="U494" i="3" s="1"/>
  <c r="W495" i="3" s="1"/>
  <c r="Q494" i="3"/>
  <c r="S494" i="3"/>
  <c r="V494" i="3" l="1"/>
  <c r="Y495" i="3"/>
  <c r="Z495" i="3" l="1"/>
  <c r="S495" i="3" s="1"/>
  <c r="X495" i="3"/>
  <c r="P495" i="3" l="1"/>
  <c r="R495" i="3"/>
  <c r="T495" i="3"/>
  <c r="Q495" i="3"/>
  <c r="O495" i="3"/>
  <c r="V495" i="3" l="1"/>
  <c r="U495" i="3"/>
  <c r="W496" i="3" l="1"/>
  <c r="Y496" i="3"/>
  <c r="X496" i="3"/>
  <c r="Z496" i="3"/>
  <c r="O496" i="3" l="1"/>
  <c r="Q496" i="3"/>
  <c r="S496" i="3"/>
  <c r="P496" i="3"/>
  <c r="V496" i="3" s="1"/>
  <c r="X497" i="3" s="1"/>
  <c r="R496" i="3"/>
  <c r="T496" i="3"/>
  <c r="Z497" i="3" l="1"/>
  <c r="U496" i="3"/>
  <c r="Y497" i="3" l="1"/>
  <c r="W497" i="3"/>
  <c r="P497" i="3"/>
  <c r="T497" i="3"/>
  <c r="R497" i="3"/>
  <c r="V497" i="3" l="1"/>
  <c r="O497" i="3"/>
  <c r="Q497" i="3"/>
  <c r="S497" i="3"/>
  <c r="U497" i="3" l="1"/>
  <c r="X498" i="3"/>
  <c r="Z498" i="3"/>
  <c r="R498" i="3" l="1"/>
  <c r="T498" i="3"/>
  <c r="W498" i="3"/>
  <c r="Y498" i="3"/>
  <c r="P498" i="3" s="1"/>
  <c r="V498" i="3" s="1"/>
  <c r="Z499" i="3" l="1"/>
  <c r="X499" i="3"/>
  <c r="O498" i="3"/>
  <c r="U498" i="3" s="1"/>
  <c r="Y499" i="3" s="1"/>
  <c r="Q498" i="3"/>
  <c r="S498" i="3"/>
  <c r="O499" i="3" l="1"/>
  <c r="Q499" i="3"/>
  <c r="S499" i="3"/>
  <c r="W499" i="3"/>
  <c r="P499" i="3"/>
  <c r="R499" i="3"/>
  <c r="T499" i="3"/>
  <c r="V499" i="3" l="1"/>
  <c r="U499" i="3"/>
  <c r="W500" i="3" s="1"/>
  <c r="Y500" i="3" l="1"/>
  <c r="Z500" i="3"/>
  <c r="X500" i="3"/>
  <c r="P500" i="3" l="1"/>
  <c r="R500" i="3"/>
  <c r="T500" i="3"/>
  <c r="O500" i="3"/>
  <c r="S500" i="3"/>
  <c r="Q500" i="3"/>
  <c r="V500" i="3" l="1"/>
  <c r="U500" i="3"/>
  <c r="W501" i="3" l="1"/>
  <c r="Y501" i="3"/>
  <c r="Z501" i="3"/>
  <c r="X501" i="3"/>
  <c r="O501" i="3" l="1"/>
  <c r="Q501" i="3"/>
  <c r="S501" i="3"/>
  <c r="P501" i="3"/>
  <c r="R501" i="3"/>
  <c r="T501" i="3"/>
  <c r="U501" i="3" l="1"/>
  <c r="V501" i="3"/>
  <c r="X502" i="3" l="1"/>
  <c r="Z502" i="3"/>
  <c r="Y502" i="3"/>
  <c r="W502" i="3"/>
  <c r="P502" i="3" l="1"/>
  <c r="R502" i="3"/>
  <c r="T502" i="3"/>
  <c r="O502" i="3"/>
  <c r="Q502" i="3"/>
  <c r="S502" i="3"/>
  <c r="V502" i="3" l="1"/>
  <c r="U502" i="3"/>
  <c r="Y503" i="3" l="1"/>
  <c r="W503" i="3"/>
  <c r="Z503" i="3"/>
  <c r="X503" i="3"/>
  <c r="P503" i="3" l="1"/>
  <c r="V503" i="3" s="1"/>
  <c r="X504" i="3" s="1"/>
  <c r="R503" i="3"/>
  <c r="T503" i="3"/>
  <c r="O503" i="3"/>
  <c r="Q503" i="3"/>
  <c r="S503" i="3"/>
  <c r="U503" i="3" l="1"/>
  <c r="Z504" i="3"/>
  <c r="W504" i="3" l="1"/>
  <c r="Y504" i="3"/>
  <c r="O504" i="3" l="1"/>
  <c r="Q504" i="3"/>
  <c r="S504" i="3"/>
  <c r="P504" i="3"/>
  <c r="V504" i="3" s="1"/>
  <c r="T504" i="3"/>
  <c r="R504" i="3"/>
  <c r="U504" i="3" l="1"/>
  <c r="X505" i="3"/>
  <c r="Z505" i="3"/>
  <c r="Y505" i="3" l="1"/>
  <c r="W505" i="3"/>
  <c r="O505" i="3" l="1"/>
  <c r="Q505" i="3"/>
  <c r="S505" i="3"/>
  <c r="P505" i="3"/>
  <c r="T505" i="3"/>
  <c r="R505" i="3"/>
  <c r="U505" i="3" l="1"/>
  <c r="V505" i="3"/>
  <c r="Z506" i="3" l="1"/>
  <c r="X506" i="3"/>
  <c r="Y506" i="3"/>
  <c r="W506" i="3"/>
  <c r="O506" i="3" l="1"/>
  <c r="Q506" i="3"/>
  <c r="S506" i="3"/>
  <c r="P506" i="3"/>
  <c r="R506" i="3"/>
  <c r="T506" i="3"/>
  <c r="U506" i="3" l="1"/>
  <c r="V506" i="3"/>
  <c r="X507" i="3" l="1"/>
  <c r="Z507" i="3"/>
  <c r="W507" i="3"/>
  <c r="Y507" i="3"/>
  <c r="P507" i="3" l="1"/>
  <c r="R507" i="3"/>
  <c r="T507" i="3"/>
  <c r="O507" i="3"/>
  <c r="U507" i="3" s="1"/>
  <c r="W508" i="3" s="1"/>
  <c r="Q507" i="3"/>
  <c r="S507" i="3"/>
  <c r="Y508" i="3" l="1"/>
  <c r="V507" i="3"/>
  <c r="Z508" i="3" l="1"/>
  <c r="X508" i="3"/>
  <c r="O508" i="3"/>
  <c r="Q508" i="3"/>
  <c r="S508" i="3"/>
  <c r="U508" i="3" l="1"/>
  <c r="P508" i="3"/>
  <c r="R508" i="3"/>
  <c r="T508" i="3"/>
  <c r="V508" i="3" l="1"/>
  <c r="W509" i="3"/>
  <c r="Y509" i="3"/>
  <c r="O509" i="3" l="1"/>
  <c r="Q509" i="3"/>
  <c r="S509" i="3"/>
  <c r="X509" i="3"/>
  <c r="Z509" i="3"/>
  <c r="U509" i="3" l="1"/>
  <c r="P509" i="3"/>
  <c r="R509" i="3"/>
  <c r="T509" i="3"/>
  <c r="V509" i="3" l="1"/>
  <c r="Y510" i="3"/>
  <c r="W510" i="3"/>
  <c r="O510" i="3" l="1"/>
  <c r="Q510" i="3"/>
  <c r="S510" i="3"/>
  <c r="X510" i="3"/>
  <c r="Z510" i="3"/>
  <c r="U510" i="3" l="1"/>
  <c r="P510" i="3"/>
  <c r="R510" i="3"/>
  <c r="T510" i="3"/>
  <c r="V510" i="3" l="1"/>
  <c r="W511" i="3"/>
  <c r="Y511" i="3"/>
  <c r="O511" i="3" l="1"/>
  <c r="Q511" i="3"/>
  <c r="S511" i="3"/>
  <c r="X511" i="3"/>
  <c r="Z511" i="3"/>
  <c r="U511" i="3" l="1"/>
  <c r="P511" i="3"/>
  <c r="R511" i="3"/>
  <c r="T511" i="3"/>
  <c r="V511" i="3" l="1"/>
  <c r="Y512" i="3"/>
  <c r="W512" i="3"/>
  <c r="O512" i="3" l="1"/>
  <c r="Q512" i="3"/>
  <c r="S512" i="3"/>
  <c r="X512" i="3"/>
  <c r="Z512" i="3"/>
  <c r="U512" i="3" l="1"/>
  <c r="P512" i="3"/>
  <c r="T512" i="3"/>
  <c r="R512" i="3"/>
  <c r="V512" i="3" l="1"/>
  <c r="W513" i="3"/>
  <c r="Y513" i="3"/>
  <c r="O513" i="3" l="1"/>
  <c r="Q513" i="3"/>
  <c r="S513" i="3"/>
  <c r="X513" i="3"/>
  <c r="Z513" i="3"/>
  <c r="U513" i="3" l="1"/>
  <c r="P513" i="3"/>
  <c r="R513" i="3"/>
  <c r="T513" i="3"/>
  <c r="V513" i="3" l="1"/>
  <c r="Y514" i="3"/>
  <c r="W514" i="3"/>
  <c r="O514" i="3" l="1"/>
  <c r="Q514" i="3"/>
  <c r="S514" i="3"/>
  <c r="X514" i="3"/>
  <c r="Z514" i="3"/>
  <c r="U514" i="3" l="1"/>
  <c r="P514" i="3"/>
  <c r="R514" i="3"/>
  <c r="T514" i="3"/>
  <c r="V514" i="3" l="1"/>
  <c r="W515" i="3"/>
  <c r="Y515" i="3"/>
  <c r="O515" i="3" l="1"/>
  <c r="Q515" i="3"/>
  <c r="S515" i="3"/>
  <c r="X515" i="3"/>
  <c r="Z515" i="3"/>
  <c r="U515" i="3" l="1"/>
  <c r="P515" i="3"/>
  <c r="R515" i="3"/>
  <c r="T515" i="3"/>
  <c r="V515" i="3" l="1"/>
  <c r="Y516" i="3"/>
  <c r="W516" i="3"/>
  <c r="O516" i="3" l="1"/>
  <c r="Q516" i="3"/>
  <c r="S516" i="3"/>
  <c r="X516" i="3"/>
  <c r="Z516" i="3"/>
  <c r="U516" i="3" l="1"/>
  <c r="P516" i="3"/>
  <c r="R516" i="3"/>
  <c r="T516" i="3"/>
  <c r="V516" i="3" l="1"/>
  <c r="W517" i="3"/>
  <c r="Y517" i="3"/>
  <c r="O517" i="3" l="1"/>
  <c r="Q517" i="3"/>
  <c r="S517" i="3"/>
  <c r="X517" i="3"/>
  <c r="Z517" i="3"/>
  <c r="U517" i="3" l="1"/>
  <c r="P517" i="3"/>
  <c r="R517" i="3"/>
  <c r="T517" i="3"/>
  <c r="V517" i="3" l="1"/>
  <c r="Y518" i="3"/>
  <c r="W518" i="3"/>
  <c r="S518" i="3" l="1"/>
  <c r="Z518" i="3"/>
  <c r="Q518" i="3" s="1"/>
  <c r="X518" i="3"/>
  <c r="P518" i="3" l="1"/>
  <c r="R518" i="3"/>
  <c r="T518" i="3"/>
  <c r="O518" i="3"/>
  <c r="U518" i="3" s="1"/>
  <c r="W519" i="3" l="1"/>
  <c r="Y519" i="3"/>
  <c r="V518" i="3"/>
  <c r="Z519" i="3" l="1"/>
  <c r="Q519" i="3" s="1"/>
  <c r="X519" i="3"/>
  <c r="P519" i="3" l="1"/>
  <c r="R519" i="3"/>
  <c r="T519" i="3"/>
  <c r="S519" i="3"/>
  <c r="O519" i="3"/>
  <c r="V519" i="3" l="1"/>
  <c r="U519" i="3"/>
  <c r="Y520" i="3" l="1"/>
  <c r="W520" i="3"/>
  <c r="X520" i="3"/>
  <c r="Z520" i="3"/>
  <c r="P520" i="3" l="1"/>
  <c r="R520" i="3"/>
  <c r="T520" i="3"/>
  <c r="O520" i="3"/>
  <c r="Q520" i="3"/>
  <c r="S520" i="3"/>
  <c r="U520" i="3" l="1"/>
  <c r="V520" i="3"/>
  <c r="Z521" i="3" l="1"/>
  <c r="X521" i="3"/>
  <c r="W521" i="3"/>
  <c r="Y521" i="3"/>
  <c r="O521" i="3" l="1"/>
  <c r="Q521" i="3"/>
  <c r="S521" i="3"/>
  <c r="P521" i="3"/>
  <c r="R521" i="3"/>
  <c r="T521" i="3"/>
  <c r="V521" i="3" l="1"/>
  <c r="U521" i="3"/>
  <c r="Y522" i="3" l="1"/>
  <c r="W522" i="3"/>
  <c r="X522" i="3"/>
  <c r="Z522" i="3"/>
  <c r="P522" i="3" l="1"/>
  <c r="R522" i="3"/>
  <c r="T522" i="3"/>
  <c r="O522" i="3"/>
  <c r="Q522" i="3"/>
  <c r="S522" i="3"/>
  <c r="U522" i="3" l="1"/>
  <c r="V522" i="3"/>
  <c r="Z523" i="3" l="1"/>
  <c r="X523" i="3"/>
  <c r="W523" i="3"/>
  <c r="Y523" i="3"/>
  <c r="O523" i="3" l="1"/>
  <c r="Q523" i="3"/>
  <c r="S523" i="3"/>
  <c r="P523" i="3"/>
  <c r="R523" i="3"/>
  <c r="T523" i="3"/>
  <c r="V523" i="3" l="1"/>
  <c r="U523" i="3"/>
  <c r="Y524" i="3" l="1"/>
  <c r="W524" i="3"/>
  <c r="X524" i="3"/>
  <c r="Z524" i="3"/>
  <c r="P524" i="3" l="1"/>
  <c r="R524" i="3"/>
  <c r="T524" i="3"/>
  <c r="O524" i="3"/>
  <c r="Q524" i="3"/>
  <c r="S524" i="3"/>
  <c r="U524" i="3" l="1"/>
  <c r="V524" i="3"/>
  <c r="Z525" i="3" l="1"/>
  <c r="X525" i="3"/>
  <c r="W525" i="3"/>
  <c r="Y525" i="3"/>
  <c r="O525" i="3" l="1"/>
  <c r="Q525" i="3"/>
  <c r="S525" i="3"/>
  <c r="P525" i="3"/>
  <c r="R525" i="3"/>
  <c r="T525" i="3"/>
  <c r="V525" i="3" l="1"/>
  <c r="U525" i="3"/>
  <c r="Y526" i="3" l="1"/>
  <c r="W526" i="3"/>
  <c r="X526" i="3"/>
  <c r="Z526" i="3"/>
  <c r="P526" i="3" l="1"/>
  <c r="T526" i="3"/>
  <c r="R526" i="3"/>
  <c r="O526" i="3"/>
  <c r="Q526" i="3"/>
  <c r="S526" i="3"/>
  <c r="V526" i="3" l="1"/>
  <c r="U526" i="3"/>
  <c r="Y527" i="3" l="1"/>
  <c r="W527" i="3"/>
  <c r="Z527" i="3"/>
  <c r="X527" i="3"/>
  <c r="P527" i="3" l="1"/>
  <c r="R527" i="3"/>
  <c r="T527" i="3"/>
  <c r="O527" i="3"/>
  <c r="Q527" i="3"/>
  <c r="S527" i="3"/>
  <c r="V527" i="3" l="1"/>
  <c r="U527" i="3"/>
  <c r="W528" i="3" l="1"/>
  <c r="Y528" i="3"/>
  <c r="X528" i="3"/>
  <c r="Z528" i="3"/>
  <c r="O528" i="3" l="1"/>
  <c r="Q528" i="3"/>
  <c r="S528" i="3"/>
  <c r="P528" i="3"/>
  <c r="V528" i="3" s="1"/>
  <c r="X529" i="3" s="1"/>
  <c r="R528" i="3"/>
  <c r="T528" i="3"/>
  <c r="Z529" i="3" l="1"/>
  <c r="U528" i="3"/>
  <c r="Y529" i="3" l="1"/>
  <c r="W529" i="3"/>
  <c r="P529" i="3"/>
  <c r="R529" i="3"/>
  <c r="T529" i="3"/>
  <c r="V529" i="3" l="1"/>
  <c r="O529" i="3"/>
  <c r="Q529" i="3"/>
  <c r="S529" i="3"/>
  <c r="U529" i="3" l="1"/>
  <c r="X530" i="3"/>
  <c r="Z530" i="3"/>
  <c r="P530" i="3" l="1"/>
  <c r="T530" i="3"/>
  <c r="R530" i="3"/>
  <c r="W530" i="3"/>
  <c r="Y530" i="3"/>
  <c r="V530" i="3" l="1"/>
  <c r="O530" i="3"/>
  <c r="Q530" i="3"/>
  <c r="S530" i="3"/>
  <c r="U530" i="3" l="1"/>
  <c r="Z531" i="3"/>
  <c r="X531" i="3"/>
  <c r="P531" i="3" l="1"/>
  <c r="R531" i="3"/>
  <c r="T531" i="3"/>
  <c r="W531" i="3"/>
  <c r="Y531" i="3"/>
  <c r="V531" i="3" l="1"/>
  <c r="O531" i="3"/>
  <c r="Q531" i="3"/>
  <c r="S531" i="3"/>
  <c r="U531" i="3" l="1"/>
  <c r="X532" i="3"/>
  <c r="Z532" i="3"/>
  <c r="R532" i="3" l="1"/>
  <c r="T532" i="3"/>
  <c r="W532" i="3"/>
  <c r="Y532" i="3"/>
  <c r="P532" i="3" s="1"/>
  <c r="V532" i="3" s="1"/>
  <c r="Z533" i="3" l="1"/>
  <c r="X533" i="3"/>
  <c r="O532" i="3"/>
  <c r="Q532" i="3"/>
  <c r="S532" i="3"/>
  <c r="U532" i="3" l="1"/>
  <c r="Y533" i="3" l="1"/>
  <c r="W533" i="3"/>
  <c r="O533" i="3" l="1"/>
  <c r="Q533" i="3"/>
  <c r="S533" i="3"/>
  <c r="P533" i="3"/>
  <c r="V533" i="3" s="1"/>
  <c r="R533" i="3"/>
  <c r="T533" i="3"/>
  <c r="U533" i="3" l="1"/>
  <c r="X534" i="3"/>
  <c r="Z534" i="3"/>
  <c r="P534" i="3" l="1"/>
  <c r="R534" i="3"/>
  <c r="T534" i="3"/>
  <c r="W534" i="3"/>
  <c r="Y534" i="3"/>
  <c r="V534" i="3" l="1"/>
  <c r="O534" i="3"/>
  <c r="Q534" i="3"/>
  <c r="S534" i="3"/>
  <c r="U534" i="3" l="1"/>
  <c r="Z535" i="3"/>
  <c r="X535" i="3"/>
  <c r="P535" i="3" l="1"/>
  <c r="R535" i="3"/>
  <c r="T535" i="3"/>
  <c r="W535" i="3"/>
  <c r="Y535" i="3"/>
  <c r="V535" i="3" l="1"/>
  <c r="O535" i="3"/>
  <c r="U535" i="3" s="1"/>
  <c r="W536" i="3" s="1"/>
  <c r="Q535" i="3"/>
  <c r="S535" i="3"/>
  <c r="Y536" i="3" l="1"/>
  <c r="X536" i="3"/>
  <c r="Z536" i="3"/>
  <c r="P536" i="3" l="1"/>
  <c r="R536" i="3"/>
  <c r="T536" i="3"/>
  <c r="O536" i="3"/>
  <c r="Q536" i="3"/>
  <c r="S536" i="3"/>
  <c r="V536" i="3" l="1"/>
  <c r="U536" i="3"/>
  <c r="W537" i="3" l="1"/>
  <c r="Y537" i="3"/>
  <c r="X537" i="3"/>
  <c r="Z537" i="3"/>
  <c r="O537" i="3" l="1"/>
  <c r="Q537" i="3"/>
  <c r="S537" i="3"/>
  <c r="P537" i="3"/>
  <c r="V537" i="3" s="1"/>
  <c r="X538" i="3" s="1"/>
  <c r="R537" i="3"/>
  <c r="T537" i="3"/>
  <c r="Z538" i="3" l="1"/>
  <c r="U537" i="3"/>
  <c r="Y538" i="3" l="1"/>
  <c r="W538" i="3"/>
  <c r="P538" i="3"/>
  <c r="V538" i="3" s="1"/>
  <c r="X539" i="3" s="1"/>
  <c r="R538" i="3"/>
  <c r="T538" i="3"/>
  <c r="Z539" i="3" l="1"/>
  <c r="O538" i="3"/>
  <c r="Q538" i="3"/>
  <c r="S538" i="3"/>
  <c r="U538" i="3" l="1"/>
  <c r="W539" i="3" l="1"/>
  <c r="Y539" i="3"/>
  <c r="O539" i="3" l="1"/>
  <c r="Q539" i="3"/>
  <c r="S539" i="3"/>
  <c r="P539" i="3"/>
  <c r="V539" i="3" s="1"/>
  <c r="R539" i="3"/>
  <c r="T539" i="3"/>
  <c r="X540" i="3" l="1"/>
  <c r="Z540" i="3"/>
  <c r="U539" i="3"/>
  <c r="Y540" i="3" l="1"/>
  <c r="W540" i="3"/>
  <c r="O540" i="3" l="1"/>
  <c r="Q540" i="3"/>
  <c r="S540" i="3"/>
  <c r="P540" i="3"/>
  <c r="V540" i="3" s="1"/>
  <c r="T540" i="3"/>
  <c r="R540" i="3"/>
  <c r="U540" i="3" l="1"/>
  <c r="Z541" i="3"/>
  <c r="X541" i="3"/>
  <c r="Y541" i="3" l="1"/>
  <c r="W541" i="3"/>
  <c r="O541" i="3" l="1"/>
  <c r="Q541" i="3"/>
  <c r="S541" i="3"/>
  <c r="T541" i="3"/>
  <c r="R541" i="3"/>
  <c r="P541" i="3"/>
  <c r="U541" i="3" l="1"/>
  <c r="V541" i="3"/>
  <c r="X542" i="3" l="1"/>
  <c r="Z542" i="3"/>
  <c r="Y542" i="3"/>
  <c r="W542" i="3"/>
  <c r="P542" i="3" l="1"/>
  <c r="R542" i="3"/>
  <c r="T542" i="3"/>
  <c r="O542" i="3"/>
  <c r="Q542" i="3"/>
  <c r="S542" i="3"/>
  <c r="V542" i="3" l="1"/>
  <c r="U542" i="3"/>
  <c r="W543" i="3" l="1"/>
  <c r="Y543" i="3"/>
  <c r="Z543" i="3"/>
  <c r="X543" i="3"/>
  <c r="O543" i="3" l="1"/>
  <c r="Q543" i="3"/>
  <c r="S543" i="3"/>
  <c r="P543" i="3"/>
  <c r="R543" i="3"/>
  <c r="T543" i="3"/>
  <c r="U543" i="3" l="1"/>
  <c r="V543" i="3"/>
  <c r="X544" i="3" l="1"/>
  <c r="Z544" i="3"/>
  <c r="Y544" i="3"/>
  <c r="W544" i="3"/>
  <c r="P544" i="3" l="1"/>
  <c r="T544" i="3"/>
  <c r="R544" i="3"/>
  <c r="O544" i="3"/>
  <c r="Q544" i="3"/>
  <c r="S544" i="3"/>
  <c r="V544" i="3" l="1"/>
  <c r="U544" i="3"/>
  <c r="W545" i="3" l="1"/>
  <c r="Y545" i="3"/>
  <c r="X545" i="3"/>
  <c r="Z545" i="3"/>
  <c r="O545" i="3" l="1"/>
  <c r="Q545" i="3"/>
  <c r="S545" i="3"/>
  <c r="P545" i="3"/>
  <c r="V545" i="3" s="1"/>
  <c r="X546" i="3" s="1"/>
  <c r="R545" i="3"/>
  <c r="T545" i="3"/>
  <c r="Z546" i="3" l="1"/>
  <c r="U545" i="3"/>
  <c r="Y546" i="3" l="1"/>
  <c r="W546" i="3"/>
  <c r="P546" i="3"/>
  <c r="R546" i="3"/>
  <c r="T546" i="3"/>
  <c r="V546" i="3" l="1"/>
  <c r="O546" i="3"/>
  <c r="Q546" i="3"/>
  <c r="S546" i="3"/>
  <c r="U546" i="3" l="1"/>
  <c r="X547" i="3"/>
  <c r="Z547" i="3"/>
  <c r="P547" i="3" l="1"/>
  <c r="R547" i="3"/>
  <c r="T547" i="3"/>
  <c r="W547" i="3"/>
  <c r="Y547" i="3"/>
  <c r="V547" i="3" l="1"/>
  <c r="O547" i="3"/>
  <c r="Q547" i="3"/>
  <c r="S547" i="3"/>
  <c r="U547" i="3" l="1"/>
  <c r="Z548" i="3"/>
  <c r="X548" i="3"/>
  <c r="P548" i="3" l="1"/>
  <c r="T548" i="3"/>
  <c r="R548" i="3"/>
  <c r="W548" i="3"/>
  <c r="Y548" i="3"/>
  <c r="V548" i="3" l="1"/>
  <c r="O548" i="3"/>
  <c r="Q548" i="3"/>
  <c r="S548" i="3"/>
  <c r="U548" i="3" l="1"/>
  <c r="X549" i="3"/>
  <c r="Z549" i="3"/>
  <c r="P549" i="3" l="1"/>
  <c r="R549" i="3"/>
  <c r="T549" i="3"/>
  <c r="W549" i="3"/>
  <c r="Y549" i="3"/>
  <c r="V549" i="3" l="1"/>
  <c r="O549" i="3"/>
  <c r="Q549" i="3"/>
  <c r="S549" i="3"/>
  <c r="U549" i="3" l="1"/>
  <c r="Z550" i="3"/>
  <c r="X550" i="3"/>
  <c r="P550" i="3" l="1"/>
  <c r="R550" i="3"/>
  <c r="T550" i="3"/>
  <c r="W550" i="3"/>
  <c r="Y550" i="3"/>
  <c r="V550" i="3" l="1"/>
  <c r="O550" i="3"/>
  <c r="Q550" i="3"/>
  <c r="S550" i="3"/>
  <c r="U550" i="3" l="1"/>
  <c r="X551" i="3"/>
  <c r="Z551" i="3"/>
  <c r="R551" i="3" l="1"/>
  <c r="T551" i="3"/>
  <c r="W551" i="3"/>
  <c r="Y551" i="3"/>
  <c r="P551" i="3" s="1"/>
  <c r="V551" i="3" s="1"/>
  <c r="Z552" i="3" l="1"/>
  <c r="X552" i="3"/>
  <c r="O551" i="3"/>
  <c r="Q551" i="3"/>
  <c r="S551" i="3"/>
  <c r="U551" i="3" l="1"/>
  <c r="Y552" i="3" l="1"/>
  <c r="W552" i="3"/>
  <c r="O552" i="3" l="1"/>
  <c r="Q552" i="3"/>
  <c r="S552" i="3"/>
  <c r="P552" i="3"/>
  <c r="V552" i="3" s="1"/>
  <c r="R552" i="3"/>
  <c r="T552" i="3"/>
  <c r="U552" i="3" l="1"/>
  <c r="X553" i="3"/>
  <c r="Z553" i="3"/>
  <c r="W553" i="3" l="1"/>
  <c r="Y553" i="3"/>
  <c r="P553" i="3" s="1"/>
  <c r="T553" i="3" l="1"/>
  <c r="R553" i="3"/>
  <c r="V553" i="3" s="1"/>
  <c r="O553" i="3"/>
  <c r="U553" i="3" s="1"/>
  <c r="W554" i="3" s="1"/>
  <c r="S553" i="3"/>
  <c r="Q553" i="3"/>
  <c r="Z554" i="3" l="1"/>
  <c r="X554" i="3"/>
  <c r="Y554" i="3"/>
  <c r="O554" i="3" l="1"/>
  <c r="Q554" i="3"/>
  <c r="S554" i="3"/>
  <c r="P554" i="3"/>
  <c r="R554" i="3"/>
  <c r="T554" i="3"/>
  <c r="U554" i="3" l="1"/>
  <c r="V554" i="3"/>
  <c r="X555" i="3" l="1"/>
  <c r="Z555" i="3"/>
  <c r="W555" i="3"/>
  <c r="Y555" i="3"/>
  <c r="P555" i="3" l="1"/>
  <c r="T555" i="3"/>
  <c r="R555" i="3"/>
  <c r="O555" i="3"/>
  <c r="U555" i="3" s="1"/>
  <c r="W556" i="3" s="1"/>
  <c r="Q555" i="3"/>
  <c r="S555" i="3"/>
  <c r="V555" i="3" l="1"/>
  <c r="Y556" i="3"/>
  <c r="Z556" i="3" l="1"/>
  <c r="Q556" i="3" s="1"/>
  <c r="X556" i="3"/>
  <c r="P556" i="3" l="1"/>
  <c r="R556" i="3"/>
  <c r="T556" i="3"/>
  <c r="S556" i="3"/>
  <c r="O556" i="3"/>
  <c r="V556" i="3" l="1"/>
  <c r="U556" i="3"/>
  <c r="W557" i="3" l="1"/>
  <c r="Y557" i="3"/>
  <c r="X557" i="3"/>
  <c r="Z557" i="3"/>
  <c r="O557" i="3" l="1"/>
  <c r="Q557" i="3"/>
  <c r="S557" i="3"/>
  <c r="P557" i="3"/>
  <c r="V557" i="3" s="1"/>
  <c r="X558" i="3" s="1"/>
  <c r="R557" i="3"/>
  <c r="T557" i="3"/>
  <c r="U557" i="3" l="1"/>
  <c r="Z558" i="3"/>
  <c r="Y558" i="3" l="1"/>
  <c r="R558" i="3" s="1"/>
  <c r="W558" i="3"/>
  <c r="O558" i="3" l="1"/>
  <c r="Q558" i="3"/>
  <c r="S558" i="3"/>
  <c r="T558" i="3"/>
  <c r="P558" i="3"/>
  <c r="U558" i="3" l="1"/>
  <c r="V558" i="3"/>
  <c r="X559" i="3" l="1"/>
  <c r="Z559" i="3"/>
  <c r="W559" i="3"/>
  <c r="Y559" i="3"/>
  <c r="P559" i="3" l="1"/>
  <c r="R559" i="3"/>
  <c r="T559" i="3"/>
  <c r="O559" i="3"/>
  <c r="U559" i="3" s="1"/>
  <c r="Y560" i="3" s="1"/>
  <c r="Q559" i="3"/>
  <c r="S559" i="3"/>
  <c r="W560" i="3" l="1"/>
  <c r="V559" i="3"/>
  <c r="Z560" i="3" l="1"/>
  <c r="X560" i="3"/>
  <c r="P560" i="3" l="1"/>
  <c r="R560" i="3"/>
  <c r="T560" i="3"/>
  <c r="O560" i="3"/>
  <c r="U560" i="3" s="1"/>
  <c r="S560" i="3"/>
  <c r="Q560" i="3"/>
  <c r="V560" i="3" l="1"/>
  <c r="W561" i="3"/>
  <c r="Y561" i="3"/>
  <c r="O561" i="3" l="1"/>
  <c r="Q561" i="3"/>
  <c r="S561" i="3"/>
  <c r="X561" i="3"/>
  <c r="Z561" i="3"/>
  <c r="U561" i="3" l="1"/>
  <c r="P561" i="3"/>
  <c r="R561" i="3"/>
  <c r="T561" i="3"/>
  <c r="V561" i="3" l="1"/>
  <c r="W562" i="3"/>
  <c r="Y562" i="3"/>
  <c r="O562" i="3" l="1"/>
  <c r="Q562" i="3"/>
  <c r="S562" i="3"/>
  <c r="X562" i="3"/>
  <c r="Z562" i="3"/>
  <c r="U562" i="3" l="1"/>
  <c r="P562" i="3"/>
  <c r="R562" i="3"/>
  <c r="T562" i="3"/>
  <c r="V562" i="3" l="1"/>
  <c r="Y563" i="3"/>
  <c r="W563" i="3"/>
  <c r="O563" i="3" l="1"/>
  <c r="Q563" i="3"/>
  <c r="S563" i="3"/>
  <c r="X563" i="3"/>
  <c r="Z563" i="3"/>
  <c r="U563" i="3" l="1"/>
  <c r="P563" i="3"/>
  <c r="R563" i="3"/>
  <c r="T563" i="3"/>
  <c r="V563" i="3" l="1"/>
  <c r="W564" i="3"/>
  <c r="Y564" i="3"/>
  <c r="O564" i="3" l="1"/>
  <c r="Q564" i="3"/>
  <c r="S564" i="3"/>
  <c r="X564" i="3"/>
  <c r="Z564" i="3"/>
  <c r="U564" i="3" l="1"/>
  <c r="P564" i="3"/>
  <c r="R564" i="3"/>
  <c r="T564" i="3"/>
  <c r="V564" i="3" l="1"/>
  <c r="Y565" i="3"/>
  <c r="W565" i="3"/>
  <c r="O565" i="3" l="1"/>
  <c r="Q565" i="3"/>
  <c r="S565" i="3"/>
  <c r="X565" i="3"/>
  <c r="Z565" i="3"/>
  <c r="U565" i="3" l="1"/>
  <c r="P565" i="3"/>
  <c r="R565" i="3"/>
  <c r="T565" i="3"/>
  <c r="V565" i="3" l="1"/>
  <c r="W566" i="3"/>
  <c r="Y566" i="3"/>
  <c r="Q566" i="3" l="1"/>
  <c r="S566" i="3"/>
  <c r="X566" i="3"/>
  <c r="Z566" i="3"/>
  <c r="O566" i="3" s="1"/>
  <c r="U566" i="3" s="1"/>
  <c r="Y567" i="3" l="1"/>
  <c r="W567" i="3"/>
  <c r="P566" i="3"/>
  <c r="R566" i="3"/>
  <c r="T566" i="3"/>
  <c r="V566" i="3" l="1"/>
  <c r="Z567" i="3" l="1"/>
  <c r="X567" i="3"/>
  <c r="P567" i="3" l="1"/>
  <c r="V567" i="3" s="1"/>
  <c r="X568" i="3" s="1"/>
  <c r="R567" i="3"/>
  <c r="T567" i="3"/>
  <c r="O567" i="3"/>
  <c r="U567" i="3" s="1"/>
  <c r="Q567" i="3"/>
  <c r="S567" i="3"/>
  <c r="W568" i="3" l="1"/>
  <c r="Y568" i="3"/>
  <c r="Z568" i="3"/>
  <c r="O568" i="3" l="1"/>
  <c r="Q568" i="3"/>
  <c r="S568" i="3"/>
  <c r="P568" i="3"/>
  <c r="V568" i="3" s="1"/>
  <c r="X569" i="3" s="1"/>
  <c r="R568" i="3"/>
  <c r="T568" i="3"/>
  <c r="Z569" i="3" l="1"/>
  <c r="U568" i="3"/>
  <c r="Y569" i="3" l="1"/>
  <c r="W569" i="3"/>
  <c r="P569" i="3"/>
  <c r="R569" i="3"/>
  <c r="T569" i="3"/>
  <c r="V569" i="3" l="1"/>
  <c r="O569" i="3"/>
  <c r="Q569" i="3"/>
  <c r="S569" i="3"/>
  <c r="U569" i="3" l="1"/>
  <c r="X570" i="3"/>
  <c r="Z570" i="3"/>
  <c r="P570" i="3" l="1"/>
  <c r="R570" i="3"/>
  <c r="T570" i="3"/>
  <c r="W570" i="3"/>
  <c r="Y570" i="3"/>
  <c r="V570" i="3" l="1"/>
  <c r="O570" i="3"/>
  <c r="Q570" i="3"/>
  <c r="S570" i="3"/>
  <c r="U570" i="3" l="1"/>
  <c r="Z571" i="3"/>
  <c r="X571" i="3"/>
  <c r="P571" i="3" l="1"/>
  <c r="R571" i="3"/>
  <c r="T571" i="3"/>
  <c r="W571" i="3"/>
  <c r="Y571" i="3"/>
  <c r="V571" i="3" l="1"/>
  <c r="O571" i="3"/>
  <c r="Q571" i="3"/>
  <c r="S571" i="3"/>
  <c r="U571" i="3" l="1"/>
  <c r="X572" i="3"/>
  <c r="Z572" i="3"/>
  <c r="P572" i="3" l="1"/>
  <c r="R572" i="3"/>
  <c r="T572" i="3"/>
  <c r="W572" i="3"/>
  <c r="Y572" i="3"/>
  <c r="V572" i="3" l="1"/>
  <c r="O572" i="3"/>
  <c r="Q572" i="3"/>
  <c r="S572" i="3"/>
  <c r="U572" i="3" l="1"/>
  <c r="Z573" i="3"/>
  <c r="X573" i="3"/>
  <c r="P573" i="3" l="1"/>
  <c r="T573" i="3"/>
  <c r="R573" i="3"/>
  <c r="W573" i="3"/>
  <c r="Y573" i="3"/>
  <c r="V573" i="3" l="1"/>
  <c r="O573" i="3"/>
  <c r="Q573" i="3"/>
  <c r="S573" i="3"/>
  <c r="U573" i="3" l="1"/>
  <c r="X574" i="3"/>
  <c r="Z574" i="3"/>
  <c r="R574" i="3" l="1"/>
  <c r="T574" i="3"/>
  <c r="W574" i="3"/>
  <c r="Y574" i="3"/>
  <c r="P574" i="3" s="1"/>
  <c r="V574" i="3" s="1"/>
  <c r="Z575" i="3" l="1"/>
  <c r="X575" i="3"/>
  <c r="O574" i="3"/>
  <c r="Q574" i="3"/>
  <c r="S574" i="3"/>
  <c r="U574" i="3" l="1"/>
  <c r="Y575" i="3" l="1"/>
  <c r="W575" i="3"/>
  <c r="O575" i="3" l="1"/>
  <c r="Q575" i="3"/>
  <c r="S575" i="3"/>
  <c r="R575" i="3"/>
  <c r="T575" i="3"/>
  <c r="P575" i="3"/>
  <c r="U575" i="3" l="1"/>
  <c r="V575" i="3"/>
  <c r="X576" i="3" l="1"/>
  <c r="Z576" i="3"/>
  <c r="W576" i="3"/>
  <c r="Y576" i="3"/>
  <c r="P576" i="3" l="1"/>
  <c r="R576" i="3"/>
  <c r="T576" i="3"/>
  <c r="O576" i="3"/>
  <c r="U576" i="3" s="1"/>
  <c r="W577" i="3" s="1"/>
  <c r="Q576" i="3"/>
  <c r="S576" i="3"/>
  <c r="Y577" i="3" l="1"/>
  <c r="V576" i="3"/>
  <c r="Z577" i="3" l="1"/>
  <c r="X577" i="3"/>
  <c r="O577" i="3"/>
  <c r="Q577" i="3"/>
  <c r="S577" i="3"/>
  <c r="U577" i="3" l="1"/>
  <c r="P577" i="3"/>
  <c r="R577" i="3"/>
  <c r="T577" i="3"/>
  <c r="V577" i="3" l="1"/>
  <c r="W578" i="3"/>
  <c r="Y578" i="3"/>
  <c r="O578" i="3" l="1"/>
  <c r="Q578" i="3"/>
  <c r="S578" i="3"/>
  <c r="X578" i="3"/>
  <c r="Z578" i="3"/>
  <c r="U578" i="3" l="1"/>
  <c r="P578" i="3"/>
  <c r="R578" i="3"/>
  <c r="T578" i="3"/>
  <c r="V578" i="3" l="1"/>
  <c r="Y579" i="3"/>
  <c r="W579" i="3"/>
  <c r="O579" i="3" l="1"/>
  <c r="Q579" i="3"/>
  <c r="S579" i="3"/>
  <c r="X579" i="3"/>
  <c r="Z579" i="3"/>
  <c r="U579" i="3" l="1"/>
  <c r="P579" i="3"/>
  <c r="R579" i="3"/>
  <c r="T579" i="3"/>
  <c r="V579" i="3" l="1"/>
  <c r="W580" i="3"/>
  <c r="Y580" i="3"/>
  <c r="O580" i="3" l="1"/>
  <c r="Q580" i="3"/>
  <c r="S580" i="3"/>
  <c r="X580" i="3"/>
  <c r="Z580" i="3"/>
  <c r="U580" i="3" l="1"/>
  <c r="P580" i="3"/>
  <c r="T580" i="3"/>
  <c r="R580" i="3"/>
  <c r="V580" i="3" l="1"/>
  <c r="Y581" i="3"/>
  <c r="W581" i="3"/>
  <c r="O581" i="3" l="1"/>
  <c r="Q581" i="3"/>
  <c r="S581" i="3"/>
  <c r="X581" i="3"/>
  <c r="Z581" i="3"/>
  <c r="U581" i="3" l="1"/>
  <c r="P581" i="3"/>
  <c r="R581" i="3"/>
  <c r="T581" i="3"/>
  <c r="V581" i="3" l="1"/>
  <c r="W582" i="3"/>
  <c r="Y582" i="3"/>
  <c r="Q582" i="3" l="1"/>
  <c r="S582" i="3"/>
  <c r="X582" i="3"/>
  <c r="Z582" i="3"/>
  <c r="O582" i="3" s="1"/>
  <c r="U582" i="3" s="1"/>
  <c r="Y583" i="3" l="1"/>
  <c r="W583" i="3"/>
  <c r="P582" i="3"/>
  <c r="R582" i="3"/>
  <c r="T582" i="3"/>
  <c r="V582" i="3" l="1"/>
  <c r="Z583" i="3" l="1"/>
  <c r="X583" i="3"/>
  <c r="P583" i="3" l="1"/>
  <c r="R583" i="3"/>
  <c r="T583" i="3"/>
  <c r="O583" i="3"/>
  <c r="U583" i="3" s="1"/>
  <c r="Q583" i="3"/>
  <c r="S583" i="3"/>
  <c r="V583" i="3" l="1"/>
  <c r="W584" i="3"/>
  <c r="Y584" i="3"/>
  <c r="Q584" i="3" l="1"/>
  <c r="S584" i="3"/>
  <c r="X584" i="3"/>
  <c r="Z584" i="3"/>
  <c r="O584" i="3" s="1"/>
  <c r="U584" i="3" s="1"/>
  <c r="Y585" i="3" l="1"/>
  <c r="W585" i="3"/>
  <c r="P584" i="3"/>
  <c r="R584" i="3"/>
  <c r="T584" i="3"/>
  <c r="V584" i="3" l="1"/>
  <c r="Z585" i="3" l="1"/>
  <c r="X585" i="3"/>
  <c r="P585" i="3" l="1"/>
  <c r="R585" i="3"/>
  <c r="T585" i="3"/>
  <c r="O585" i="3"/>
  <c r="U585" i="3" s="1"/>
  <c r="Q585" i="3"/>
  <c r="S585" i="3"/>
  <c r="V585" i="3" l="1"/>
  <c r="W586" i="3"/>
  <c r="Y586" i="3"/>
  <c r="O586" i="3" l="1"/>
  <c r="Q586" i="3"/>
  <c r="S586" i="3"/>
  <c r="X586" i="3"/>
  <c r="Z586" i="3"/>
  <c r="U586" i="3" l="1"/>
  <c r="P586" i="3"/>
  <c r="R586" i="3"/>
  <c r="T586" i="3"/>
  <c r="V586" i="3" l="1"/>
  <c r="Y587" i="3"/>
  <c r="W587" i="3"/>
  <c r="O587" i="3" l="1"/>
  <c r="Q587" i="3"/>
  <c r="S587" i="3"/>
  <c r="X587" i="3"/>
  <c r="Z587" i="3"/>
  <c r="U587" i="3" l="1"/>
  <c r="P587" i="3"/>
  <c r="T587" i="3"/>
  <c r="R587" i="3"/>
  <c r="V587" i="3" l="1"/>
  <c r="W588" i="3"/>
  <c r="Y588" i="3"/>
  <c r="O588" i="3" l="1"/>
  <c r="Q588" i="3"/>
  <c r="S588" i="3"/>
  <c r="X588" i="3"/>
  <c r="Z588" i="3"/>
  <c r="U588" i="3" l="1"/>
  <c r="P588" i="3"/>
  <c r="R588" i="3"/>
  <c r="T588" i="3"/>
  <c r="V588" i="3" l="1"/>
  <c r="Y589" i="3"/>
  <c r="W589" i="3"/>
  <c r="O589" i="3" l="1"/>
  <c r="Q589" i="3"/>
  <c r="S589" i="3"/>
  <c r="X589" i="3"/>
  <c r="Z589" i="3"/>
  <c r="U589" i="3" l="1"/>
  <c r="P589" i="3"/>
  <c r="R589" i="3"/>
  <c r="T589" i="3"/>
  <c r="V589" i="3" l="1"/>
  <c r="W590" i="3"/>
  <c r="Y590" i="3"/>
  <c r="O590" i="3" l="1"/>
  <c r="Q590" i="3"/>
  <c r="S590" i="3"/>
  <c r="X590" i="3"/>
  <c r="Z590" i="3"/>
  <c r="U590" i="3" l="1"/>
  <c r="P590" i="3"/>
  <c r="R590" i="3"/>
  <c r="T590" i="3"/>
  <c r="V590" i="3" l="1"/>
  <c r="Y591" i="3"/>
  <c r="W591" i="3"/>
  <c r="O591" i="3" l="1"/>
  <c r="Q591" i="3"/>
  <c r="S591" i="3"/>
  <c r="X591" i="3"/>
  <c r="Z591" i="3"/>
  <c r="U591" i="3" l="1"/>
  <c r="P591" i="3"/>
  <c r="T591" i="3"/>
  <c r="R591" i="3"/>
  <c r="V591" i="3" l="1"/>
  <c r="W592" i="3"/>
  <c r="Y592" i="3"/>
  <c r="O592" i="3" l="1"/>
  <c r="Q592" i="3"/>
  <c r="S592" i="3"/>
  <c r="X592" i="3"/>
  <c r="Z592" i="3"/>
  <c r="U592" i="3" l="1"/>
  <c r="P592" i="3"/>
  <c r="R592" i="3"/>
  <c r="T592" i="3"/>
  <c r="V592" i="3" l="1"/>
  <c r="Y593" i="3"/>
  <c r="W593" i="3"/>
  <c r="O593" i="3" l="1"/>
  <c r="Q593" i="3"/>
  <c r="S593" i="3"/>
  <c r="X593" i="3"/>
  <c r="Z593" i="3"/>
  <c r="U593" i="3" l="1"/>
  <c r="P593" i="3"/>
  <c r="R593" i="3"/>
  <c r="T593" i="3"/>
  <c r="V593" i="3" l="1"/>
  <c r="W594" i="3"/>
  <c r="Y594" i="3"/>
  <c r="O594" i="3" l="1"/>
  <c r="Q594" i="3"/>
  <c r="S594" i="3"/>
  <c r="X594" i="3"/>
  <c r="Z594" i="3"/>
  <c r="U594" i="3" l="1"/>
  <c r="P594" i="3"/>
  <c r="R594" i="3"/>
  <c r="T594" i="3"/>
  <c r="V594" i="3" l="1"/>
  <c r="Y595" i="3"/>
  <c r="W595" i="3"/>
  <c r="O595" i="3" l="1"/>
  <c r="Q595" i="3"/>
  <c r="S595" i="3"/>
  <c r="X595" i="3"/>
  <c r="Z595" i="3"/>
  <c r="U595" i="3" l="1"/>
  <c r="P595" i="3"/>
  <c r="R595" i="3"/>
  <c r="T595" i="3"/>
  <c r="V595" i="3" l="1"/>
  <c r="W596" i="3"/>
  <c r="Y596" i="3"/>
  <c r="O596" i="3" l="1"/>
  <c r="Q596" i="3"/>
  <c r="S596" i="3"/>
  <c r="X596" i="3"/>
  <c r="Z596" i="3"/>
  <c r="U596" i="3" l="1"/>
  <c r="P596" i="3"/>
  <c r="R596" i="3"/>
  <c r="T596" i="3"/>
  <c r="V596" i="3" l="1"/>
  <c r="Y597" i="3"/>
  <c r="W597" i="3"/>
  <c r="O597" i="3" l="1"/>
  <c r="Q597" i="3"/>
  <c r="S597" i="3"/>
  <c r="X597" i="3"/>
  <c r="Z597" i="3"/>
  <c r="U597" i="3" l="1"/>
  <c r="P597" i="3"/>
  <c r="R597" i="3"/>
  <c r="T597" i="3"/>
  <c r="V597" i="3" l="1"/>
  <c r="W598" i="3"/>
  <c r="Y598" i="3"/>
  <c r="O598" i="3" l="1"/>
  <c r="Q598" i="3"/>
  <c r="S598" i="3"/>
  <c r="X598" i="3"/>
  <c r="Z598" i="3"/>
  <c r="U598" i="3" l="1"/>
  <c r="P598" i="3"/>
  <c r="R598" i="3"/>
  <c r="T598" i="3"/>
  <c r="V598" i="3" l="1"/>
  <c r="Y599" i="3"/>
  <c r="W599" i="3"/>
  <c r="O599" i="3" l="1"/>
  <c r="Q599" i="3"/>
  <c r="S599" i="3"/>
  <c r="X599" i="3"/>
  <c r="Z599" i="3"/>
  <c r="U599" i="3" l="1"/>
  <c r="P599" i="3"/>
  <c r="R599" i="3"/>
  <c r="T599" i="3"/>
  <c r="V599" i="3" l="1"/>
  <c r="W600" i="3"/>
  <c r="Y600" i="3"/>
  <c r="O600" i="3" l="1"/>
  <c r="Q600" i="3"/>
  <c r="S600" i="3"/>
  <c r="X600" i="3"/>
  <c r="Z600" i="3"/>
  <c r="U600" i="3" l="1"/>
  <c r="P600" i="3"/>
  <c r="R600" i="3"/>
  <c r="T600" i="3"/>
  <c r="V600" i="3" l="1"/>
  <c r="Y601" i="3"/>
  <c r="W601" i="3"/>
  <c r="O601" i="3" l="1"/>
  <c r="Q601" i="3"/>
  <c r="S601" i="3"/>
  <c r="X601" i="3"/>
  <c r="Z601" i="3"/>
  <c r="U601" i="3" l="1"/>
  <c r="P601" i="3"/>
  <c r="R601" i="3"/>
  <c r="T601" i="3"/>
  <c r="V601" i="3" l="1"/>
  <c r="W602" i="3"/>
  <c r="Y602" i="3"/>
  <c r="O602" i="3" l="1"/>
  <c r="Q602" i="3"/>
  <c r="S602" i="3"/>
  <c r="X602" i="3"/>
  <c r="Z602" i="3"/>
  <c r="U602" i="3" l="1"/>
  <c r="P602" i="3"/>
  <c r="T602" i="3"/>
  <c r="R602" i="3"/>
  <c r="V602" i="3" l="1"/>
  <c r="Y603" i="3"/>
  <c r="W603" i="3"/>
  <c r="O603" i="3" l="1"/>
  <c r="Q603" i="3"/>
  <c r="S603" i="3"/>
  <c r="X603" i="3"/>
  <c r="Z603" i="3"/>
  <c r="U603" i="3" l="1"/>
  <c r="P603" i="3"/>
  <c r="R603" i="3"/>
  <c r="T603" i="3"/>
  <c r="V603" i="3" l="1"/>
  <c r="W604" i="3"/>
  <c r="Y604" i="3"/>
  <c r="O604" i="3" l="1"/>
  <c r="Q604" i="3"/>
  <c r="S604" i="3"/>
  <c r="X604" i="3"/>
  <c r="Z604" i="3"/>
  <c r="U604" i="3" l="1"/>
  <c r="P604" i="3"/>
  <c r="R604" i="3"/>
  <c r="T604" i="3"/>
  <c r="V604" i="3" l="1"/>
  <c r="Y605" i="3"/>
  <c r="W605" i="3"/>
  <c r="O605" i="3" l="1"/>
  <c r="Q605" i="3"/>
  <c r="S605" i="3"/>
  <c r="X605" i="3"/>
  <c r="Z605" i="3"/>
  <c r="U605" i="3" l="1"/>
  <c r="P605" i="3"/>
  <c r="T605" i="3"/>
  <c r="R605" i="3"/>
  <c r="V605" i="3" l="1"/>
  <c r="W606" i="3"/>
  <c r="Y606" i="3"/>
  <c r="O606" i="3" l="1"/>
  <c r="Q606" i="3"/>
  <c r="S606" i="3"/>
  <c r="X606" i="3"/>
  <c r="Z606" i="3"/>
  <c r="U606" i="3" l="1"/>
  <c r="P606" i="3"/>
  <c r="R606" i="3"/>
  <c r="T606" i="3"/>
  <c r="V606" i="3" l="1"/>
  <c r="Y607" i="3"/>
  <c r="W607" i="3"/>
  <c r="O607" i="3" l="1"/>
  <c r="Q607" i="3"/>
  <c r="S607" i="3"/>
  <c r="X607" i="3"/>
  <c r="Z607" i="3"/>
  <c r="U607" i="3" l="1"/>
  <c r="P607" i="3"/>
  <c r="R607" i="3"/>
  <c r="T607" i="3"/>
  <c r="V607" i="3" l="1"/>
  <c r="W608" i="3"/>
  <c r="Y608" i="3"/>
  <c r="O608" i="3" l="1"/>
  <c r="S608" i="3"/>
  <c r="Q608" i="3"/>
  <c r="X608" i="3"/>
  <c r="Z608" i="3"/>
  <c r="U608" i="3" l="1"/>
  <c r="P608" i="3"/>
  <c r="R608" i="3"/>
  <c r="T608" i="3"/>
  <c r="V608" i="3" l="1"/>
  <c r="Y609" i="3"/>
  <c r="W609" i="3"/>
  <c r="O609" i="3" l="1"/>
  <c r="Q609" i="3"/>
  <c r="S609" i="3"/>
  <c r="X609" i="3"/>
  <c r="Z609" i="3"/>
  <c r="U609" i="3" l="1"/>
  <c r="P609" i="3"/>
  <c r="R609" i="3"/>
  <c r="T609" i="3"/>
  <c r="V609" i="3" l="1"/>
  <c r="W610" i="3"/>
  <c r="Y610" i="3"/>
  <c r="Q610" i="3" l="1"/>
  <c r="S610" i="3"/>
  <c r="X610" i="3"/>
  <c r="Z610" i="3"/>
  <c r="O610" i="3" s="1"/>
  <c r="U610" i="3" s="1"/>
  <c r="Y611" i="3" l="1"/>
  <c r="W611" i="3"/>
  <c r="P610" i="3"/>
  <c r="R610" i="3"/>
  <c r="T610" i="3"/>
  <c r="V610" i="3" l="1"/>
  <c r="X611" i="3" l="1"/>
  <c r="Z611" i="3"/>
  <c r="P611" i="3" l="1"/>
  <c r="R611" i="3"/>
  <c r="T611" i="3"/>
  <c r="O611" i="3"/>
  <c r="U611" i="3" s="1"/>
  <c r="Q611" i="3"/>
  <c r="S611" i="3"/>
  <c r="W612" i="3" l="1"/>
  <c r="Y612" i="3"/>
  <c r="V611" i="3"/>
  <c r="Z612" i="3" l="1"/>
  <c r="O612" i="3" s="1"/>
  <c r="X612" i="3"/>
  <c r="P612" i="3" l="1"/>
  <c r="V612" i="3" s="1"/>
  <c r="X613" i="3" s="1"/>
  <c r="R612" i="3"/>
  <c r="T612" i="3"/>
  <c r="S612" i="3"/>
  <c r="Q612" i="3"/>
  <c r="U612" i="3" s="1"/>
  <c r="Y613" i="3" l="1"/>
  <c r="W613" i="3"/>
  <c r="Z613" i="3"/>
  <c r="P613" i="3" l="1"/>
  <c r="R613" i="3"/>
  <c r="T613" i="3"/>
  <c r="O613" i="3"/>
  <c r="Q613" i="3"/>
  <c r="S613" i="3"/>
  <c r="V613" i="3" l="1"/>
  <c r="U613" i="3"/>
  <c r="W614" i="3" l="1"/>
  <c r="Y614" i="3"/>
  <c r="X614" i="3"/>
  <c r="Z614" i="3"/>
  <c r="O614" i="3" l="1"/>
  <c r="Q614" i="3"/>
  <c r="S614" i="3"/>
  <c r="P614" i="3"/>
  <c r="V614" i="3" s="1"/>
  <c r="X615" i="3" s="1"/>
  <c r="R614" i="3"/>
  <c r="T614" i="3"/>
  <c r="U614" i="3" l="1"/>
  <c r="Z615" i="3"/>
  <c r="Y615" i="3" l="1"/>
  <c r="R615" i="3" s="1"/>
  <c r="W615" i="3"/>
  <c r="O615" i="3" l="1"/>
  <c r="Q615" i="3"/>
  <c r="S615" i="3"/>
  <c r="T615" i="3"/>
  <c r="P615" i="3"/>
  <c r="U615" i="3" l="1"/>
  <c r="V615" i="3"/>
  <c r="X616" i="3" l="1"/>
  <c r="Z616" i="3"/>
  <c r="W616" i="3"/>
  <c r="Y616" i="3"/>
  <c r="P616" i="3" l="1"/>
  <c r="R616" i="3"/>
  <c r="T616" i="3"/>
  <c r="O616" i="3"/>
  <c r="U616" i="3" s="1"/>
  <c r="W617" i="3" s="1"/>
  <c r="Q616" i="3"/>
  <c r="S616" i="3"/>
  <c r="Y617" i="3" l="1"/>
  <c r="V616" i="3"/>
  <c r="Z617" i="3" l="1"/>
  <c r="X617" i="3"/>
  <c r="O617" i="3"/>
  <c r="Q617" i="3"/>
  <c r="S617" i="3"/>
  <c r="U617" i="3" l="1"/>
  <c r="P617" i="3"/>
  <c r="R617" i="3"/>
  <c r="T617" i="3"/>
  <c r="V617" i="3" l="1"/>
  <c r="W618" i="3"/>
  <c r="Y618" i="3"/>
  <c r="O618" i="3" l="1"/>
  <c r="Q618" i="3"/>
  <c r="S618" i="3"/>
  <c r="X618" i="3"/>
  <c r="Z618" i="3"/>
  <c r="U618" i="3" l="1"/>
  <c r="P618" i="3"/>
  <c r="R618" i="3"/>
  <c r="T618" i="3"/>
  <c r="V618" i="3" l="1"/>
  <c r="Y619" i="3"/>
  <c r="W619" i="3"/>
  <c r="O619" i="3" l="1"/>
  <c r="Q619" i="3"/>
  <c r="S619" i="3"/>
  <c r="X619" i="3"/>
  <c r="Z619" i="3"/>
  <c r="U619" i="3" l="1"/>
  <c r="P619" i="3"/>
  <c r="R619" i="3"/>
  <c r="T619" i="3"/>
  <c r="V619" i="3" l="1"/>
  <c r="W620" i="3"/>
  <c r="Y620" i="3"/>
  <c r="O620" i="3" l="1"/>
  <c r="Q620" i="3"/>
  <c r="S620" i="3"/>
  <c r="X620" i="3"/>
  <c r="Z620" i="3"/>
  <c r="U620" i="3" l="1"/>
  <c r="P620" i="3"/>
  <c r="T620" i="3"/>
  <c r="R620" i="3"/>
  <c r="V620" i="3" l="1"/>
  <c r="Y621" i="3"/>
  <c r="W621" i="3"/>
  <c r="O621" i="3" l="1"/>
  <c r="Q621" i="3"/>
  <c r="S621" i="3"/>
  <c r="X621" i="3"/>
  <c r="Z621" i="3"/>
  <c r="U621" i="3" l="1"/>
  <c r="P621" i="3"/>
  <c r="R621" i="3"/>
  <c r="T621" i="3"/>
  <c r="V621" i="3" l="1"/>
  <c r="W622" i="3"/>
  <c r="Y622" i="3"/>
  <c r="O622" i="3" l="1"/>
  <c r="Q622" i="3"/>
  <c r="S622" i="3"/>
  <c r="X622" i="3"/>
  <c r="Z622" i="3"/>
  <c r="U622" i="3" l="1"/>
  <c r="P622" i="3"/>
  <c r="R622" i="3"/>
  <c r="T622" i="3"/>
  <c r="V622" i="3" l="1"/>
  <c r="Y623" i="3"/>
  <c r="W623" i="3"/>
  <c r="O623" i="3" l="1"/>
  <c r="Q623" i="3"/>
  <c r="S623" i="3"/>
  <c r="X623" i="3"/>
  <c r="Z623" i="3"/>
  <c r="U623" i="3" l="1"/>
  <c r="P623" i="3"/>
  <c r="R623" i="3"/>
  <c r="T623" i="3"/>
  <c r="V623" i="3" l="1"/>
  <c r="W624" i="3"/>
  <c r="Y624" i="3"/>
  <c r="O624" i="3" l="1"/>
  <c r="Q624" i="3"/>
  <c r="S624" i="3"/>
  <c r="X624" i="3"/>
  <c r="Z624" i="3"/>
  <c r="U624" i="3" l="1"/>
  <c r="P624" i="3"/>
  <c r="R624" i="3"/>
  <c r="T624" i="3"/>
  <c r="V624" i="3" l="1"/>
  <c r="Y625" i="3"/>
  <c r="W625" i="3"/>
  <c r="O625" i="3" l="1"/>
  <c r="Q625" i="3"/>
  <c r="S625" i="3"/>
  <c r="X625" i="3"/>
  <c r="Z625" i="3"/>
  <c r="U625" i="3" l="1"/>
  <c r="P625" i="3"/>
  <c r="R625" i="3"/>
  <c r="T625" i="3"/>
  <c r="V625" i="3" l="1"/>
  <c r="W626" i="3"/>
  <c r="Y626" i="3"/>
  <c r="X626" i="3" l="1"/>
  <c r="Z626" i="3"/>
  <c r="O626" i="3" s="1"/>
  <c r="S626" i="3" l="1"/>
  <c r="Q626" i="3"/>
  <c r="U626" i="3" s="1"/>
  <c r="P626" i="3"/>
  <c r="V626" i="3" s="1"/>
  <c r="Z627" i="3" s="1"/>
  <c r="R626" i="3"/>
  <c r="T626" i="3"/>
  <c r="W627" i="3" l="1"/>
  <c r="Y627" i="3"/>
  <c r="T627" i="3" s="1"/>
  <c r="X627" i="3"/>
  <c r="O627" i="3" l="1"/>
  <c r="Q627" i="3"/>
  <c r="S627" i="3"/>
  <c r="P627" i="3"/>
  <c r="V627" i="3" s="1"/>
  <c r="X628" i="3" s="1"/>
  <c r="R627" i="3"/>
  <c r="U627" i="3" l="1"/>
  <c r="Z628" i="3"/>
  <c r="Y628" i="3" l="1"/>
  <c r="R628" i="3" s="1"/>
  <c r="W628" i="3"/>
  <c r="O628" i="3" l="1"/>
  <c r="Q628" i="3"/>
  <c r="S628" i="3"/>
  <c r="T628" i="3"/>
  <c r="P628" i="3"/>
  <c r="U628" i="3" l="1"/>
  <c r="V628" i="3"/>
  <c r="X629" i="3" l="1"/>
  <c r="Z629" i="3"/>
  <c r="W629" i="3"/>
  <c r="Y629" i="3"/>
  <c r="P629" i="3" l="1"/>
  <c r="R629" i="3"/>
  <c r="T629" i="3"/>
  <c r="O629" i="3"/>
  <c r="U629" i="3" s="1"/>
  <c r="W630" i="3" s="1"/>
  <c r="Q629" i="3"/>
  <c r="S629" i="3"/>
  <c r="Y630" i="3" l="1"/>
  <c r="V629" i="3"/>
  <c r="Z630" i="3" l="1"/>
  <c r="X630" i="3"/>
  <c r="O630" i="3"/>
  <c r="Q630" i="3"/>
  <c r="S630" i="3"/>
  <c r="U630" i="3" l="1"/>
  <c r="P630" i="3"/>
  <c r="R630" i="3"/>
  <c r="T630" i="3"/>
  <c r="V630" i="3" l="1"/>
  <c r="W631" i="3"/>
  <c r="Y631" i="3"/>
  <c r="O631" i="3" l="1"/>
  <c r="Q631" i="3"/>
  <c r="S631" i="3"/>
  <c r="X631" i="3"/>
  <c r="Z631" i="3"/>
  <c r="U631" i="3" l="1"/>
  <c r="P631" i="3"/>
  <c r="R631" i="3"/>
  <c r="T631" i="3"/>
  <c r="V631" i="3" l="1"/>
  <c r="Y632" i="3"/>
  <c r="W632" i="3"/>
  <c r="O632" i="3" l="1"/>
  <c r="Q632" i="3"/>
  <c r="S632" i="3"/>
  <c r="X632" i="3"/>
  <c r="Z632" i="3"/>
  <c r="U632" i="3" l="1"/>
  <c r="P632" i="3"/>
  <c r="R632" i="3"/>
  <c r="T632" i="3"/>
  <c r="V632" i="3" l="1"/>
  <c r="W633" i="3"/>
  <c r="Y633" i="3"/>
  <c r="O633" i="3" l="1"/>
  <c r="Q633" i="3"/>
  <c r="S633" i="3"/>
  <c r="X633" i="3"/>
  <c r="Z633" i="3"/>
  <c r="U633" i="3" l="1"/>
  <c r="P633" i="3"/>
  <c r="R633" i="3"/>
  <c r="T633" i="3"/>
  <c r="V633" i="3" l="1"/>
  <c r="W634" i="3"/>
  <c r="Y634" i="3"/>
  <c r="Q634" i="3" l="1"/>
  <c r="S634" i="3"/>
  <c r="X634" i="3"/>
  <c r="Z634" i="3"/>
  <c r="O634" i="3" s="1"/>
  <c r="U634" i="3" s="1"/>
  <c r="Y635" i="3" l="1"/>
  <c r="W635" i="3"/>
  <c r="P634" i="3"/>
  <c r="V634" i="3" s="1"/>
  <c r="Z635" i="3" s="1"/>
  <c r="R634" i="3"/>
  <c r="T634" i="3"/>
  <c r="P635" i="3" l="1"/>
  <c r="R635" i="3"/>
  <c r="T635" i="3"/>
  <c r="X635" i="3"/>
  <c r="O635" i="3"/>
  <c r="Q635" i="3"/>
  <c r="S635" i="3"/>
  <c r="U635" i="3" l="1"/>
  <c r="V635" i="3"/>
  <c r="X636" i="3" s="1"/>
  <c r="Z636" i="3" l="1"/>
  <c r="Y636" i="3"/>
  <c r="W636" i="3"/>
  <c r="O636" i="3" l="1"/>
  <c r="Q636" i="3"/>
  <c r="S636" i="3"/>
  <c r="P636" i="3"/>
  <c r="R636" i="3"/>
  <c r="T636" i="3"/>
  <c r="U636" i="3" l="1"/>
  <c r="V636" i="3"/>
  <c r="X637" i="3" l="1"/>
  <c r="Z637" i="3"/>
  <c r="Y637" i="3"/>
  <c r="W637" i="3"/>
  <c r="P637" i="3" l="1"/>
  <c r="R637" i="3"/>
  <c r="T637" i="3"/>
  <c r="O637" i="3"/>
  <c r="Q637" i="3"/>
  <c r="S637" i="3"/>
  <c r="V637" i="3" l="1"/>
  <c r="U637" i="3"/>
  <c r="W638" i="3" l="1"/>
  <c r="Y638" i="3"/>
  <c r="Z638" i="3"/>
  <c r="X638" i="3"/>
  <c r="O638" i="3" l="1"/>
  <c r="Q638" i="3"/>
  <c r="S638" i="3"/>
  <c r="P638" i="3"/>
  <c r="R638" i="3"/>
  <c r="T638" i="3"/>
  <c r="U638" i="3" l="1"/>
  <c r="V638" i="3"/>
  <c r="X639" i="3" l="1"/>
  <c r="Z639" i="3"/>
  <c r="Y639" i="3"/>
  <c r="W639" i="3"/>
  <c r="P639" i="3" l="1"/>
  <c r="R639" i="3"/>
  <c r="T639" i="3"/>
  <c r="O639" i="3"/>
  <c r="Q639" i="3"/>
  <c r="S639" i="3"/>
  <c r="V639" i="3" l="1"/>
  <c r="U639" i="3"/>
  <c r="W640" i="3" l="1"/>
  <c r="Y640" i="3"/>
  <c r="Z640" i="3"/>
  <c r="X640" i="3"/>
  <c r="O640" i="3" l="1"/>
  <c r="Q640" i="3"/>
  <c r="S640" i="3"/>
  <c r="P640" i="3"/>
  <c r="R640" i="3"/>
  <c r="T640" i="3"/>
  <c r="U640" i="3" l="1"/>
  <c r="V640" i="3"/>
  <c r="X641" i="3" l="1"/>
  <c r="Z641" i="3"/>
  <c r="Y641" i="3"/>
  <c r="W641" i="3"/>
  <c r="P641" i="3" l="1"/>
  <c r="R641" i="3"/>
  <c r="T641" i="3"/>
  <c r="O641" i="3"/>
  <c r="Q641" i="3"/>
  <c r="S641" i="3"/>
  <c r="V641" i="3" l="1"/>
  <c r="U641" i="3"/>
  <c r="W642" i="3" l="1"/>
  <c r="Y642" i="3"/>
  <c r="Z642" i="3"/>
  <c r="X642" i="3"/>
  <c r="O642" i="3" l="1"/>
  <c r="Q642" i="3"/>
  <c r="S642" i="3"/>
  <c r="P642" i="3"/>
  <c r="R642" i="3"/>
  <c r="T642" i="3"/>
  <c r="U642" i="3" l="1"/>
  <c r="V642" i="3"/>
  <c r="X643" i="3" l="1"/>
  <c r="Z643" i="3"/>
  <c r="Y643" i="3"/>
  <c r="W643" i="3"/>
  <c r="P643" i="3" l="1"/>
  <c r="R643" i="3"/>
  <c r="T643" i="3"/>
  <c r="O643" i="3"/>
  <c r="Q643" i="3"/>
  <c r="S643" i="3"/>
  <c r="V643" i="3" l="1"/>
  <c r="U643" i="3"/>
  <c r="W644" i="3" l="1"/>
  <c r="Y644" i="3"/>
  <c r="Z644" i="3"/>
  <c r="X644" i="3"/>
  <c r="O644" i="3" l="1"/>
  <c r="Q644" i="3"/>
  <c r="S644" i="3"/>
  <c r="P644" i="3"/>
  <c r="R644" i="3"/>
  <c r="T644" i="3"/>
  <c r="U644" i="3" l="1"/>
  <c r="V644" i="3"/>
  <c r="X645" i="3" l="1"/>
  <c r="Z645" i="3"/>
  <c r="Y645" i="3"/>
  <c r="W645" i="3"/>
  <c r="P645" i="3" l="1"/>
  <c r="R645" i="3"/>
  <c r="T645" i="3"/>
  <c r="O645" i="3"/>
  <c r="Q645" i="3"/>
  <c r="S645" i="3"/>
  <c r="V645" i="3" l="1"/>
  <c r="U645" i="3"/>
  <c r="W646" i="3" l="1"/>
  <c r="Y646" i="3"/>
  <c r="Z646" i="3"/>
  <c r="X646" i="3"/>
  <c r="O646" i="3" l="1"/>
  <c r="S646" i="3"/>
  <c r="Q646" i="3"/>
  <c r="P646" i="3"/>
  <c r="R646" i="3"/>
  <c r="T646" i="3"/>
  <c r="U646" i="3" l="1"/>
  <c r="V646" i="3"/>
  <c r="X647" i="3" l="1"/>
  <c r="Z647" i="3"/>
  <c r="Y647" i="3"/>
  <c r="W647" i="3"/>
  <c r="P647" i="3" l="1"/>
  <c r="R647" i="3"/>
  <c r="T647" i="3"/>
  <c r="O647" i="3"/>
  <c r="Q647" i="3"/>
  <c r="S647" i="3"/>
  <c r="V647" i="3" l="1"/>
  <c r="U647" i="3"/>
  <c r="W648" i="3" l="1"/>
  <c r="Y648" i="3"/>
  <c r="Z648" i="3"/>
  <c r="X648" i="3"/>
  <c r="O648" i="3" l="1"/>
  <c r="Q648" i="3"/>
  <c r="S648" i="3"/>
  <c r="P648" i="3"/>
  <c r="R648" i="3"/>
  <c r="T648" i="3"/>
  <c r="U648" i="3" l="1"/>
  <c r="V648" i="3"/>
  <c r="X649" i="3" l="1"/>
  <c r="Z649" i="3"/>
  <c r="Y649" i="3"/>
  <c r="W649" i="3"/>
  <c r="P649" i="3" l="1"/>
  <c r="R649" i="3"/>
  <c r="T649" i="3"/>
  <c r="O649" i="3"/>
  <c r="Q649" i="3"/>
  <c r="S649" i="3"/>
  <c r="V649" i="3" l="1"/>
  <c r="U649" i="3"/>
  <c r="W650" i="3" l="1"/>
  <c r="Y650" i="3"/>
  <c r="X650" i="3"/>
  <c r="Z650" i="3"/>
  <c r="O650" i="3" l="1"/>
  <c r="S650" i="3"/>
  <c r="Q650" i="3"/>
  <c r="P650" i="3"/>
  <c r="V650" i="3" s="1"/>
  <c r="X651" i="3" s="1"/>
  <c r="R650" i="3"/>
  <c r="T650" i="3"/>
  <c r="U650" i="3" l="1"/>
  <c r="Z651" i="3"/>
  <c r="Y651" i="3" l="1"/>
  <c r="R651" i="3" s="1"/>
  <c r="W651" i="3"/>
  <c r="O651" i="3" l="1"/>
  <c r="S651" i="3"/>
  <c r="Q651" i="3"/>
  <c r="T651" i="3"/>
  <c r="P651" i="3"/>
  <c r="U651" i="3" l="1"/>
  <c r="V651" i="3"/>
  <c r="X652" i="3" l="1"/>
  <c r="Z652" i="3"/>
  <c r="W652" i="3"/>
  <c r="Y652" i="3"/>
  <c r="P652" i="3" l="1"/>
  <c r="R652" i="3"/>
  <c r="T652" i="3"/>
  <c r="O652" i="3"/>
  <c r="U652" i="3" s="1"/>
  <c r="W653" i="3" s="1"/>
  <c r="Q652" i="3"/>
  <c r="S652" i="3"/>
  <c r="V652" i="3" l="1"/>
  <c r="Y653" i="3"/>
  <c r="Z653" i="3" l="1"/>
  <c r="Q653" i="3" s="1"/>
  <c r="X653" i="3"/>
  <c r="P653" i="3" l="1"/>
  <c r="R653" i="3"/>
  <c r="T653" i="3"/>
  <c r="S653" i="3"/>
  <c r="O653" i="3"/>
  <c r="V653" i="3" l="1"/>
  <c r="U653" i="3"/>
  <c r="W654" i="3" l="1"/>
  <c r="Y654" i="3"/>
  <c r="X654" i="3"/>
  <c r="Z654" i="3"/>
  <c r="O654" i="3" l="1"/>
  <c r="Q654" i="3"/>
  <c r="S654" i="3"/>
  <c r="P654" i="3"/>
  <c r="V654" i="3" s="1"/>
  <c r="X655" i="3" s="1"/>
  <c r="R654" i="3"/>
  <c r="T654" i="3"/>
  <c r="Z655" i="3" l="1"/>
  <c r="U654" i="3"/>
  <c r="Y655" i="3" l="1"/>
  <c r="W655" i="3"/>
  <c r="P655" i="3"/>
  <c r="R655" i="3"/>
  <c r="T655" i="3"/>
  <c r="V655" i="3" l="1"/>
  <c r="O655" i="3"/>
  <c r="Q655" i="3"/>
  <c r="S655" i="3"/>
  <c r="U655" i="3" l="1"/>
  <c r="X656" i="3"/>
  <c r="Z656" i="3"/>
  <c r="P656" i="3" l="1"/>
  <c r="R656" i="3"/>
  <c r="T656" i="3"/>
  <c r="W656" i="3"/>
  <c r="Y656" i="3"/>
  <c r="V656" i="3" l="1"/>
  <c r="O656" i="3"/>
  <c r="Q656" i="3"/>
  <c r="S656" i="3"/>
  <c r="U656" i="3" l="1"/>
  <c r="Z657" i="3"/>
  <c r="X657" i="3"/>
  <c r="P657" i="3" l="1"/>
  <c r="R657" i="3"/>
  <c r="T657" i="3"/>
  <c r="W657" i="3"/>
  <c r="Y657" i="3"/>
  <c r="V657" i="3" l="1"/>
  <c r="O657" i="3"/>
  <c r="Q657" i="3"/>
  <c r="S657" i="3"/>
  <c r="U657" i="3" l="1"/>
  <c r="X658" i="3"/>
  <c r="Z658" i="3"/>
  <c r="P658" i="3" l="1"/>
  <c r="T658" i="3"/>
  <c r="R658" i="3"/>
  <c r="W658" i="3"/>
  <c r="Y658" i="3"/>
  <c r="V658" i="3" l="1"/>
  <c r="O658" i="3"/>
  <c r="Q658" i="3"/>
  <c r="S658" i="3"/>
  <c r="U658" i="3" l="1"/>
  <c r="Z659" i="3"/>
  <c r="X659" i="3"/>
  <c r="P659" i="3" l="1"/>
  <c r="R659" i="3"/>
  <c r="T659" i="3"/>
  <c r="W659" i="3"/>
  <c r="Y659" i="3"/>
  <c r="V659" i="3" l="1"/>
  <c r="O659" i="3"/>
  <c r="Q659" i="3"/>
  <c r="S659" i="3"/>
  <c r="U659" i="3" l="1"/>
  <c r="X660" i="3"/>
  <c r="Z660" i="3"/>
  <c r="P660" i="3" l="1"/>
  <c r="R660" i="3"/>
  <c r="T660" i="3"/>
  <c r="W660" i="3"/>
  <c r="Y660" i="3"/>
  <c r="V660" i="3" l="1"/>
  <c r="O660" i="3"/>
  <c r="Q660" i="3"/>
  <c r="S660" i="3"/>
  <c r="U660" i="3" l="1"/>
  <c r="Z661" i="3"/>
  <c r="X661" i="3"/>
  <c r="P661" i="3" l="1"/>
  <c r="R661" i="3"/>
  <c r="T661" i="3"/>
  <c r="W661" i="3"/>
  <c r="Y661" i="3"/>
  <c r="V661" i="3" l="1"/>
  <c r="O661" i="3"/>
  <c r="Q661" i="3"/>
  <c r="S661" i="3"/>
  <c r="U661" i="3" l="1"/>
  <c r="X662" i="3"/>
  <c r="Z662" i="3"/>
  <c r="R662" i="3" l="1"/>
  <c r="T662" i="3"/>
  <c r="W662" i="3"/>
  <c r="Y662" i="3"/>
  <c r="P662" i="3" s="1"/>
  <c r="V662" i="3" s="1"/>
  <c r="Z663" i="3" l="1"/>
  <c r="X663" i="3"/>
  <c r="O662" i="3"/>
  <c r="Q662" i="3"/>
  <c r="S662" i="3"/>
  <c r="U662" i="3" l="1"/>
  <c r="Y663" i="3" l="1"/>
  <c r="W663" i="3"/>
  <c r="O663" i="3" l="1"/>
  <c r="Q663" i="3"/>
  <c r="S663" i="3"/>
  <c r="P663" i="3"/>
  <c r="V663" i="3" s="1"/>
  <c r="R663" i="3"/>
  <c r="T663" i="3"/>
  <c r="U663" i="3" l="1"/>
  <c r="X664" i="3"/>
  <c r="Z664" i="3"/>
  <c r="P664" i="3" l="1"/>
  <c r="R664" i="3"/>
  <c r="T664" i="3"/>
  <c r="W664" i="3"/>
  <c r="Y664" i="3"/>
  <c r="V664" i="3" l="1"/>
  <c r="O664" i="3"/>
  <c r="S664" i="3"/>
  <c r="Q664" i="3"/>
  <c r="U664" i="3" l="1"/>
  <c r="Z665" i="3"/>
  <c r="X665" i="3"/>
  <c r="P665" i="3" l="1"/>
  <c r="R665" i="3"/>
  <c r="T665" i="3"/>
  <c r="W665" i="3"/>
  <c r="Y665" i="3"/>
  <c r="V665" i="3" l="1"/>
  <c r="O665" i="3"/>
  <c r="Q665" i="3"/>
  <c r="S665" i="3"/>
  <c r="U665" i="3" l="1"/>
  <c r="X666" i="3"/>
  <c r="Z666" i="3"/>
  <c r="P666" i="3" l="1"/>
  <c r="R666" i="3"/>
  <c r="T666" i="3"/>
  <c r="W666" i="3"/>
  <c r="Y666" i="3"/>
  <c r="V666" i="3" l="1"/>
  <c r="O666" i="3"/>
  <c r="Q666" i="3"/>
  <c r="S666" i="3"/>
  <c r="U666" i="3" l="1"/>
  <c r="Z667" i="3"/>
  <c r="X667" i="3"/>
  <c r="P667" i="3" l="1"/>
  <c r="R667" i="3"/>
  <c r="T667" i="3"/>
  <c r="W667" i="3"/>
  <c r="Y667" i="3"/>
  <c r="V667" i="3" l="1"/>
  <c r="O667" i="3"/>
  <c r="Q667" i="3"/>
  <c r="S667" i="3"/>
  <c r="U667" i="3" l="1"/>
  <c r="X668" i="3"/>
  <c r="Z668" i="3"/>
  <c r="P668" i="3" l="1"/>
  <c r="R668" i="3"/>
  <c r="T668" i="3"/>
  <c r="W668" i="3"/>
  <c r="Y668" i="3"/>
  <c r="V668" i="3" l="1"/>
  <c r="O668" i="3"/>
  <c r="Q668" i="3"/>
  <c r="S668" i="3"/>
  <c r="U668" i="3" l="1"/>
  <c r="Z669" i="3"/>
  <c r="X669" i="3"/>
  <c r="P669" i="3" l="1"/>
  <c r="R669" i="3"/>
  <c r="T669" i="3"/>
  <c r="W669" i="3"/>
  <c r="Y669" i="3"/>
  <c r="V669" i="3" l="1"/>
  <c r="O669" i="3"/>
  <c r="Q669" i="3"/>
  <c r="S669" i="3"/>
  <c r="U669" i="3" l="1"/>
  <c r="X670" i="3"/>
  <c r="Z670" i="3"/>
  <c r="R670" i="3" l="1"/>
  <c r="T670" i="3"/>
  <c r="W670" i="3"/>
  <c r="Y670" i="3"/>
  <c r="P670" i="3" s="1"/>
  <c r="V670" i="3" s="1"/>
  <c r="Z671" i="3" l="1"/>
  <c r="X671" i="3"/>
  <c r="O670" i="3"/>
  <c r="Q670" i="3"/>
  <c r="S670" i="3"/>
  <c r="U670" i="3" l="1"/>
  <c r="Y671" i="3" l="1"/>
  <c r="W671" i="3"/>
  <c r="O671" i="3" l="1"/>
  <c r="Q671" i="3"/>
  <c r="S671" i="3"/>
  <c r="P671" i="3"/>
  <c r="V671" i="3" s="1"/>
  <c r="T671" i="3"/>
  <c r="R671" i="3"/>
  <c r="U671" i="3" l="1"/>
  <c r="X672" i="3"/>
  <c r="Z672" i="3"/>
  <c r="P672" i="3" l="1"/>
  <c r="R672" i="3"/>
  <c r="T672" i="3"/>
  <c r="W672" i="3"/>
  <c r="Y672" i="3"/>
  <c r="V672" i="3" l="1"/>
  <c r="O672" i="3"/>
  <c r="Q672" i="3"/>
  <c r="S672" i="3"/>
  <c r="U672" i="3" l="1"/>
  <c r="Z673" i="3"/>
  <c r="X673" i="3"/>
  <c r="P673" i="3" l="1"/>
  <c r="R673" i="3"/>
  <c r="T673" i="3"/>
  <c r="W673" i="3"/>
  <c r="Y673" i="3"/>
  <c r="V673" i="3" l="1"/>
  <c r="O673" i="3"/>
  <c r="Q673" i="3"/>
  <c r="S673" i="3"/>
  <c r="U673" i="3" l="1"/>
  <c r="X674" i="3"/>
  <c r="Z674" i="3"/>
  <c r="P674" i="3" l="1"/>
  <c r="R674" i="3"/>
  <c r="T674" i="3"/>
  <c r="W674" i="3"/>
  <c r="Y674" i="3"/>
  <c r="V674" i="3" l="1"/>
  <c r="O674" i="3"/>
  <c r="Q674" i="3"/>
  <c r="S674" i="3"/>
  <c r="U674" i="3" l="1"/>
  <c r="Z675" i="3"/>
  <c r="X675" i="3"/>
  <c r="P675" i="3" l="1"/>
  <c r="R675" i="3"/>
  <c r="T675" i="3"/>
  <c r="W675" i="3"/>
  <c r="Y675" i="3"/>
  <c r="V675" i="3" l="1"/>
  <c r="O675" i="3"/>
  <c r="S675" i="3"/>
  <c r="Q675" i="3"/>
  <c r="U675" i="3" l="1"/>
  <c r="X676" i="3"/>
  <c r="Z676" i="3"/>
  <c r="T676" i="3" l="1"/>
  <c r="R676" i="3"/>
  <c r="W676" i="3"/>
  <c r="Y676" i="3"/>
  <c r="P676" i="3" s="1"/>
  <c r="V676" i="3" s="1"/>
  <c r="Z677" i="3" l="1"/>
  <c r="X677" i="3"/>
  <c r="O676" i="3"/>
  <c r="Q676" i="3"/>
  <c r="S676" i="3"/>
  <c r="U676" i="3" l="1"/>
  <c r="Y677" i="3" l="1"/>
  <c r="W677" i="3"/>
  <c r="O677" i="3" l="1"/>
  <c r="Q677" i="3"/>
  <c r="S677" i="3"/>
  <c r="P677" i="3"/>
  <c r="V677" i="3" s="1"/>
  <c r="R677" i="3"/>
  <c r="T677" i="3"/>
  <c r="U677" i="3" l="1"/>
  <c r="X678" i="3"/>
  <c r="Z678" i="3"/>
  <c r="R678" i="3" l="1"/>
  <c r="T678" i="3"/>
  <c r="W678" i="3"/>
  <c r="Y678" i="3"/>
  <c r="P678" i="3" s="1"/>
  <c r="V678" i="3" s="1"/>
  <c r="Z679" i="3" l="1"/>
  <c r="X679" i="3"/>
  <c r="O678" i="3"/>
  <c r="Q678" i="3"/>
  <c r="S678" i="3"/>
  <c r="U678" i="3" l="1"/>
  <c r="Y679" i="3" l="1"/>
  <c r="W679" i="3"/>
  <c r="O679" i="3" l="1"/>
  <c r="Q679" i="3"/>
  <c r="S679" i="3"/>
  <c r="P679" i="3"/>
  <c r="V679" i="3" s="1"/>
  <c r="R679" i="3"/>
  <c r="T679" i="3"/>
  <c r="U679" i="3" l="1"/>
  <c r="X680" i="3"/>
  <c r="Z680" i="3"/>
  <c r="R680" i="3" l="1"/>
  <c r="T680" i="3"/>
  <c r="W680" i="3"/>
  <c r="Y680" i="3"/>
  <c r="P680" i="3" s="1"/>
  <c r="V680" i="3" s="1"/>
  <c r="Z681" i="3" l="1"/>
  <c r="X681" i="3"/>
  <c r="O680" i="3"/>
  <c r="Q680" i="3"/>
  <c r="S680" i="3"/>
  <c r="U680" i="3" l="1"/>
  <c r="Y681" i="3" l="1"/>
  <c r="W681" i="3"/>
  <c r="O681" i="3" l="1"/>
  <c r="Q681" i="3"/>
  <c r="S681" i="3"/>
  <c r="P681" i="3"/>
  <c r="V681" i="3" s="1"/>
  <c r="R681" i="3"/>
  <c r="T681" i="3"/>
  <c r="U681" i="3" l="1"/>
  <c r="X682" i="3"/>
  <c r="Z682" i="3"/>
  <c r="R682" i="3" l="1"/>
  <c r="T682" i="3"/>
  <c r="W682" i="3"/>
  <c r="Y682" i="3"/>
  <c r="P682" i="3" s="1"/>
  <c r="V682" i="3" s="1"/>
  <c r="Z683" i="3" l="1"/>
  <c r="X683" i="3"/>
  <c r="O682" i="3"/>
  <c r="S682" i="3"/>
  <c r="Q682" i="3"/>
  <c r="U682" i="3" l="1"/>
  <c r="Y683" i="3" l="1"/>
  <c r="W683" i="3"/>
  <c r="O683" i="3" l="1"/>
  <c r="Q683" i="3"/>
  <c r="S683" i="3"/>
  <c r="P683" i="3"/>
  <c r="V683" i="3" s="1"/>
  <c r="R683" i="3"/>
  <c r="T683" i="3"/>
  <c r="U683" i="3" l="1"/>
  <c r="X684" i="3"/>
  <c r="Z684" i="3"/>
  <c r="R684" i="3" l="1"/>
  <c r="T684" i="3"/>
  <c r="W684" i="3"/>
  <c r="Y684" i="3"/>
  <c r="P684" i="3" s="1"/>
  <c r="V684" i="3" s="1"/>
  <c r="Z685" i="3" l="1"/>
  <c r="X685" i="3"/>
  <c r="O684" i="3"/>
  <c r="Q684" i="3"/>
  <c r="S684" i="3"/>
  <c r="U684" i="3" l="1"/>
  <c r="Y685" i="3" l="1"/>
  <c r="W685" i="3"/>
  <c r="O685" i="3" l="1"/>
  <c r="Q685" i="3"/>
  <c r="S685" i="3"/>
  <c r="P685" i="3"/>
  <c r="V685" i="3" s="1"/>
  <c r="R685" i="3"/>
  <c r="T685" i="3"/>
  <c r="U685" i="3" l="1"/>
  <c r="X686" i="3"/>
  <c r="Z686" i="3"/>
  <c r="T686" i="3" l="1"/>
  <c r="W686" i="3"/>
  <c r="Y686" i="3"/>
  <c r="P686" i="3" s="1"/>
  <c r="R686" i="3" l="1"/>
  <c r="V686" i="3" s="1"/>
  <c r="O686" i="3"/>
  <c r="Q686" i="3"/>
  <c r="S686" i="3"/>
  <c r="Z687" i="3" l="1"/>
  <c r="X687" i="3"/>
  <c r="U686" i="3"/>
  <c r="Y687" i="3" l="1"/>
  <c r="W687" i="3"/>
  <c r="P687" i="3"/>
  <c r="R687" i="3"/>
  <c r="O687" i="3" l="1"/>
  <c r="Q687" i="3"/>
  <c r="S687" i="3"/>
  <c r="T687" i="3"/>
  <c r="V687" i="3" s="1"/>
  <c r="X688" i="3" l="1"/>
  <c r="Z688" i="3"/>
  <c r="U687" i="3"/>
  <c r="Y688" i="3" l="1"/>
  <c r="R688" i="3" s="1"/>
  <c r="W688" i="3"/>
  <c r="O688" i="3" l="1"/>
  <c r="Q688" i="3"/>
  <c r="S688" i="3"/>
  <c r="T688" i="3"/>
  <c r="P688" i="3"/>
  <c r="U688" i="3" l="1"/>
  <c r="V688" i="3"/>
  <c r="Z689" i="3" l="1"/>
  <c r="X689" i="3"/>
  <c r="W689" i="3"/>
  <c r="Y689" i="3"/>
  <c r="O689" i="3" l="1"/>
  <c r="Q689" i="3"/>
  <c r="S689" i="3"/>
  <c r="P689" i="3"/>
  <c r="T689" i="3"/>
  <c r="R689" i="3"/>
  <c r="U689" i="3" l="1"/>
  <c r="V689" i="3"/>
  <c r="X690" i="3" l="1"/>
  <c r="Z690" i="3"/>
  <c r="Y690" i="3"/>
  <c r="W690" i="3"/>
  <c r="P690" i="3" l="1"/>
  <c r="R690" i="3"/>
  <c r="T690" i="3"/>
  <c r="O690" i="3"/>
  <c r="Q690" i="3"/>
  <c r="S690" i="3"/>
  <c r="V690" i="3" l="1"/>
  <c r="U690" i="3"/>
  <c r="W691" i="3" l="1"/>
  <c r="Y691" i="3"/>
  <c r="Z691" i="3"/>
  <c r="X691" i="3"/>
  <c r="O691" i="3" l="1"/>
  <c r="Q691" i="3"/>
  <c r="S691" i="3"/>
  <c r="P691" i="3"/>
  <c r="R691" i="3"/>
  <c r="T691" i="3"/>
  <c r="U691" i="3" l="1"/>
  <c r="V691" i="3"/>
  <c r="X692" i="3" l="1"/>
  <c r="Z692" i="3"/>
  <c r="Y692" i="3"/>
  <c r="W692" i="3"/>
  <c r="P692" i="3" l="1"/>
  <c r="R692" i="3"/>
  <c r="T692" i="3"/>
  <c r="O692" i="3"/>
  <c r="Q692" i="3"/>
  <c r="S692" i="3"/>
  <c r="V692" i="3" l="1"/>
  <c r="U692" i="3"/>
  <c r="W693" i="3" l="1"/>
  <c r="Y693" i="3"/>
  <c r="Z693" i="3"/>
  <c r="X693" i="3"/>
  <c r="O693" i="3" l="1"/>
  <c r="Q693" i="3"/>
  <c r="S693" i="3"/>
  <c r="P693" i="3"/>
  <c r="R693" i="3"/>
  <c r="T693" i="3"/>
  <c r="U693" i="3" l="1"/>
  <c r="V693" i="3"/>
  <c r="X694" i="3" l="1"/>
  <c r="Z694" i="3"/>
  <c r="Y694" i="3"/>
  <c r="W694" i="3"/>
  <c r="P694" i="3" l="1"/>
  <c r="R694" i="3"/>
  <c r="T694" i="3"/>
  <c r="O694" i="3"/>
  <c r="Q694" i="3"/>
  <c r="S694" i="3"/>
  <c r="V694" i="3" l="1"/>
  <c r="U694" i="3"/>
  <c r="W695" i="3" l="1"/>
  <c r="Y695" i="3"/>
  <c r="Z695" i="3"/>
  <c r="X695" i="3"/>
  <c r="O695" i="3" l="1"/>
  <c r="Q695" i="3"/>
  <c r="S695" i="3"/>
  <c r="P695" i="3"/>
  <c r="R695" i="3"/>
  <c r="T695" i="3"/>
  <c r="U695" i="3" l="1"/>
  <c r="V695" i="3"/>
  <c r="X696" i="3" l="1"/>
  <c r="Z696" i="3"/>
  <c r="Y696" i="3"/>
  <c r="W696" i="3"/>
  <c r="P696" i="3" l="1"/>
  <c r="R696" i="3"/>
  <c r="T696" i="3"/>
  <c r="O696" i="3"/>
  <c r="Q696" i="3"/>
  <c r="S696" i="3"/>
  <c r="V696" i="3" l="1"/>
  <c r="U696" i="3"/>
  <c r="W697" i="3" l="1"/>
  <c r="Y697" i="3"/>
  <c r="Z697" i="3"/>
  <c r="X697" i="3"/>
  <c r="O697" i="3" l="1"/>
  <c r="S697" i="3"/>
  <c r="Q697" i="3"/>
  <c r="P697" i="3"/>
  <c r="R697" i="3"/>
  <c r="T697" i="3"/>
  <c r="U697" i="3" l="1"/>
  <c r="V697" i="3"/>
  <c r="X698" i="3" l="1"/>
  <c r="Z698" i="3"/>
  <c r="Y698" i="3"/>
  <c r="W698" i="3"/>
  <c r="P698" i="3" l="1"/>
  <c r="R698" i="3"/>
  <c r="T698" i="3"/>
  <c r="O698" i="3"/>
  <c r="Q698" i="3"/>
  <c r="S698" i="3"/>
  <c r="V698" i="3" l="1"/>
  <c r="U698" i="3"/>
  <c r="Y699" i="3" l="1"/>
  <c r="W699" i="3"/>
  <c r="Z699" i="3"/>
  <c r="X699" i="3"/>
  <c r="P699" i="3" l="1"/>
  <c r="R699" i="3"/>
  <c r="T699" i="3"/>
  <c r="O699" i="3"/>
  <c r="Q699" i="3"/>
  <c r="S699" i="3"/>
  <c r="V699" i="3" l="1"/>
  <c r="U699" i="3"/>
  <c r="W700" i="3" l="1"/>
  <c r="Y700" i="3"/>
  <c r="X700" i="3"/>
  <c r="Z700" i="3"/>
  <c r="O700" i="3" l="1"/>
  <c r="Q700" i="3"/>
  <c r="S700" i="3"/>
  <c r="P700" i="3"/>
  <c r="V700" i="3" s="1"/>
  <c r="X701" i="3" s="1"/>
  <c r="T700" i="3"/>
  <c r="R700" i="3"/>
  <c r="Z701" i="3" l="1"/>
  <c r="U700" i="3"/>
  <c r="Y701" i="3" l="1"/>
  <c r="W701" i="3"/>
  <c r="P701" i="3"/>
  <c r="R701" i="3"/>
  <c r="T701" i="3"/>
  <c r="V701" i="3" l="1"/>
  <c r="O701" i="3"/>
  <c r="Q701" i="3"/>
  <c r="S701" i="3"/>
  <c r="U701" i="3" l="1"/>
  <c r="X702" i="3"/>
  <c r="Z702" i="3"/>
  <c r="T702" i="3" l="1"/>
  <c r="R702" i="3"/>
  <c r="W702" i="3"/>
  <c r="Y702" i="3"/>
  <c r="P702" i="3" s="1"/>
  <c r="V702" i="3" s="1"/>
  <c r="Z703" i="3" l="1"/>
  <c r="X703" i="3"/>
  <c r="O702" i="3"/>
  <c r="Q702" i="3"/>
  <c r="S702" i="3"/>
  <c r="U702" i="3" l="1"/>
  <c r="Y703" i="3" l="1"/>
  <c r="W703" i="3"/>
  <c r="O703" i="3" l="1"/>
  <c r="Q703" i="3"/>
  <c r="S703" i="3"/>
  <c r="P703" i="3"/>
  <c r="V703" i="3" s="1"/>
  <c r="T703" i="3"/>
  <c r="R703" i="3"/>
  <c r="U703" i="3" l="1"/>
  <c r="X704" i="3"/>
  <c r="Z704" i="3"/>
  <c r="R704" i="3" l="1"/>
  <c r="T704" i="3"/>
  <c r="W704" i="3"/>
  <c r="Y704" i="3"/>
  <c r="P704" i="3" s="1"/>
  <c r="V704" i="3" s="1"/>
  <c r="Z705" i="3" l="1"/>
  <c r="X705" i="3"/>
  <c r="O704" i="3"/>
  <c r="U704" i="3" s="1"/>
  <c r="Y705" i="3" s="1"/>
  <c r="Q704" i="3"/>
  <c r="S704" i="3"/>
  <c r="O705" i="3" l="1"/>
  <c r="Q705" i="3"/>
  <c r="S705" i="3"/>
  <c r="W705" i="3"/>
  <c r="P705" i="3"/>
  <c r="R705" i="3"/>
  <c r="T705" i="3"/>
  <c r="U705" i="3" l="1"/>
  <c r="W706" i="3"/>
  <c r="V705" i="3"/>
  <c r="Y706" i="3"/>
  <c r="Z706" i="3" l="1"/>
  <c r="X706" i="3"/>
  <c r="O706" i="3"/>
  <c r="Q706" i="3"/>
  <c r="S706" i="3"/>
  <c r="U706" i="3" l="1"/>
  <c r="P706" i="3"/>
  <c r="R706" i="3"/>
  <c r="T706" i="3"/>
  <c r="V706" i="3" l="1"/>
  <c r="W707" i="3"/>
  <c r="Y707" i="3"/>
  <c r="O707" i="3" l="1"/>
  <c r="Q707" i="3"/>
  <c r="S707" i="3"/>
  <c r="X707" i="3"/>
  <c r="Z707" i="3"/>
  <c r="U707" i="3" l="1"/>
  <c r="P707" i="3"/>
  <c r="R707" i="3"/>
  <c r="T707" i="3"/>
  <c r="V707" i="3" l="1"/>
  <c r="Y708" i="3"/>
  <c r="W708" i="3"/>
  <c r="O708" i="3" l="1"/>
  <c r="Q708" i="3"/>
  <c r="S708" i="3"/>
  <c r="X708" i="3"/>
  <c r="Z708" i="3"/>
  <c r="U708" i="3" l="1"/>
  <c r="P708" i="3"/>
  <c r="R708" i="3"/>
  <c r="T708" i="3"/>
  <c r="V708" i="3" l="1"/>
  <c r="W709" i="3"/>
  <c r="Y709" i="3"/>
  <c r="O709" i="3" l="1"/>
  <c r="Q709" i="3"/>
  <c r="S709" i="3"/>
  <c r="X709" i="3"/>
  <c r="Z709" i="3"/>
  <c r="U709" i="3" l="1"/>
  <c r="P709" i="3"/>
  <c r="R709" i="3"/>
  <c r="T709" i="3"/>
  <c r="V709" i="3" l="1"/>
  <c r="Y710" i="3"/>
  <c r="W710" i="3"/>
  <c r="O710" i="3" l="1"/>
  <c r="Q710" i="3"/>
  <c r="S710" i="3"/>
  <c r="X710" i="3"/>
  <c r="Z710" i="3"/>
  <c r="U710" i="3" l="1"/>
  <c r="P710" i="3"/>
  <c r="R710" i="3"/>
  <c r="T710" i="3"/>
  <c r="V710" i="3" l="1"/>
  <c r="W711" i="3"/>
  <c r="Y711" i="3"/>
  <c r="O711" i="3" l="1"/>
  <c r="Q711" i="3"/>
  <c r="S711" i="3"/>
  <c r="X711" i="3"/>
  <c r="Z711" i="3"/>
  <c r="U711" i="3" l="1"/>
  <c r="P711" i="3"/>
  <c r="R711" i="3"/>
  <c r="T711" i="3"/>
  <c r="V711" i="3" l="1"/>
  <c r="Y712" i="3"/>
  <c r="W712" i="3"/>
  <c r="O712" i="3" l="1"/>
  <c r="Q712" i="3"/>
  <c r="S712" i="3"/>
  <c r="X712" i="3"/>
  <c r="Z712" i="3"/>
  <c r="U712" i="3" l="1"/>
  <c r="P712" i="3"/>
  <c r="R712" i="3"/>
  <c r="T712" i="3"/>
  <c r="V712" i="3" l="1"/>
  <c r="W713" i="3"/>
  <c r="Y713" i="3"/>
  <c r="O713" i="3" l="1"/>
  <c r="Q713" i="3"/>
  <c r="S713" i="3"/>
  <c r="X713" i="3"/>
  <c r="Z713" i="3"/>
  <c r="U713" i="3" l="1"/>
  <c r="P713" i="3"/>
  <c r="R713" i="3"/>
  <c r="T713" i="3"/>
  <c r="V713" i="3" l="1"/>
  <c r="Y714" i="3"/>
  <c r="W714" i="3"/>
  <c r="O714" i="3" l="1"/>
  <c r="Q714" i="3"/>
  <c r="S714" i="3"/>
  <c r="X714" i="3"/>
  <c r="Z714" i="3"/>
  <c r="U714" i="3" l="1"/>
  <c r="P714" i="3"/>
  <c r="R714" i="3"/>
  <c r="T714" i="3"/>
  <c r="V714" i="3" l="1"/>
  <c r="W715" i="3"/>
  <c r="Y715" i="3"/>
  <c r="O715" i="3" l="1"/>
  <c r="Q715" i="3"/>
  <c r="S715" i="3"/>
  <c r="X715" i="3"/>
  <c r="Z715" i="3"/>
  <c r="U715" i="3" l="1"/>
  <c r="P715" i="3"/>
  <c r="R715" i="3"/>
  <c r="T715" i="3"/>
  <c r="V715" i="3" l="1"/>
  <c r="Y716" i="3"/>
  <c r="W716" i="3"/>
  <c r="O716" i="3" l="1"/>
  <c r="S716" i="3"/>
  <c r="Q716" i="3"/>
  <c r="X716" i="3"/>
  <c r="Z716" i="3"/>
  <c r="U716" i="3" l="1"/>
  <c r="P716" i="3"/>
  <c r="R716" i="3"/>
  <c r="T716" i="3"/>
  <c r="V716" i="3" l="1"/>
  <c r="W717" i="3"/>
  <c r="Y717" i="3"/>
  <c r="O717" i="3" l="1"/>
  <c r="Q717" i="3"/>
  <c r="S717" i="3"/>
  <c r="X717" i="3"/>
  <c r="Z717" i="3"/>
  <c r="U717" i="3" l="1"/>
  <c r="P717" i="3"/>
  <c r="R717" i="3"/>
  <c r="T717" i="3"/>
  <c r="V717" i="3" l="1"/>
  <c r="Y718" i="3"/>
  <c r="W718" i="3"/>
  <c r="O718" i="3" l="1"/>
  <c r="Q718" i="3"/>
  <c r="S718" i="3"/>
  <c r="X718" i="3"/>
  <c r="Z718" i="3"/>
  <c r="U718" i="3" l="1"/>
  <c r="P718" i="3"/>
  <c r="R718" i="3"/>
  <c r="T718" i="3"/>
  <c r="V718" i="3" l="1"/>
  <c r="W719" i="3"/>
  <c r="Y719" i="3"/>
  <c r="O719" i="3" l="1"/>
  <c r="Q719" i="3"/>
  <c r="S719" i="3"/>
  <c r="X719" i="3"/>
  <c r="Z719" i="3"/>
  <c r="U719" i="3" l="1"/>
  <c r="P719" i="3"/>
  <c r="R719" i="3"/>
  <c r="T719" i="3"/>
  <c r="V719" i="3" l="1"/>
  <c r="W720" i="3"/>
  <c r="Y720" i="3"/>
  <c r="Q720" i="3" l="1"/>
  <c r="S720" i="3"/>
  <c r="X720" i="3"/>
  <c r="Z720" i="3"/>
  <c r="O720" i="3" s="1"/>
  <c r="U720" i="3" s="1"/>
  <c r="Y721" i="3" l="1"/>
  <c r="W721" i="3"/>
  <c r="P720" i="3"/>
  <c r="R720" i="3"/>
  <c r="T720" i="3"/>
  <c r="V720" i="3" l="1"/>
  <c r="Z721" i="3" l="1"/>
  <c r="X721" i="3"/>
  <c r="P721" i="3" l="1"/>
  <c r="R721" i="3"/>
  <c r="T721" i="3"/>
  <c r="O721" i="3"/>
  <c r="U721" i="3" s="1"/>
  <c r="Q721" i="3"/>
  <c r="S721" i="3"/>
  <c r="V721" i="3" l="1"/>
  <c r="W722" i="3"/>
  <c r="Y722" i="3"/>
  <c r="O722" i="3" l="1"/>
  <c r="Q722" i="3"/>
  <c r="S722" i="3"/>
  <c r="X722" i="3"/>
  <c r="Z722" i="3"/>
  <c r="U722" i="3" l="1"/>
  <c r="P722" i="3"/>
  <c r="R722" i="3"/>
  <c r="T722" i="3"/>
  <c r="V722" i="3" l="1"/>
  <c r="Y723" i="3"/>
  <c r="W723" i="3"/>
  <c r="O723" i="3" l="1"/>
  <c r="Q723" i="3"/>
  <c r="S723" i="3"/>
  <c r="X723" i="3"/>
  <c r="Z723" i="3"/>
  <c r="U723" i="3" l="1"/>
  <c r="P723" i="3"/>
  <c r="R723" i="3"/>
  <c r="T723" i="3"/>
  <c r="V723" i="3" l="1"/>
  <c r="W724" i="3"/>
  <c r="Y724" i="3"/>
  <c r="Q724" i="3" l="1"/>
  <c r="S724" i="3"/>
  <c r="X724" i="3"/>
  <c r="Z724" i="3"/>
  <c r="O724" i="3" s="1"/>
  <c r="U724" i="3" s="1"/>
  <c r="Y725" i="3" l="1"/>
  <c r="W725" i="3"/>
  <c r="P724" i="3"/>
  <c r="R724" i="3"/>
  <c r="T724" i="3"/>
  <c r="V724" i="3" l="1"/>
  <c r="Z725" i="3" l="1"/>
  <c r="X725" i="3"/>
  <c r="P725" i="3" l="1"/>
  <c r="R725" i="3"/>
  <c r="T725" i="3"/>
  <c r="Q725" i="3"/>
  <c r="S725" i="3"/>
  <c r="O725" i="3"/>
  <c r="V725" i="3" l="1"/>
  <c r="U725" i="3"/>
  <c r="W726" i="3" l="1"/>
  <c r="Y726" i="3"/>
  <c r="X726" i="3"/>
  <c r="Z726" i="3"/>
  <c r="O726" i="3" l="1"/>
  <c r="Q726" i="3"/>
  <c r="S726" i="3"/>
  <c r="P726" i="3"/>
  <c r="V726" i="3" s="1"/>
  <c r="X727" i="3" s="1"/>
  <c r="R726" i="3"/>
  <c r="T726" i="3"/>
  <c r="U726" i="3" l="1"/>
  <c r="Z727" i="3"/>
  <c r="Y727" i="3" l="1"/>
  <c r="W727" i="3"/>
  <c r="P727" i="3"/>
  <c r="R727" i="3"/>
  <c r="T727" i="3"/>
  <c r="V727" i="3" l="1"/>
  <c r="O727" i="3"/>
  <c r="Q727" i="3"/>
  <c r="S727" i="3"/>
  <c r="U727" i="3" l="1"/>
  <c r="X728" i="3"/>
  <c r="Z728" i="3"/>
  <c r="P728" i="3" l="1"/>
  <c r="R728" i="3"/>
  <c r="T728" i="3"/>
  <c r="W728" i="3"/>
  <c r="Y728" i="3"/>
  <c r="V728" i="3" l="1"/>
  <c r="O728" i="3"/>
  <c r="Q728" i="3"/>
  <c r="S728" i="3"/>
  <c r="U728" i="3" l="1"/>
  <c r="Z729" i="3"/>
  <c r="X729" i="3"/>
  <c r="P729" i="3" l="1"/>
  <c r="T729" i="3"/>
  <c r="R729" i="3"/>
  <c r="W729" i="3"/>
  <c r="Y729" i="3"/>
  <c r="V729" i="3" l="1"/>
  <c r="O729" i="3"/>
  <c r="Q729" i="3"/>
  <c r="S729" i="3"/>
  <c r="X730" i="3" l="1"/>
  <c r="Z730" i="3"/>
  <c r="U729" i="3"/>
  <c r="W730" i="3" l="1"/>
  <c r="Y730" i="3"/>
  <c r="T730" i="3" s="1"/>
  <c r="O730" i="3" l="1"/>
  <c r="Q730" i="3"/>
  <c r="S730" i="3"/>
  <c r="R730" i="3"/>
  <c r="P730" i="3"/>
  <c r="U730" i="3" l="1"/>
  <c r="V730" i="3"/>
  <c r="Z731" i="3" l="1"/>
  <c r="X731" i="3"/>
  <c r="W731" i="3"/>
  <c r="Y731" i="3"/>
  <c r="O731" i="3" l="1"/>
  <c r="Q731" i="3"/>
  <c r="S731" i="3"/>
  <c r="P731" i="3"/>
  <c r="R731" i="3"/>
  <c r="T731" i="3"/>
  <c r="V731" i="3" l="1"/>
  <c r="U731" i="3"/>
  <c r="Y732" i="3" l="1"/>
  <c r="W732" i="3"/>
  <c r="X732" i="3"/>
  <c r="Z732" i="3"/>
  <c r="P732" i="3" l="1"/>
  <c r="R732" i="3"/>
  <c r="T732" i="3"/>
  <c r="O732" i="3"/>
  <c r="Q732" i="3"/>
  <c r="S732" i="3"/>
  <c r="V732" i="3" l="1"/>
  <c r="U732" i="3"/>
  <c r="Y733" i="3" l="1"/>
  <c r="W733" i="3"/>
  <c r="Z733" i="3"/>
  <c r="X733" i="3"/>
  <c r="P733" i="3" l="1"/>
  <c r="R733" i="3"/>
  <c r="T733" i="3"/>
  <c r="O733" i="3"/>
  <c r="Q733" i="3"/>
  <c r="S733" i="3"/>
  <c r="V733" i="3" l="1"/>
  <c r="U733" i="3"/>
  <c r="W734" i="3" l="1"/>
  <c r="Y734" i="3"/>
  <c r="X734" i="3"/>
  <c r="Z734" i="3"/>
  <c r="O734" i="3" l="1"/>
  <c r="S734" i="3"/>
  <c r="Q734" i="3"/>
  <c r="P734" i="3"/>
  <c r="V734" i="3" s="1"/>
  <c r="X735" i="3" s="1"/>
  <c r="R734" i="3"/>
  <c r="T734" i="3"/>
  <c r="U734" i="3" l="1"/>
  <c r="Z735" i="3"/>
  <c r="Y735" i="3" l="1"/>
  <c r="R735" i="3" s="1"/>
  <c r="W735" i="3"/>
  <c r="O735" i="3" l="1"/>
  <c r="Q735" i="3"/>
  <c r="S735" i="3"/>
  <c r="T735" i="3"/>
  <c r="P735" i="3"/>
  <c r="U735" i="3" l="1"/>
  <c r="V735" i="3"/>
  <c r="X736" i="3" l="1"/>
  <c r="Z736" i="3"/>
  <c r="W736" i="3"/>
  <c r="Y736" i="3"/>
  <c r="P736" i="3" l="1"/>
  <c r="R736" i="3"/>
  <c r="T736" i="3"/>
  <c r="O736" i="3"/>
  <c r="U736" i="3" s="1"/>
  <c r="W737" i="3" s="1"/>
  <c r="Q736" i="3"/>
  <c r="S736" i="3"/>
  <c r="Y737" i="3" l="1"/>
  <c r="V736" i="3"/>
  <c r="Z737" i="3" l="1"/>
  <c r="X737" i="3"/>
  <c r="O737" i="3"/>
  <c r="Q737" i="3"/>
  <c r="S737" i="3"/>
  <c r="U737" i="3" l="1"/>
  <c r="P737" i="3"/>
  <c r="R737" i="3"/>
  <c r="T737" i="3"/>
  <c r="V737" i="3" l="1"/>
  <c r="W738" i="3"/>
  <c r="Y738" i="3"/>
  <c r="Q738" i="3" l="1"/>
  <c r="S738" i="3"/>
  <c r="X738" i="3"/>
  <c r="Z738" i="3"/>
  <c r="O738" i="3" s="1"/>
  <c r="U738" i="3" s="1"/>
  <c r="Y739" i="3" l="1"/>
  <c r="W739" i="3"/>
  <c r="P738" i="3"/>
  <c r="R738" i="3"/>
  <c r="T738" i="3"/>
  <c r="V738" i="3" l="1"/>
  <c r="Z739" i="3" l="1"/>
  <c r="X739" i="3"/>
  <c r="P739" i="3" l="1"/>
  <c r="R739" i="3"/>
  <c r="T739" i="3"/>
  <c r="O739" i="3"/>
  <c r="U739" i="3" s="1"/>
  <c r="Q739" i="3"/>
  <c r="S739" i="3"/>
  <c r="V739" i="3" l="1"/>
  <c r="W740" i="3"/>
  <c r="Y740" i="3"/>
  <c r="O740" i="3" l="1"/>
  <c r="Q740" i="3"/>
  <c r="S740" i="3"/>
  <c r="X740" i="3"/>
  <c r="Z740" i="3"/>
  <c r="U740" i="3" l="1"/>
  <c r="P740" i="3"/>
  <c r="R740" i="3"/>
  <c r="T740" i="3"/>
  <c r="V740" i="3" l="1"/>
  <c r="Y741" i="3"/>
  <c r="W741" i="3"/>
  <c r="O741" i="3" l="1"/>
  <c r="Q741" i="3"/>
  <c r="S741" i="3"/>
  <c r="X741" i="3"/>
  <c r="Z741" i="3"/>
  <c r="U741" i="3" l="1"/>
  <c r="P741" i="3"/>
  <c r="T741" i="3"/>
  <c r="R741" i="3"/>
  <c r="V741" i="3" l="1"/>
  <c r="W742" i="3"/>
  <c r="Y742" i="3"/>
  <c r="O742" i="3" l="1"/>
  <c r="Q742" i="3"/>
  <c r="S742" i="3"/>
  <c r="X742" i="3"/>
  <c r="Z742" i="3"/>
  <c r="U742" i="3" l="1"/>
  <c r="P742" i="3"/>
  <c r="R742" i="3"/>
  <c r="T742" i="3"/>
  <c r="V742" i="3" l="1"/>
  <c r="Y743" i="3"/>
  <c r="W743" i="3"/>
  <c r="O743" i="3" l="1"/>
  <c r="Q743" i="3"/>
  <c r="S743" i="3"/>
  <c r="X743" i="3"/>
  <c r="Z743" i="3"/>
  <c r="U743" i="3" l="1"/>
  <c r="P743" i="3"/>
  <c r="R743" i="3"/>
  <c r="T743" i="3"/>
  <c r="V743" i="3" l="1"/>
  <c r="W744" i="3"/>
  <c r="Y744" i="3"/>
  <c r="O744" i="3" l="1"/>
  <c r="Q744" i="3"/>
  <c r="S744" i="3"/>
  <c r="X744" i="3"/>
  <c r="Z744" i="3"/>
  <c r="U744" i="3" l="1"/>
  <c r="P744" i="3"/>
  <c r="R744" i="3"/>
  <c r="T744" i="3"/>
  <c r="V744" i="3" l="1"/>
  <c r="Y745" i="3"/>
  <c r="W745" i="3"/>
  <c r="O745" i="3" l="1"/>
  <c r="Q745" i="3"/>
  <c r="S745" i="3"/>
  <c r="X745" i="3"/>
  <c r="Z745" i="3"/>
  <c r="U745" i="3" l="1"/>
  <c r="P745" i="3"/>
  <c r="R745" i="3"/>
  <c r="T745" i="3"/>
  <c r="V745" i="3" l="1"/>
  <c r="W746" i="3"/>
  <c r="Y746" i="3"/>
  <c r="O746" i="3" l="1"/>
  <c r="Q746" i="3"/>
  <c r="S746" i="3"/>
  <c r="X746" i="3"/>
  <c r="Z746" i="3"/>
  <c r="U746" i="3" l="1"/>
  <c r="P746" i="3"/>
  <c r="R746" i="3"/>
  <c r="T746" i="3"/>
  <c r="V746" i="3" l="1"/>
  <c r="Y747" i="3"/>
  <c r="W747" i="3"/>
  <c r="O747" i="3" l="1"/>
  <c r="S747" i="3"/>
  <c r="Q747" i="3"/>
  <c r="X747" i="3"/>
  <c r="Z747" i="3"/>
  <c r="U747" i="3" l="1"/>
  <c r="P747" i="3"/>
  <c r="R747" i="3"/>
  <c r="T747" i="3"/>
  <c r="V747" i="3" l="1"/>
  <c r="W748" i="3"/>
  <c r="Y748" i="3"/>
  <c r="O748" i="3" l="1"/>
  <c r="Q748" i="3"/>
  <c r="S748" i="3"/>
  <c r="X748" i="3"/>
  <c r="Z748" i="3"/>
  <c r="U748" i="3" l="1"/>
  <c r="P748" i="3"/>
  <c r="R748" i="3"/>
  <c r="T748" i="3"/>
  <c r="V748" i="3" l="1"/>
  <c r="Y749" i="3"/>
  <c r="W749" i="3"/>
  <c r="O749" i="3" l="1"/>
  <c r="Q749" i="3"/>
  <c r="S749" i="3"/>
  <c r="X749" i="3"/>
  <c r="Z749" i="3"/>
  <c r="U749" i="3" l="1"/>
  <c r="P749" i="3"/>
  <c r="R749" i="3"/>
  <c r="T749" i="3"/>
  <c r="V749" i="3" l="1"/>
  <c r="W750" i="3"/>
  <c r="Y750" i="3"/>
  <c r="Q750" i="3" l="1"/>
  <c r="S750" i="3"/>
  <c r="X750" i="3"/>
  <c r="Z750" i="3"/>
  <c r="O750" i="3" s="1"/>
  <c r="U750" i="3" s="1"/>
  <c r="Y751" i="3" l="1"/>
  <c r="W751" i="3"/>
  <c r="P750" i="3"/>
  <c r="R750" i="3"/>
  <c r="T750" i="3"/>
  <c r="V750" i="3" l="1"/>
  <c r="Z751" i="3" l="1"/>
  <c r="X751" i="3"/>
  <c r="P751" i="3" l="1"/>
  <c r="R751" i="3"/>
  <c r="T751" i="3"/>
  <c r="O751" i="3"/>
  <c r="U751" i="3" s="1"/>
  <c r="Q751" i="3"/>
  <c r="S751" i="3"/>
  <c r="V751" i="3" l="1"/>
  <c r="W752" i="3"/>
  <c r="Y752" i="3"/>
  <c r="O752" i="3" l="1"/>
  <c r="Q752" i="3"/>
  <c r="S752" i="3"/>
  <c r="X752" i="3"/>
  <c r="Z752" i="3"/>
  <c r="U752" i="3" l="1"/>
  <c r="P752" i="3"/>
  <c r="R752" i="3"/>
  <c r="T752" i="3"/>
  <c r="V752" i="3" l="1"/>
  <c r="Y753" i="3"/>
  <c r="W753" i="3"/>
  <c r="O753" i="3" l="1"/>
  <c r="Q753" i="3"/>
  <c r="S753" i="3"/>
  <c r="X753" i="3"/>
  <c r="Z753" i="3"/>
  <c r="U753" i="3" l="1"/>
  <c r="P753" i="3"/>
  <c r="R753" i="3"/>
  <c r="T753" i="3"/>
  <c r="V753" i="3" l="1"/>
  <c r="W754" i="3"/>
  <c r="Y754" i="3"/>
  <c r="O754" i="3" l="1"/>
  <c r="Q754" i="3"/>
  <c r="S754" i="3"/>
  <c r="X754" i="3"/>
  <c r="Z754" i="3"/>
  <c r="U754" i="3" l="1"/>
  <c r="P754" i="3"/>
  <c r="T754" i="3"/>
  <c r="R754" i="3"/>
  <c r="V754" i="3" l="1"/>
  <c r="Y755" i="3"/>
  <c r="W755" i="3"/>
  <c r="O755" i="3" l="1"/>
  <c r="Q755" i="3"/>
  <c r="S755" i="3"/>
  <c r="X755" i="3"/>
  <c r="Z755" i="3"/>
  <c r="U755" i="3" l="1"/>
  <c r="P755" i="3"/>
  <c r="R755" i="3"/>
  <c r="T755" i="3"/>
  <c r="V755" i="3" l="1"/>
  <c r="W756" i="3"/>
  <c r="Y756" i="3"/>
  <c r="Q756" i="3" l="1"/>
  <c r="S756" i="3"/>
  <c r="X756" i="3"/>
  <c r="Z756" i="3"/>
  <c r="O756" i="3" s="1"/>
  <c r="U756" i="3" s="1"/>
  <c r="Y757" i="3" l="1"/>
  <c r="W757" i="3"/>
  <c r="P756" i="3"/>
  <c r="V756" i="3" s="1"/>
  <c r="Z757" i="3" s="1"/>
  <c r="R756" i="3"/>
  <c r="T756" i="3"/>
  <c r="P757" i="3" l="1"/>
  <c r="R757" i="3"/>
  <c r="T757" i="3"/>
  <c r="X757" i="3"/>
  <c r="O757" i="3"/>
  <c r="Q757" i="3"/>
  <c r="S757" i="3"/>
  <c r="U757" i="3" l="1"/>
  <c r="V757" i="3"/>
  <c r="X758" i="3" s="1"/>
  <c r="Z758" i="3" l="1"/>
  <c r="Y758" i="3"/>
  <c r="W758" i="3"/>
  <c r="O758" i="3" l="1"/>
  <c r="Q758" i="3"/>
  <c r="S758" i="3"/>
  <c r="P758" i="3"/>
  <c r="R758" i="3"/>
  <c r="T758" i="3"/>
  <c r="U758" i="3" l="1"/>
  <c r="V758" i="3"/>
  <c r="X759" i="3" l="1"/>
  <c r="Z759" i="3"/>
  <c r="Y759" i="3"/>
  <c r="W759" i="3"/>
  <c r="P759" i="3" l="1"/>
  <c r="R759" i="3"/>
  <c r="T759" i="3"/>
  <c r="O759" i="3"/>
  <c r="Q759" i="3"/>
  <c r="S759" i="3"/>
  <c r="V759" i="3" l="1"/>
  <c r="U759" i="3"/>
  <c r="W760" i="3" l="1"/>
  <c r="Y760" i="3"/>
  <c r="Z760" i="3"/>
  <c r="X760" i="3"/>
  <c r="O760" i="3" l="1"/>
  <c r="Q760" i="3"/>
  <c r="S760" i="3"/>
  <c r="P760" i="3"/>
  <c r="R760" i="3"/>
  <c r="T760" i="3"/>
  <c r="U760" i="3" l="1"/>
  <c r="V760" i="3"/>
  <c r="X761" i="3" l="1"/>
  <c r="Z761" i="3"/>
  <c r="Y761" i="3"/>
  <c r="W761" i="3"/>
  <c r="P761" i="3" l="1"/>
  <c r="R761" i="3"/>
  <c r="T761" i="3"/>
  <c r="O761" i="3"/>
  <c r="Q761" i="3"/>
  <c r="S761" i="3"/>
  <c r="V761" i="3" l="1"/>
  <c r="U761" i="3"/>
  <c r="W762" i="3" l="1"/>
  <c r="Y762" i="3"/>
  <c r="Z762" i="3"/>
  <c r="X762" i="3"/>
  <c r="O762" i="3" l="1"/>
  <c r="S762" i="3"/>
  <c r="Q762" i="3"/>
  <c r="P762" i="3"/>
  <c r="R762" i="3"/>
  <c r="T762" i="3"/>
  <c r="U762" i="3" l="1"/>
  <c r="V762" i="3"/>
  <c r="X763" i="3" l="1"/>
  <c r="Z763" i="3"/>
  <c r="Y763" i="3"/>
  <c r="W763" i="3"/>
  <c r="P763" i="3" l="1"/>
  <c r="R763" i="3"/>
  <c r="T763" i="3"/>
  <c r="O763" i="3"/>
  <c r="Q763" i="3"/>
  <c r="S763" i="3"/>
  <c r="V763" i="3" l="1"/>
  <c r="U763" i="3"/>
  <c r="W764" i="3" l="1"/>
  <c r="Y764" i="3"/>
  <c r="Z764" i="3"/>
  <c r="X764" i="3"/>
  <c r="O764" i="3" l="1"/>
  <c r="Q764" i="3"/>
  <c r="S764" i="3"/>
  <c r="P764" i="3"/>
  <c r="R764" i="3"/>
  <c r="T764" i="3"/>
  <c r="U764" i="3" l="1"/>
  <c r="V764" i="3"/>
  <c r="X765" i="3" l="1"/>
  <c r="Z765" i="3"/>
  <c r="Y765" i="3"/>
  <c r="W765" i="3"/>
  <c r="P765" i="3" l="1"/>
  <c r="R765" i="3"/>
  <c r="T765" i="3"/>
  <c r="O765" i="3"/>
  <c r="Q765" i="3"/>
  <c r="S765" i="3"/>
  <c r="V765" i="3" l="1"/>
  <c r="U765" i="3"/>
  <c r="W766" i="3" l="1"/>
  <c r="Y766" i="3"/>
  <c r="Z766" i="3"/>
  <c r="X766" i="3"/>
  <c r="O766" i="3" l="1"/>
  <c r="Q766" i="3"/>
  <c r="S766" i="3"/>
  <c r="P766" i="3"/>
  <c r="R766" i="3"/>
  <c r="T766" i="3"/>
  <c r="U766" i="3" l="1"/>
  <c r="V766" i="3"/>
  <c r="X767" i="3" l="1"/>
  <c r="Z767" i="3"/>
  <c r="Y767" i="3"/>
  <c r="W767" i="3"/>
  <c r="P767" i="3" l="1"/>
  <c r="R767" i="3"/>
  <c r="T767" i="3"/>
  <c r="O767" i="3"/>
  <c r="Q767" i="3"/>
  <c r="S767" i="3"/>
  <c r="V767" i="3" l="1"/>
  <c r="U767" i="3"/>
  <c r="W768" i="3" l="1"/>
  <c r="Y768" i="3"/>
  <c r="Z768" i="3"/>
  <c r="X768" i="3"/>
  <c r="O768" i="3" l="1"/>
  <c r="Q768" i="3"/>
  <c r="S768" i="3"/>
  <c r="P768" i="3"/>
  <c r="T768" i="3"/>
  <c r="R768" i="3"/>
  <c r="U768" i="3" l="1"/>
  <c r="V768" i="3"/>
  <c r="X769" i="3" l="1"/>
  <c r="Z769" i="3"/>
  <c r="Y769" i="3"/>
  <c r="W769" i="3"/>
  <c r="P769" i="3" l="1"/>
  <c r="R769" i="3"/>
  <c r="T769" i="3"/>
  <c r="O769" i="3"/>
  <c r="Q769" i="3"/>
  <c r="S769" i="3"/>
  <c r="V769" i="3" l="1"/>
  <c r="U769" i="3"/>
  <c r="W770" i="3" l="1"/>
  <c r="Y770" i="3"/>
  <c r="Z770" i="3"/>
  <c r="X770" i="3"/>
  <c r="O770" i="3" l="1"/>
  <c r="Q770" i="3"/>
  <c r="S770" i="3"/>
  <c r="P770" i="3"/>
  <c r="R770" i="3"/>
  <c r="T770" i="3"/>
  <c r="U770" i="3" l="1"/>
  <c r="V770" i="3"/>
  <c r="X771" i="3" l="1"/>
  <c r="Z771" i="3"/>
  <c r="Y771" i="3"/>
  <c r="W771" i="3"/>
  <c r="P771" i="3" l="1"/>
  <c r="T771" i="3"/>
  <c r="R771" i="3"/>
  <c r="O771" i="3"/>
  <c r="Q771" i="3"/>
  <c r="S771" i="3"/>
  <c r="V771" i="3" l="1"/>
  <c r="U771" i="3"/>
  <c r="W772" i="3" l="1"/>
  <c r="Y772" i="3"/>
  <c r="Z772" i="3"/>
  <c r="X772" i="3"/>
  <c r="O772" i="3" l="1"/>
  <c r="Q772" i="3"/>
  <c r="S772" i="3"/>
  <c r="P772" i="3"/>
  <c r="T772" i="3"/>
  <c r="R772" i="3"/>
  <c r="U772" i="3" l="1"/>
  <c r="V772" i="3"/>
  <c r="X773" i="3" l="1"/>
  <c r="Z773" i="3"/>
  <c r="Y773" i="3"/>
  <c r="W773" i="3"/>
  <c r="P773" i="3" l="1"/>
  <c r="R773" i="3"/>
  <c r="T773" i="3"/>
  <c r="O773" i="3"/>
  <c r="Q773" i="3"/>
  <c r="S773" i="3"/>
  <c r="V773" i="3" l="1"/>
  <c r="U773" i="3"/>
  <c r="W774" i="3" l="1"/>
  <c r="Y774" i="3"/>
  <c r="Z774" i="3"/>
  <c r="X774" i="3"/>
  <c r="O774" i="3" l="1"/>
  <c r="Q774" i="3"/>
  <c r="S774" i="3"/>
  <c r="P774" i="3"/>
  <c r="R774" i="3"/>
  <c r="T774" i="3"/>
  <c r="U774" i="3" l="1"/>
  <c r="V774" i="3"/>
  <c r="X775" i="3" l="1"/>
  <c r="Z775" i="3"/>
  <c r="Y775" i="3"/>
  <c r="W775" i="3"/>
  <c r="P775" i="3" l="1"/>
  <c r="R775" i="3"/>
  <c r="T775" i="3"/>
  <c r="O775" i="3"/>
  <c r="Q775" i="3"/>
  <c r="S775" i="3"/>
  <c r="V775" i="3" l="1"/>
  <c r="U775" i="3"/>
  <c r="W776" i="3" l="1"/>
  <c r="Y776" i="3"/>
  <c r="Z776" i="3"/>
  <c r="X776" i="3"/>
  <c r="O776" i="3" l="1"/>
  <c r="Q776" i="3"/>
  <c r="S776" i="3"/>
  <c r="P776" i="3"/>
  <c r="R776" i="3"/>
  <c r="T776" i="3"/>
  <c r="U776" i="3" l="1"/>
  <c r="V776" i="3"/>
  <c r="Z777" i="3" l="1"/>
  <c r="X777" i="3"/>
  <c r="Y777" i="3"/>
  <c r="W777" i="3"/>
  <c r="O777" i="3" l="1"/>
  <c r="Q777" i="3"/>
  <c r="S777" i="3"/>
  <c r="P777" i="3"/>
  <c r="R777" i="3"/>
  <c r="T777" i="3"/>
  <c r="U777" i="3" l="1"/>
  <c r="V777" i="3"/>
  <c r="X778" i="3" l="1"/>
  <c r="Z778" i="3"/>
  <c r="W778" i="3"/>
  <c r="Y778" i="3"/>
  <c r="P778" i="3" l="1"/>
  <c r="R778" i="3"/>
  <c r="T778" i="3"/>
  <c r="O778" i="3"/>
  <c r="U778" i="3" s="1"/>
  <c r="W779" i="3" s="1"/>
  <c r="Q778" i="3"/>
  <c r="S778" i="3"/>
  <c r="Y779" i="3" l="1"/>
  <c r="V778" i="3"/>
  <c r="Z779" i="3" l="1"/>
  <c r="X779" i="3"/>
  <c r="O779" i="3"/>
  <c r="Q779" i="3"/>
  <c r="S779" i="3"/>
  <c r="U779" i="3" l="1"/>
  <c r="P779" i="3"/>
  <c r="R779" i="3"/>
  <c r="T779" i="3"/>
  <c r="V779" i="3" l="1"/>
  <c r="W780" i="3"/>
  <c r="Y780" i="3"/>
  <c r="O780" i="3" l="1"/>
  <c r="Q780" i="3"/>
  <c r="S780" i="3"/>
  <c r="X780" i="3"/>
  <c r="Z780" i="3"/>
  <c r="U780" i="3" l="1"/>
  <c r="P780" i="3"/>
  <c r="R780" i="3"/>
  <c r="T780" i="3"/>
  <c r="V780" i="3" l="1"/>
  <c r="Y781" i="3"/>
  <c r="W781" i="3"/>
  <c r="X781" i="3" l="1"/>
  <c r="Z781" i="3"/>
  <c r="P781" i="3" l="1"/>
  <c r="R781" i="3"/>
  <c r="T781" i="3"/>
  <c r="Q781" i="3"/>
  <c r="O781" i="3"/>
  <c r="U781" i="3" s="1"/>
  <c r="S781" i="3"/>
  <c r="W782" i="3" l="1"/>
  <c r="Y782" i="3"/>
  <c r="V781" i="3"/>
  <c r="Z782" i="3" l="1"/>
  <c r="Q782" i="3" s="1"/>
  <c r="X782" i="3"/>
  <c r="P782" i="3" l="1"/>
  <c r="R782" i="3"/>
  <c r="T782" i="3"/>
  <c r="S782" i="3"/>
  <c r="O782" i="3"/>
  <c r="V782" i="3" l="1"/>
  <c r="U782" i="3"/>
  <c r="Y783" i="3" l="1"/>
  <c r="W783" i="3"/>
  <c r="X783" i="3"/>
  <c r="Z783" i="3"/>
  <c r="P783" i="3" l="1"/>
  <c r="R783" i="3"/>
  <c r="T783" i="3"/>
  <c r="O783" i="3"/>
  <c r="Q783" i="3"/>
  <c r="S783" i="3"/>
  <c r="U783" i="3" l="1"/>
  <c r="V783" i="3"/>
  <c r="Z784" i="3" l="1"/>
  <c r="X784" i="3"/>
  <c r="W784" i="3"/>
  <c r="Y784" i="3"/>
  <c r="O784" i="3" l="1"/>
  <c r="Q784" i="3"/>
  <c r="S784" i="3"/>
  <c r="P784" i="3"/>
  <c r="R784" i="3"/>
  <c r="T784" i="3"/>
  <c r="V784" i="3" l="1"/>
  <c r="U784" i="3"/>
  <c r="Y785" i="3" l="1"/>
  <c r="W785" i="3"/>
  <c r="X785" i="3"/>
  <c r="Z785" i="3"/>
  <c r="P785" i="3" l="1"/>
  <c r="R785" i="3"/>
  <c r="T785" i="3"/>
  <c r="O785" i="3"/>
  <c r="Q785" i="3"/>
  <c r="S785" i="3"/>
  <c r="V785" i="3" l="1"/>
  <c r="U785" i="3"/>
  <c r="W786" i="3" l="1"/>
  <c r="Y786" i="3"/>
  <c r="Z786" i="3"/>
  <c r="X786" i="3"/>
  <c r="O786" i="3" l="1"/>
  <c r="Q786" i="3"/>
  <c r="S786" i="3"/>
  <c r="P786" i="3"/>
  <c r="T786" i="3"/>
  <c r="R786" i="3"/>
  <c r="U786" i="3" l="1"/>
  <c r="V786" i="3"/>
  <c r="Z787" i="3" l="1"/>
  <c r="X787" i="3"/>
  <c r="Y787" i="3"/>
  <c r="W787" i="3"/>
  <c r="O787" i="3" l="1"/>
  <c r="Q787" i="3"/>
  <c r="S787" i="3"/>
  <c r="P787" i="3"/>
  <c r="R787" i="3"/>
  <c r="T787" i="3"/>
  <c r="U787" i="3" l="1"/>
  <c r="V787" i="3"/>
  <c r="X788" i="3" l="1"/>
  <c r="Z788" i="3"/>
  <c r="W788" i="3"/>
  <c r="Y788" i="3"/>
  <c r="O788" i="3" l="1"/>
  <c r="Q788" i="3"/>
  <c r="S788" i="3"/>
  <c r="P788" i="3"/>
  <c r="R788" i="3"/>
  <c r="T788" i="3"/>
  <c r="U788" i="3" l="1"/>
  <c r="V788" i="3"/>
  <c r="X789" i="3" l="1"/>
  <c r="Z789" i="3"/>
  <c r="W789" i="3"/>
  <c r="Y789" i="3"/>
  <c r="P789" i="3" l="1"/>
  <c r="R789" i="3"/>
  <c r="T789" i="3"/>
  <c r="O789" i="3"/>
  <c r="U789" i="3" s="1"/>
  <c r="W790" i="3" s="1"/>
  <c r="Q789" i="3"/>
  <c r="S789" i="3"/>
  <c r="Y790" i="3" l="1"/>
  <c r="V789" i="3"/>
  <c r="Z790" i="3" l="1"/>
  <c r="X790" i="3"/>
  <c r="O790" i="3"/>
  <c r="Q790" i="3"/>
  <c r="S790" i="3"/>
  <c r="U790" i="3" l="1"/>
  <c r="P790" i="3"/>
  <c r="T790" i="3"/>
  <c r="R790" i="3"/>
  <c r="V790" i="3" l="1"/>
  <c r="W791" i="3"/>
  <c r="Y791" i="3"/>
  <c r="O791" i="3" l="1"/>
  <c r="Q791" i="3"/>
  <c r="S791" i="3"/>
  <c r="X791" i="3"/>
  <c r="Z791" i="3"/>
  <c r="U791" i="3" l="1"/>
  <c r="P791" i="3"/>
  <c r="R791" i="3"/>
  <c r="T791" i="3"/>
  <c r="V791" i="3" l="1"/>
  <c r="Y792" i="3"/>
  <c r="W792" i="3"/>
  <c r="O792" i="3" l="1"/>
  <c r="Q792" i="3"/>
  <c r="S792" i="3"/>
  <c r="X792" i="3"/>
  <c r="Z792" i="3"/>
  <c r="U792" i="3" l="1"/>
  <c r="P792" i="3"/>
  <c r="R792" i="3"/>
  <c r="T792" i="3"/>
  <c r="V792" i="3" l="1"/>
  <c r="W793" i="3"/>
  <c r="Y793" i="3"/>
  <c r="O793" i="3" l="1"/>
  <c r="Q793" i="3"/>
  <c r="S793" i="3"/>
  <c r="X793" i="3"/>
  <c r="Z793" i="3"/>
  <c r="U793" i="3" l="1"/>
  <c r="P793" i="3"/>
  <c r="R793" i="3"/>
  <c r="T793" i="3"/>
  <c r="V793" i="3" l="1"/>
  <c r="Y794" i="3"/>
  <c r="W794" i="3"/>
  <c r="O794" i="3" l="1"/>
  <c r="Q794" i="3"/>
  <c r="S794" i="3"/>
  <c r="X794" i="3"/>
  <c r="Z794" i="3"/>
  <c r="U794" i="3" l="1"/>
  <c r="P794" i="3"/>
  <c r="R794" i="3"/>
  <c r="T794" i="3"/>
  <c r="V794" i="3" l="1"/>
  <c r="W795" i="3"/>
  <c r="Y795" i="3"/>
  <c r="O795" i="3" l="1"/>
  <c r="Q795" i="3"/>
  <c r="S795" i="3"/>
  <c r="X795" i="3"/>
  <c r="Z795" i="3"/>
  <c r="U795" i="3" l="1"/>
  <c r="P795" i="3"/>
  <c r="R795" i="3"/>
  <c r="T795" i="3"/>
  <c r="V795" i="3" l="1"/>
  <c r="Y796" i="3"/>
  <c r="W796" i="3"/>
  <c r="O796" i="3" l="1"/>
  <c r="Q796" i="3"/>
  <c r="S796" i="3"/>
  <c r="X796" i="3"/>
  <c r="Z796" i="3"/>
  <c r="U796" i="3" l="1"/>
  <c r="P796" i="3"/>
  <c r="R796" i="3"/>
  <c r="T796" i="3"/>
  <c r="V796" i="3" l="1"/>
  <c r="Y797" i="3"/>
  <c r="W797" i="3"/>
  <c r="O797" i="3" l="1"/>
  <c r="Q797" i="3"/>
  <c r="S797" i="3"/>
  <c r="X797" i="3"/>
  <c r="Z797" i="3"/>
  <c r="U797" i="3" l="1"/>
  <c r="P797" i="3"/>
  <c r="R797" i="3"/>
  <c r="T797" i="3"/>
  <c r="V797" i="3" l="1"/>
  <c r="W798" i="3"/>
  <c r="Y798" i="3"/>
  <c r="O798" i="3" l="1"/>
  <c r="Q798" i="3"/>
  <c r="S798" i="3"/>
  <c r="X798" i="3"/>
  <c r="Z798" i="3"/>
  <c r="U798" i="3" l="1"/>
  <c r="P798" i="3"/>
  <c r="R798" i="3"/>
  <c r="T798" i="3"/>
  <c r="V798" i="3" l="1"/>
  <c r="Y799" i="3"/>
  <c r="W799" i="3"/>
  <c r="O799" i="3" l="1"/>
  <c r="Q799" i="3"/>
  <c r="S799" i="3"/>
  <c r="X799" i="3"/>
  <c r="Z799" i="3"/>
  <c r="U799" i="3" l="1"/>
  <c r="P799" i="3"/>
  <c r="T799" i="3"/>
  <c r="R799" i="3"/>
  <c r="V799" i="3" l="1"/>
  <c r="W800" i="3"/>
  <c r="Y800" i="3"/>
  <c r="O800" i="3" l="1"/>
  <c r="Q800" i="3"/>
  <c r="S800" i="3"/>
  <c r="X800" i="3"/>
  <c r="Z800" i="3"/>
  <c r="U800" i="3" l="1"/>
  <c r="P800" i="3"/>
  <c r="R800" i="3"/>
  <c r="T800" i="3"/>
  <c r="V800" i="3" l="1"/>
  <c r="Y801" i="3"/>
  <c r="W801" i="3"/>
  <c r="O801" i="3" l="1"/>
  <c r="Q801" i="3"/>
  <c r="S801" i="3"/>
  <c r="X801" i="3"/>
  <c r="Z801" i="3"/>
  <c r="U801" i="3" l="1"/>
  <c r="P801" i="3"/>
  <c r="R801" i="3"/>
  <c r="T801" i="3"/>
  <c r="V801" i="3" l="1"/>
  <c r="W802" i="3"/>
  <c r="Y802" i="3"/>
  <c r="Q802" i="3" l="1"/>
  <c r="S802" i="3"/>
  <c r="X802" i="3"/>
  <c r="Z802" i="3"/>
  <c r="O802" i="3" s="1"/>
  <c r="U802" i="3" s="1"/>
  <c r="Y803" i="3" l="1"/>
  <c r="W803" i="3"/>
  <c r="P802" i="3"/>
  <c r="R802" i="3"/>
  <c r="T802" i="3"/>
  <c r="V802" i="3" l="1"/>
  <c r="Z803" i="3" l="1"/>
  <c r="X803" i="3"/>
  <c r="P803" i="3" l="1"/>
  <c r="R803" i="3"/>
  <c r="T803" i="3"/>
  <c r="O803" i="3"/>
  <c r="U803" i="3" s="1"/>
  <c r="Q803" i="3"/>
  <c r="S803" i="3"/>
  <c r="V803" i="3" l="1"/>
  <c r="W804" i="3"/>
  <c r="Y804" i="3"/>
  <c r="O804" i="3" l="1"/>
  <c r="Q804" i="3"/>
  <c r="S804" i="3"/>
  <c r="X804" i="3"/>
  <c r="Z804" i="3"/>
  <c r="U804" i="3" l="1"/>
  <c r="P804" i="3"/>
  <c r="T804" i="3"/>
  <c r="R804" i="3"/>
  <c r="V804" i="3" l="1"/>
  <c r="Y805" i="3"/>
  <c r="W805" i="3"/>
  <c r="O805" i="3" l="1"/>
  <c r="Q805" i="3"/>
  <c r="S805" i="3"/>
  <c r="X805" i="3"/>
  <c r="Z805" i="3"/>
  <c r="U805" i="3" l="1"/>
  <c r="P805" i="3"/>
  <c r="R805" i="3"/>
  <c r="T805" i="3"/>
  <c r="V805" i="3" l="1"/>
  <c r="W806" i="3"/>
  <c r="Y806" i="3"/>
  <c r="O806" i="3" l="1"/>
  <c r="Q806" i="3"/>
  <c r="S806" i="3"/>
  <c r="X806" i="3"/>
  <c r="Z806" i="3"/>
  <c r="U806" i="3" l="1"/>
  <c r="P806" i="3"/>
  <c r="R806" i="3"/>
  <c r="T806" i="3"/>
  <c r="V806" i="3" l="1"/>
  <c r="Y807" i="3"/>
  <c r="W807" i="3"/>
  <c r="O807" i="3" l="1"/>
  <c r="Q807" i="3"/>
  <c r="S807" i="3"/>
  <c r="X807" i="3"/>
  <c r="Z807" i="3"/>
  <c r="U807" i="3" l="1"/>
  <c r="P807" i="3"/>
  <c r="R807" i="3"/>
  <c r="T807" i="3"/>
  <c r="V807" i="3" l="1"/>
  <c r="W808" i="3"/>
  <c r="Y808" i="3"/>
  <c r="O808" i="3" l="1"/>
  <c r="Q808" i="3"/>
  <c r="S808" i="3"/>
  <c r="X808" i="3"/>
  <c r="Z808" i="3"/>
  <c r="U808" i="3" l="1"/>
  <c r="P808" i="3"/>
  <c r="R808" i="3"/>
  <c r="T808" i="3"/>
  <c r="V808" i="3" l="1"/>
  <c r="Y809" i="3"/>
  <c r="W809" i="3"/>
  <c r="O809" i="3" l="1"/>
  <c r="U809" i="3" s="1"/>
  <c r="W810" i="3" s="1"/>
  <c r="S809" i="3"/>
  <c r="Q809" i="3"/>
  <c r="X809" i="3"/>
  <c r="Z809" i="3"/>
  <c r="Y810" i="3" l="1"/>
  <c r="P809" i="3"/>
  <c r="R809" i="3"/>
  <c r="T809" i="3"/>
  <c r="V809" i="3" l="1"/>
  <c r="X810" i="3" l="1"/>
  <c r="Z810" i="3"/>
  <c r="P810" i="3" l="1"/>
  <c r="R810" i="3"/>
  <c r="T810" i="3"/>
  <c r="O810" i="3"/>
  <c r="U810" i="3" s="1"/>
  <c r="S810" i="3"/>
  <c r="Q810" i="3"/>
  <c r="W811" i="3" l="1"/>
  <c r="Y811" i="3"/>
  <c r="V810" i="3"/>
  <c r="Z811" i="3" l="1"/>
  <c r="Q811" i="3" s="1"/>
  <c r="X811" i="3"/>
  <c r="P811" i="3" l="1"/>
  <c r="R811" i="3"/>
  <c r="T811" i="3"/>
  <c r="S811" i="3"/>
  <c r="O811" i="3"/>
  <c r="V811" i="3" l="1"/>
  <c r="U811" i="3"/>
  <c r="Y812" i="3" l="1"/>
  <c r="W812" i="3"/>
  <c r="X812" i="3"/>
  <c r="Z812" i="3"/>
  <c r="P812" i="3" l="1"/>
  <c r="R812" i="3"/>
  <c r="T812" i="3"/>
  <c r="O812" i="3"/>
  <c r="Q812" i="3"/>
  <c r="S812" i="3"/>
  <c r="V812" i="3" l="1"/>
  <c r="U812" i="3"/>
  <c r="W813" i="3" l="1"/>
  <c r="Y813" i="3"/>
  <c r="X813" i="3"/>
  <c r="Z813" i="3"/>
  <c r="O813" i="3" l="1"/>
  <c r="Q813" i="3"/>
  <c r="S813" i="3"/>
  <c r="P813" i="3"/>
  <c r="V813" i="3" s="1"/>
  <c r="X814" i="3" s="1"/>
  <c r="R813" i="3"/>
  <c r="T813" i="3"/>
  <c r="Z814" i="3" l="1"/>
  <c r="U813" i="3"/>
  <c r="Y814" i="3" l="1"/>
  <c r="W814" i="3"/>
  <c r="P814" i="3"/>
  <c r="R814" i="3"/>
  <c r="T814" i="3"/>
  <c r="V814" i="3" l="1"/>
  <c r="O814" i="3"/>
  <c r="Q814" i="3"/>
  <c r="S814" i="3"/>
  <c r="U814" i="3" l="1"/>
  <c r="X815" i="3"/>
  <c r="Z815" i="3"/>
  <c r="T815" i="3" l="1"/>
  <c r="R815" i="3"/>
  <c r="W815" i="3"/>
  <c r="Y815" i="3"/>
  <c r="P815" i="3" s="1"/>
  <c r="V815" i="3" s="1"/>
  <c r="Z816" i="3" l="1"/>
  <c r="X816" i="3"/>
  <c r="O815" i="3"/>
  <c r="Q815" i="3"/>
  <c r="S815" i="3"/>
  <c r="U815" i="3" l="1"/>
  <c r="Y816" i="3" l="1"/>
  <c r="W816" i="3"/>
  <c r="O816" i="3" l="1"/>
  <c r="Q816" i="3"/>
  <c r="S816" i="3"/>
  <c r="P816" i="3"/>
  <c r="V816" i="3" s="1"/>
  <c r="R816" i="3"/>
  <c r="T816" i="3"/>
  <c r="U816" i="3" l="1"/>
  <c r="X817" i="3"/>
  <c r="Z817" i="3"/>
  <c r="P817" i="3" l="1"/>
  <c r="R817" i="3"/>
  <c r="T817" i="3"/>
  <c r="W817" i="3"/>
  <c r="Y817" i="3"/>
  <c r="V817" i="3" l="1"/>
  <c r="O817" i="3"/>
  <c r="Q817" i="3"/>
  <c r="S817" i="3"/>
  <c r="U817" i="3" l="1"/>
  <c r="X818" i="3"/>
  <c r="Z818" i="3"/>
  <c r="P818" i="3" l="1"/>
  <c r="R818" i="3"/>
  <c r="T818" i="3"/>
  <c r="W818" i="3"/>
  <c r="Y818" i="3"/>
  <c r="V818" i="3" l="1"/>
  <c r="O818" i="3"/>
  <c r="Q818" i="3"/>
  <c r="S818" i="3"/>
  <c r="U818" i="3" l="1"/>
  <c r="Z819" i="3"/>
  <c r="X819" i="3"/>
  <c r="P819" i="3" l="1"/>
  <c r="R819" i="3"/>
  <c r="T819" i="3"/>
  <c r="W819" i="3"/>
  <c r="Y819" i="3"/>
  <c r="V819" i="3" l="1"/>
  <c r="O819" i="3"/>
  <c r="Q819" i="3"/>
  <c r="S819" i="3"/>
  <c r="U819" i="3" l="1"/>
  <c r="X820" i="3"/>
  <c r="Z820" i="3"/>
  <c r="P820" i="3" l="1"/>
  <c r="R820" i="3"/>
  <c r="T820" i="3"/>
  <c r="W820" i="3"/>
  <c r="Y820" i="3"/>
  <c r="V820" i="3" l="1"/>
  <c r="O820" i="3"/>
  <c r="Q820" i="3"/>
  <c r="S820" i="3"/>
  <c r="U820" i="3" l="1"/>
  <c r="Z821" i="3"/>
  <c r="X821" i="3"/>
  <c r="P821" i="3" l="1"/>
  <c r="T821" i="3"/>
  <c r="R821" i="3"/>
  <c r="W821" i="3"/>
  <c r="Y821" i="3"/>
  <c r="V821" i="3" l="1"/>
  <c r="O821" i="3"/>
  <c r="Q821" i="3"/>
  <c r="S821" i="3"/>
  <c r="U821" i="3" l="1"/>
  <c r="X822" i="3"/>
  <c r="Z822" i="3"/>
  <c r="P822" i="3" l="1"/>
  <c r="R822" i="3"/>
  <c r="T822" i="3"/>
  <c r="W822" i="3"/>
  <c r="Y822" i="3"/>
  <c r="V822" i="3" l="1"/>
  <c r="O822" i="3"/>
  <c r="Q822" i="3"/>
  <c r="S822" i="3"/>
  <c r="U822" i="3" l="1"/>
  <c r="Z823" i="3"/>
  <c r="X823" i="3"/>
  <c r="P823" i="3" l="1"/>
  <c r="T823" i="3"/>
  <c r="R823" i="3"/>
  <c r="W823" i="3"/>
  <c r="Y823" i="3"/>
  <c r="V823" i="3" l="1"/>
  <c r="O823" i="3"/>
  <c r="Q823" i="3"/>
  <c r="S823" i="3"/>
  <c r="U823" i="3" l="1"/>
  <c r="X824" i="3"/>
  <c r="Z824" i="3"/>
  <c r="P824" i="3" l="1"/>
  <c r="R824" i="3"/>
  <c r="T824" i="3"/>
  <c r="W824" i="3"/>
  <c r="Y824" i="3"/>
  <c r="V824" i="3" l="1"/>
  <c r="O824" i="3"/>
  <c r="Q824" i="3"/>
  <c r="S824" i="3"/>
  <c r="U824" i="3" l="1"/>
  <c r="Z825" i="3"/>
  <c r="X825" i="3"/>
  <c r="P825" i="3" l="1"/>
  <c r="R825" i="3"/>
  <c r="T825" i="3"/>
  <c r="W825" i="3"/>
  <c r="Y825" i="3"/>
  <c r="V825" i="3" l="1"/>
  <c r="O825" i="3"/>
  <c r="Q825" i="3"/>
  <c r="S825" i="3"/>
  <c r="U825" i="3" l="1"/>
  <c r="X826" i="3"/>
  <c r="Z826" i="3"/>
  <c r="R826" i="3" l="1"/>
  <c r="T826" i="3"/>
  <c r="W826" i="3"/>
  <c r="Y826" i="3"/>
  <c r="P826" i="3" s="1"/>
  <c r="V826" i="3" s="1"/>
  <c r="Z827" i="3" l="1"/>
  <c r="X827" i="3"/>
  <c r="O826" i="3"/>
  <c r="Q826" i="3"/>
  <c r="S826" i="3"/>
  <c r="U826" i="3" l="1"/>
  <c r="Y827" i="3" l="1"/>
  <c r="W827" i="3"/>
  <c r="O827" i="3" l="1"/>
  <c r="Q827" i="3"/>
  <c r="S827" i="3"/>
  <c r="P827" i="3"/>
  <c r="V827" i="3" s="1"/>
  <c r="R827" i="3"/>
  <c r="T827" i="3"/>
  <c r="U827" i="3" l="1"/>
  <c r="X828" i="3"/>
  <c r="Z828" i="3"/>
  <c r="T828" i="3" l="1"/>
  <c r="R828" i="3"/>
  <c r="W828" i="3"/>
  <c r="Y828" i="3"/>
  <c r="P828" i="3" s="1"/>
  <c r="V828" i="3" s="1"/>
  <c r="Z829" i="3" l="1"/>
  <c r="X829" i="3"/>
  <c r="O828" i="3"/>
  <c r="Q828" i="3"/>
  <c r="S828" i="3"/>
  <c r="U828" i="3" l="1"/>
  <c r="Y829" i="3" l="1"/>
  <c r="W829" i="3"/>
  <c r="O829" i="3" l="1"/>
  <c r="Q829" i="3"/>
  <c r="S829" i="3"/>
  <c r="P829" i="3"/>
  <c r="V829" i="3" s="1"/>
  <c r="R829" i="3"/>
  <c r="T829" i="3"/>
  <c r="U829" i="3" l="1"/>
  <c r="X830" i="3"/>
  <c r="Z830" i="3"/>
  <c r="R830" i="3" l="1"/>
  <c r="T830" i="3"/>
  <c r="W830" i="3"/>
  <c r="Y830" i="3"/>
  <c r="P830" i="3" s="1"/>
  <c r="V830" i="3" s="1"/>
  <c r="Z831" i="3" l="1"/>
  <c r="X831" i="3"/>
  <c r="O830" i="3"/>
  <c r="Q830" i="3"/>
  <c r="S830" i="3"/>
  <c r="U830" i="3" l="1"/>
  <c r="W831" i="3" l="1"/>
  <c r="Y831" i="3"/>
  <c r="O831" i="3" l="1"/>
  <c r="Q831" i="3"/>
  <c r="S831" i="3"/>
  <c r="P831" i="3"/>
  <c r="V831" i="3" s="1"/>
  <c r="T831" i="3"/>
  <c r="R831" i="3"/>
  <c r="X832" i="3" l="1"/>
  <c r="Z832" i="3"/>
  <c r="U831" i="3"/>
  <c r="Y832" i="3" l="1"/>
  <c r="P832" i="3" s="1"/>
  <c r="W832" i="3"/>
  <c r="O832" i="3" l="1"/>
  <c r="U832" i="3" s="1"/>
  <c r="Y833" i="3" s="1"/>
  <c r="Q832" i="3"/>
  <c r="S832" i="3"/>
  <c r="T832" i="3"/>
  <c r="R832" i="3"/>
  <c r="V832" i="3" s="1"/>
  <c r="Z833" i="3" l="1"/>
  <c r="X833" i="3"/>
  <c r="O833" i="3"/>
  <c r="Q833" i="3"/>
  <c r="S833" i="3"/>
  <c r="W833" i="3"/>
  <c r="U833" i="3" l="1"/>
  <c r="Y834" i="3" s="1"/>
  <c r="W834" i="3"/>
  <c r="P833" i="3"/>
  <c r="R833" i="3"/>
  <c r="T833" i="3"/>
  <c r="V833" i="3" l="1"/>
  <c r="X834" i="3" l="1"/>
  <c r="Z834" i="3"/>
  <c r="P834" i="3" l="1"/>
  <c r="R834" i="3"/>
  <c r="T834" i="3"/>
  <c r="O834" i="3"/>
  <c r="U834" i="3" s="1"/>
  <c r="S834" i="3"/>
  <c r="Q834" i="3"/>
  <c r="W835" i="3" l="1"/>
  <c r="Y835" i="3"/>
  <c r="V834" i="3"/>
  <c r="Z835" i="3" l="1"/>
  <c r="S835" i="3" s="1"/>
  <c r="X835" i="3"/>
  <c r="P835" i="3" l="1"/>
  <c r="R835" i="3"/>
  <c r="T835" i="3"/>
  <c r="Q835" i="3"/>
  <c r="O835" i="3"/>
  <c r="V835" i="3" l="1"/>
  <c r="U835" i="3"/>
  <c r="Y836" i="3" l="1"/>
  <c r="W836" i="3"/>
  <c r="X836" i="3"/>
  <c r="Z836" i="3"/>
  <c r="P836" i="3" l="1"/>
  <c r="R836" i="3"/>
  <c r="T836" i="3"/>
  <c r="O836" i="3"/>
  <c r="Q836" i="3"/>
  <c r="S836" i="3"/>
  <c r="U836" i="3" l="1"/>
  <c r="V836" i="3"/>
  <c r="Z837" i="3" l="1"/>
  <c r="X837" i="3"/>
  <c r="W837" i="3"/>
  <c r="Y837" i="3"/>
  <c r="O837" i="3" l="1"/>
  <c r="Q837" i="3"/>
  <c r="S837" i="3"/>
  <c r="P837" i="3"/>
  <c r="R837" i="3"/>
  <c r="T837" i="3"/>
  <c r="U837" i="3" l="1"/>
  <c r="V837" i="3"/>
  <c r="X838" i="3" l="1"/>
  <c r="Z838" i="3"/>
  <c r="Y838" i="3"/>
  <c r="W838" i="3"/>
  <c r="P838" i="3" l="1"/>
  <c r="R838" i="3"/>
  <c r="T838" i="3"/>
  <c r="O838" i="3"/>
  <c r="Q838" i="3"/>
  <c r="S838" i="3"/>
  <c r="V838" i="3" l="1"/>
  <c r="U838" i="3"/>
  <c r="W839" i="3" l="1"/>
  <c r="Y839" i="3"/>
  <c r="Z839" i="3"/>
  <c r="X839" i="3"/>
  <c r="O839" i="3" l="1"/>
  <c r="Q839" i="3"/>
  <c r="S839" i="3"/>
  <c r="P839" i="3"/>
  <c r="T839" i="3"/>
  <c r="R839" i="3"/>
  <c r="U839" i="3" l="1"/>
  <c r="V839" i="3"/>
  <c r="X840" i="3" l="1"/>
  <c r="Z840" i="3"/>
  <c r="Y840" i="3"/>
  <c r="W840" i="3"/>
  <c r="P840" i="3" l="1"/>
  <c r="R840" i="3"/>
  <c r="T840" i="3"/>
  <c r="O840" i="3"/>
  <c r="Q840" i="3"/>
  <c r="S840" i="3"/>
  <c r="V840" i="3" l="1"/>
  <c r="U840" i="3"/>
  <c r="W841" i="3" l="1"/>
  <c r="Y841" i="3"/>
  <c r="Z841" i="3"/>
  <c r="X841" i="3"/>
  <c r="O841" i="3" l="1"/>
  <c r="Q841" i="3"/>
  <c r="S841" i="3"/>
  <c r="P841" i="3"/>
  <c r="T841" i="3"/>
  <c r="R841" i="3"/>
  <c r="U841" i="3" l="1"/>
  <c r="V841" i="3"/>
  <c r="X842" i="3" l="1"/>
  <c r="Z842" i="3"/>
  <c r="Y842" i="3"/>
  <c r="W842" i="3"/>
  <c r="P842" i="3" l="1"/>
  <c r="R842" i="3"/>
  <c r="T842" i="3"/>
  <c r="O842" i="3"/>
  <c r="Q842" i="3"/>
  <c r="S842" i="3"/>
  <c r="V842" i="3" l="1"/>
  <c r="U842" i="3"/>
  <c r="W843" i="3" l="1"/>
  <c r="Y843" i="3"/>
  <c r="Z843" i="3"/>
  <c r="X843" i="3"/>
  <c r="O843" i="3" l="1"/>
  <c r="Q843" i="3"/>
  <c r="S843" i="3"/>
  <c r="P843" i="3"/>
  <c r="R843" i="3"/>
  <c r="T843" i="3"/>
  <c r="U843" i="3" l="1"/>
  <c r="V843" i="3"/>
  <c r="X844" i="3" l="1"/>
  <c r="Z844" i="3"/>
  <c r="Y844" i="3"/>
  <c r="W844" i="3"/>
  <c r="P844" i="3" l="1"/>
  <c r="R844" i="3"/>
  <c r="T844" i="3"/>
  <c r="O844" i="3"/>
  <c r="Q844" i="3"/>
  <c r="S844" i="3"/>
  <c r="V844" i="3" l="1"/>
  <c r="U844" i="3"/>
  <c r="W845" i="3" l="1"/>
  <c r="Y845" i="3"/>
  <c r="Z845" i="3"/>
  <c r="X845" i="3"/>
  <c r="O845" i="3" l="1"/>
  <c r="Q845" i="3"/>
  <c r="S845" i="3"/>
  <c r="P845" i="3"/>
  <c r="T845" i="3"/>
  <c r="R845" i="3"/>
  <c r="U845" i="3" l="1"/>
  <c r="V845" i="3"/>
  <c r="X846" i="3" l="1"/>
  <c r="Z846" i="3"/>
  <c r="Y846" i="3"/>
  <c r="W846" i="3"/>
  <c r="P846" i="3" l="1"/>
  <c r="R846" i="3"/>
  <c r="T846" i="3"/>
  <c r="O846" i="3"/>
  <c r="Q846" i="3"/>
  <c r="S846" i="3"/>
  <c r="V846" i="3" l="1"/>
  <c r="U846" i="3"/>
  <c r="W847" i="3" l="1"/>
  <c r="Y847" i="3"/>
  <c r="Z847" i="3"/>
  <c r="X847" i="3"/>
  <c r="O847" i="3" l="1"/>
  <c r="Q847" i="3"/>
  <c r="S847" i="3"/>
  <c r="P847" i="3"/>
  <c r="R847" i="3"/>
  <c r="T847" i="3"/>
  <c r="U847" i="3" l="1"/>
  <c r="V847" i="3"/>
  <c r="X848" i="3" l="1"/>
  <c r="Z848" i="3"/>
  <c r="Y848" i="3"/>
  <c r="W848" i="3"/>
  <c r="P848" i="3" l="1"/>
  <c r="R848" i="3"/>
  <c r="T848" i="3"/>
  <c r="O848" i="3"/>
  <c r="Q848" i="3"/>
  <c r="S848" i="3"/>
  <c r="V848" i="3" l="1"/>
  <c r="U848" i="3"/>
  <c r="Y849" i="3" l="1"/>
  <c r="W849" i="3"/>
  <c r="Z849" i="3"/>
  <c r="X849" i="3"/>
  <c r="P849" i="3" l="1"/>
  <c r="R849" i="3"/>
  <c r="T849" i="3"/>
  <c r="O849" i="3"/>
  <c r="Q849" i="3"/>
  <c r="S849" i="3"/>
  <c r="V849" i="3" l="1"/>
  <c r="U849" i="3"/>
  <c r="W850" i="3" l="1"/>
  <c r="Y850" i="3"/>
  <c r="X850" i="3"/>
  <c r="Z850" i="3"/>
  <c r="O850" i="3" l="1"/>
  <c r="Q850" i="3"/>
  <c r="S850" i="3"/>
  <c r="P850" i="3"/>
  <c r="V850" i="3" s="1"/>
  <c r="X851" i="3" s="1"/>
  <c r="R850" i="3"/>
  <c r="T850" i="3"/>
  <c r="Z851" i="3" l="1"/>
  <c r="U850" i="3"/>
  <c r="Y851" i="3" l="1"/>
  <c r="W851" i="3"/>
  <c r="P851" i="3"/>
  <c r="R851" i="3"/>
  <c r="T851" i="3"/>
  <c r="V851" i="3" l="1"/>
  <c r="O851" i="3"/>
  <c r="Q851" i="3"/>
  <c r="S851" i="3"/>
  <c r="U851" i="3" l="1"/>
  <c r="X852" i="3"/>
  <c r="Z852" i="3"/>
  <c r="P852" i="3" l="1"/>
  <c r="R852" i="3"/>
  <c r="T852" i="3"/>
  <c r="W852" i="3"/>
  <c r="Y852" i="3"/>
  <c r="V852" i="3" l="1"/>
  <c r="O852" i="3"/>
  <c r="Q852" i="3"/>
  <c r="S852" i="3"/>
  <c r="U852" i="3" l="1"/>
  <c r="Z853" i="3"/>
  <c r="X853" i="3"/>
  <c r="P853" i="3" l="1"/>
  <c r="R853" i="3"/>
  <c r="T853" i="3"/>
  <c r="W853" i="3"/>
  <c r="Y853" i="3"/>
  <c r="V853" i="3" l="1"/>
  <c r="O853" i="3"/>
  <c r="S853" i="3"/>
  <c r="Q853" i="3"/>
  <c r="U853" i="3" l="1"/>
  <c r="X854" i="3"/>
  <c r="Z854" i="3"/>
  <c r="T854" i="3" l="1"/>
  <c r="R854" i="3"/>
  <c r="W854" i="3"/>
  <c r="Y854" i="3"/>
  <c r="P854" i="3" s="1"/>
  <c r="V854" i="3" s="1"/>
  <c r="Z855" i="3" l="1"/>
  <c r="X855" i="3"/>
  <c r="O854" i="3"/>
  <c r="Q854" i="3"/>
  <c r="S854" i="3"/>
  <c r="U854" i="3" l="1"/>
  <c r="Y855" i="3" l="1"/>
  <c r="W855" i="3"/>
  <c r="O855" i="3" l="1"/>
  <c r="Q855" i="3"/>
  <c r="S855" i="3"/>
  <c r="P855" i="3"/>
  <c r="V855" i="3" s="1"/>
  <c r="R855" i="3"/>
  <c r="T855" i="3"/>
  <c r="U855" i="3" l="1"/>
  <c r="X856" i="3"/>
  <c r="Z856" i="3"/>
  <c r="P856" i="3" l="1"/>
  <c r="T856" i="3"/>
  <c r="R856" i="3"/>
  <c r="W856" i="3"/>
  <c r="Y856" i="3"/>
  <c r="V856" i="3" l="1"/>
  <c r="O856" i="3"/>
  <c r="Q856" i="3"/>
  <c r="S856" i="3"/>
  <c r="U856" i="3" l="1"/>
  <c r="Z857" i="3"/>
  <c r="X857" i="3"/>
  <c r="P857" i="3" l="1"/>
  <c r="T857" i="3"/>
  <c r="R857" i="3"/>
  <c r="W857" i="3"/>
  <c r="Y857" i="3"/>
  <c r="V857" i="3" l="1"/>
  <c r="O857" i="3"/>
  <c r="Q857" i="3"/>
  <c r="S857" i="3"/>
  <c r="U857" i="3" l="1"/>
  <c r="X858" i="3"/>
  <c r="Z858" i="3"/>
  <c r="P858" i="3" l="1"/>
  <c r="R858" i="3"/>
  <c r="T858" i="3"/>
  <c r="W858" i="3"/>
  <c r="Y858" i="3"/>
  <c r="V858" i="3" l="1"/>
  <c r="O858" i="3"/>
  <c r="Q858" i="3"/>
  <c r="S858" i="3"/>
  <c r="U858" i="3" l="1"/>
  <c r="Z859" i="3"/>
  <c r="X859" i="3"/>
  <c r="P859" i="3" l="1"/>
  <c r="T859" i="3"/>
  <c r="R859" i="3"/>
  <c r="W859" i="3"/>
  <c r="Y859" i="3"/>
  <c r="V859" i="3" l="1"/>
  <c r="O859" i="3"/>
  <c r="Q859" i="3"/>
  <c r="S859" i="3"/>
  <c r="U859" i="3" l="1"/>
  <c r="X860" i="3"/>
  <c r="Z860" i="3"/>
  <c r="P860" i="3" l="1"/>
  <c r="R860" i="3"/>
  <c r="T860" i="3"/>
  <c r="W860" i="3"/>
  <c r="Y860" i="3"/>
  <c r="V860" i="3" l="1"/>
  <c r="O860" i="3"/>
  <c r="Q860" i="3"/>
  <c r="S860" i="3"/>
  <c r="U860" i="3" l="1"/>
  <c r="Z861" i="3"/>
  <c r="X861" i="3"/>
  <c r="P861" i="3" l="1"/>
  <c r="R861" i="3"/>
  <c r="T861" i="3"/>
  <c r="W861" i="3"/>
  <c r="Y861" i="3"/>
  <c r="V861" i="3" l="1"/>
  <c r="O861" i="3"/>
  <c r="Q861" i="3"/>
  <c r="S861" i="3"/>
  <c r="U861" i="3" l="1"/>
  <c r="X862" i="3"/>
  <c r="Z862" i="3"/>
  <c r="P862" i="3" l="1"/>
  <c r="R862" i="3"/>
  <c r="T862" i="3"/>
  <c r="W862" i="3"/>
  <c r="Y862" i="3"/>
  <c r="V862" i="3" l="1"/>
  <c r="O862" i="3"/>
  <c r="Q862" i="3"/>
  <c r="S862" i="3"/>
  <c r="U862" i="3" l="1"/>
  <c r="Z863" i="3"/>
  <c r="X863" i="3"/>
  <c r="P863" i="3" l="1"/>
  <c r="R863" i="3"/>
  <c r="T863" i="3"/>
  <c r="W863" i="3"/>
  <c r="Y863" i="3"/>
  <c r="V863" i="3" l="1"/>
  <c r="O863" i="3"/>
  <c r="Q863" i="3"/>
  <c r="S863" i="3"/>
  <c r="U863" i="3" l="1"/>
  <c r="Z864" i="3"/>
  <c r="X864" i="3"/>
  <c r="P864" i="3" l="1"/>
  <c r="R864" i="3"/>
  <c r="T864" i="3"/>
  <c r="W864" i="3"/>
  <c r="Y864" i="3"/>
  <c r="V864" i="3" l="1"/>
  <c r="O864" i="3"/>
  <c r="Q864" i="3"/>
  <c r="S864" i="3"/>
  <c r="U864" i="3" l="1"/>
  <c r="X865" i="3"/>
  <c r="Z865" i="3"/>
  <c r="P865" i="3" l="1"/>
  <c r="R865" i="3"/>
  <c r="T865" i="3"/>
  <c r="W865" i="3"/>
  <c r="Y865" i="3"/>
  <c r="V865" i="3" l="1"/>
  <c r="O865" i="3"/>
  <c r="Q865" i="3"/>
  <c r="S865" i="3"/>
  <c r="U865" i="3" l="1"/>
  <c r="Z866" i="3"/>
  <c r="X866" i="3"/>
  <c r="P866" i="3" l="1"/>
  <c r="R866" i="3"/>
  <c r="T866" i="3"/>
  <c r="W866" i="3"/>
  <c r="Y866" i="3"/>
  <c r="V866" i="3" l="1"/>
  <c r="O866" i="3"/>
  <c r="Q866" i="3"/>
  <c r="S866" i="3"/>
  <c r="U866" i="3" l="1"/>
  <c r="X867" i="3"/>
  <c r="Z867" i="3"/>
  <c r="R867" i="3" l="1"/>
  <c r="T867" i="3"/>
  <c r="W867" i="3"/>
  <c r="Y867" i="3"/>
  <c r="P867" i="3" s="1"/>
  <c r="V867" i="3" s="1"/>
  <c r="Z868" i="3" l="1"/>
  <c r="X868" i="3"/>
  <c r="O867" i="3"/>
  <c r="Q867" i="3"/>
  <c r="S867" i="3"/>
  <c r="U867" i="3" l="1"/>
  <c r="Y868" i="3" l="1"/>
  <c r="W868" i="3"/>
  <c r="O868" i="3" l="1"/>
  <c r="Q868" i="3"/>
  <c r="S868" i="3"/>
  <c r="P868" i="3"/>
  <c r="V868" i="3" s="1"/>
  <c r="R868" i="3"/>
  <c r="T868" i="3"/>
  <c r="U868" i="3" l="1"/>
  <c r="X869" i="3"/>
  <c r="Z869" i="3"/>
  <c r="P869" i="3" l="1"/>
  <c r="R869" i="3"/>
  <c r="T869" i="3"/>
  <c r="W869" i="3"/>
  <c r="Y869" i="3"/>
  <c r="V869" i="3" l="1"/>
  <c r="O869" i="3"/>
  <c r="Q869" i="3"/>
  <c r="S869" i="3"/>
  <c r="U869" i="3" l="1"/>
  <c r="Z870" i="3"/>
  <c r="X870" i="3"/>
  <c r="P870" i="3" l="1"/>
  <c r="R870" i="3"/>
  <c r="T870" i="3"/>
  <c r="W870" i="3"/>
  <c r="Y870" i="3"/>
  <c r="V870" i="3" l="1"/>
  <c r="O870" i="3"/>
  <c r="Q870" i="3"/>
  <c r="S870" i="3"/>
  <c r="U870" i="3" l="1"/>
  <c r="X871" i="3"/>
  <c r="Z871" i="3"/>
  <c r="R871" i="3" l="1"/>
  <c r="T871" i="3"/>
  <c r="W871" i="3"/>
  <c r="Y871" i="3"/>
  <c r="P871" i="3" s="1"/>
  <c r="V871" i="3" s="1"/>
  <c r="Z872" i="3" l="1"/>
  <c r="X872" i="3"/>
  <c r="O871" i="3"/>
  <c r="U871" i="3" s="1"/>
  <c r="Y872" i="3" s="1"/>
  <c r="Q871" i="3"/>
  <c r="S871" i="3"/>
  <c r="O872" i="3" l="1"/>
  <c r="S872" i="3"/>
  <c r="Q872" i="3"/>
  <c r="W872" i="3"/>
  <c r="P872" i="3"/>
  <c r="R872" i="3"/>
  <c r="T872" i="3"/>
  <c r="V872" i="3" l="1"/>
  <c r="U872" i="3"/>
  <c r="W873" i="3" s="1"/>
  <c r="Y873" i="3" l="1"/>
  <c r="Z873" i="3"/>
  <c r="X873" i="3"/>
  <c r="P873" i="3" l="1"/>
  <c r="R873" i="3"/>
  <c r="T873" i="3"/>
  <c r="O873" i="3"/>
  <c r="S873" i="3"/>
  <c r="Q873" i="3"/>
  <c r="V873" i="3" l="1"/>
  <c r="U873" i="3"/>
  <c r="W874" i="3" l="1"/>
  <c r="Y874" i="3"/>
  <c r="Z874" i="3"/>
  <c r="X874" i="3"/>
  <c r="O874" i="3" l="1"/>
  <c r="Q874" i="3"/>
  <c r="S874" i="3"/>
  <c r="P874" i="3"/>
  <c r="R874" i="3"/>
  <c r="T874" i="3"/>
  <c r="U874" i="3" l="1"/>
  <c r="V874" i="3"/>
  <c r="X875" i="3" l="1"/>
  <c r="Z875" i="3"/>
  <c r="Y875" i="3"/>
  <c r="W875" i="3"/>
  <c r="P875" i="3" l="1"/>
  <c r="R875" i="3"/>
  <c r="T875" i="3"/>
  <c r="O875" i="3"/>
  <c r="Q875" i="3"/>
  <c r="S875" i="3"/>
  <c r="V875" i="3" l="1"/>
  <c r="U875" i="3"/>
  <c r="W876" i="3" l="1"/>
  <c r="Y876" i="3"/>
  <c r="Z876" i="3"/>
  <c r="X876" i="3"/>
  <c r="O876" i="3" l="1"/>
  <c r="Q876" i="3"/>
  <c r="S876" i="3"/>
  <c r="P876" i="3"/>
  <c r="R876" i="3"/>
  <c r="T876" i="3"/>
  <c r="U876" i="3" l="1"/>
  <c r="V876" i="3"/>
  <c r="X877" i="3" l="1"/>
  <c r="Z877" i="3"/>
  <c r="Y877" i="3"/>
  <c r="W877" i="3"/>
  <c r="P877" i="3" l="1"/>
  <c r="R877" i="3"/>
  <c r="T877" i="3"/>
  <c r="O877" i="3"/>
  <c r="Q877" i="3"/>
  <c r="S877" i="3"/>
  <c r="V877" i="3" l="1"/>
  <c r="U877" i="3"/>
  <c r="W878" i="3" l="1"/>
  <c r="Y878" i="3"/>
  <c r="Z878" i="3"/>
  <c r="X878" i="3"/>
  <c r="O878" i="3" l="1"/>
  <c r="Q878" i="3"/>
  <c r="S878" i="3"/>
  <c r="P878" i="3"/>
  <c r="R878" i="3"/>
  <c r="T878" i="3"/>
  <c r="U878" i="3" l="1"/>
  <c r="V878" i="3"/>
  <c r="X879" i="3" l="1"/>
  <c r="Z879" i="3"/>
  <c r="Y879" i="3"/>
  <c r="W879" i="3"/>
  <c r="P879" i="3" l="1"/>
  <c r="T879" i="3"/>
  <c r="R879" i="3"/>
  <c r="O879" i="3"/>
  <c r="Q879" i="3"/>
  <c r="S879" i="3"/>
  <c r="V879" i="3" l="1"/>
  <c r="U879" i="3"/>
  <c r="W880" i="3" l="1"/>
  <c r="Y880" i="3"/>
  <c r="X880" i="3"/>
  <c r="Z880" i="3"/>
  <c r="P880" i="3" l="1"/>
  <c r="R880" i="3"/>
  <c r="T880" i="3"/>
  <c r="O880" i="3"/>
  <c r="U880" i="3" s="1"/>
  <c r="W881" i="3" s="1"/>
  <c r="Q880" i="3"/>
  <c r="S880" i="3"/>
  <c r="Y881" i="3" l="1"/>
  <c r="V880" i="3"/>
  <c r="Z881" i="3" l="1"/>
  <c r="X881" i="3"/>
  <c r="O881" i="3"/>
  <c r="S881" i="3"/>
  <c r="Q881" i="3"/>
  <c r="U881" i="3" l="1"/>
  <c r="P881" i="3"/>
  <c r="R881" i="3"/>
  <c r="T881" i="3"/>
  <c r="V881" i="3" l="1"/>
  <c r="W882" i="3"/>
  <c r="Y882" i="3"/>
  <c r="O882" i="3" l="1"/>
  <c r="Q882" i="3"/>
  <c r="S882" i="3"/>
  <c r="X882" i="3"/>
  <c r="Z882" i="3"/>
  <c r="U882" i="3" l="1"/>
  <c r="P882" i="3"/>
  <c r="T882" i="3"/>
  <c r="R882" i="3"/>
  <c r="V882" i="3" l="1"/>
  <c r="Y883" i="3"/>
  <c r="W883" i="3"/>
  <c r="O883" i="3" l="1"/>
  <c r="Q883" i="3"/>
  <c r="S883" i="3"/>
  <c r="X883" i="3"/>
  <c r="Z883" i="3"/>
  <c r="U883" i="3" l="1"/>
  <c r="P883" i="3"/>
  <c r="R883" i="3"/>
  <c r="T883" i="3"/>
  <c r="V883" i="3" l="1"/>
  <c r="W884" i="3"/>
  <c r="Y884" i="3"/>
  <c r="Q884" i="3" l="1"/>
  <c r="S884" i="3"/>
  <c r="X884" i="3"/>
  <c r="Z884" i="3"/>
  <c r="O884" i="3" s="1"/>
  <c r="U884" i="3" s="1"/>
  <c r="Y885" i="3" l="1"/>
  <c r="W885" i="3"/>
  <c r="P884" i="3"/>
  <c r="R884" i="3"/>
  <c r="T884" i="3"/>
  <c r="V884" i="3" l="1"/>
  <c r="Z885" i="3" l="1"/>
  <c r="X885" i="3"/>
  <c r="P885" i="3" l="1"/>
  <c r="R885" i="3"/>
  <c r="T885" i="3"/>
  <c r="O885" i="3"/>
  <c r="U885" i="3" s="1"/>
  <c r="Q885" i="3"/>
  <c r="S885" i="3"/>
  <c r="V885" i="3" l="1"/>
  <c r="W886" i="3"/>
  <c r="Y886" i="3"/>
  <c r="O886" i="3" l="1"/>
  <c r="Q886" i="3"/>
  <c r="S886" i="3"/>
  <c r="X886" i="3"/>
  <c r="Z886" i="3"/>
  <c r="U886" i="3" l="1"/>
  <c r="P886" i="3"/>
  <c r="R886" i="3"/>
  <c r="T886" i="3"/>
  <c r="V886" i="3" l="1"/>
  <c r="Y887" i="3"/>
  <c r="W887" i="3"/>
  <c r="O887" i="3" l="1"/>
  <c r="Q887" i="3"/>
  <c r="S887" i="3"/>
  <c r="X887" i="3"/>
  <c r="Z887" i="3"/>
  <c r="U887" i="3" l="1"/>
  <c r="P887" i="3"/>
  <c r="R887" i="3"/>
  <c r="T887" i="3"/>
  <c r="V887" i="3" l="1"/>
  <c r="W888" i="3"/>
  <c r="Y888" i="3"/>
  <c r="O888" i="3" l="1"/>
  <c r="Q888" i="3"/>
  <c r="S888" i="3"/>
  <c r="X888" i="3"/>
  <c r="Z888" i="3"/>
  <c r="U888" i="3" l="1"/>
  <c r="P888" i="3"/>
  <c r="R888" i="3"/>
  <c r="T888" i="3"/>
  <c r="V888" i="3" l="1"/>
  <c r="W889" i="3"/>
  <c r="Y889" i="3"/>
  <c r="S889" i="3" l="1"/>
  <c r="Q889" i="3"/>
  <c r="X889" i="3"/>
  <c r="Z889" i="3"/>
  <c r="O889" i="3" s="1"/>
  <c r="U889" i="3" s="1"/>
  <c r="Y890" i="3" l="1"/>
  <c r="W890" i="3"/>
  <c r="P889" i="3"/>
  <c r="V889" i="3" s="1"/>
  <c r="Z890" i="3" s="1"/>
  <c r="R889" i="3"/>
  <c r="T889" i="3"/>
  <c r="P890" i="3" l="1"/>
  <c r="R890" i="3"/>
  <c r="T890" i="3"/>
  <c r="X890" i="3"/>
  <c r="O890" i="3"/>
  <c r="S890" i="3"/>
  <c r="Q890" i="3"/>
  <c r="V890" i="3" l="1"/>
  <c r="X891" i="3" s="1"/>
  <c r="U890" i="3"/>
  <c r="Z891" i="3"/>
  <c r="Y891" i="3" l="1"/>
  <c r="W891" i="3"/>
  <c r="P891" i="3"/>
  <c r="R891" i="3"/>
  <c r="O891" i="3" l="1"/>
  <c r="Q891" i="3"/>
  <c r="S891" i="3"/>
  <c r="T891" i="3"/>
  <c r="V891" i="3" s="1"/>
  <c r="X892" i="3" l="1"/>
  <c r="Z892" i="3"/>
  <c r="U891" i="3"/>
  <c r="W892" i="3" l="1"/>
  <c r="Y892" i="3"/>
  <c r="O892" i="3" l="1"/>
  <c r="Q892" i="3"/>
  <c r="S892" i="3"/>
  <c r="T892" i="3"/>
  <c r="R892" i="3"/>
  <c r="P892" i="3"/>
  <c r="U892" i="3" l="1"/>
  <c r="V892" i="3"/>
  <c r="Z893" i="3" l="1"/>
  <c r="X893" i="3"/>
  <c r="Y893" i="3"/>
  <c r="W893" i="3"/>
  <c r="O893" i="3" l="1"/>
  <c r="U893" i="3" s="1"/>
  <c r="W894" i="3" s="1"/>
  <c r="Q893" i="3"/>
  <c r="S893" i="3"/>
  <c r="P893" i="3"/>
  <c r="R893" i="3"/>
  <c r="T893" i="3"/>
  <c r="V893" i="3" l="1"/>
  <c r="Y894" i="3"/>
  <c r="X894" i="3" l="1"/>
  <c r="Z894" i="3"/>
  <c r="P894" i="3" l="1"/>
  <c r="R894" i="3"/>
  <c r="T894" i="3"/>
  <c r="Q894" i="3"/>
  <c r="S894" i="3"/>
  <c r="O894" i="3"/>
  <c r="V894" i="3" l="1"/>
  <c r="U894" i="3"/>
  <c r="W895" i="3" l="1"/>
  <c r="Y895" i="3"/>
  <c r="Z895" i="3"/>
  <c r="X895" i="3"/>
  <c r="O895" i="3" l="1"/>
  <c r="Q895" i="3"/>
  <c r="S895" i="3"/>
  <c r="P895" i="3"/>
  <c r="R895" i="3"/>
  <c r="T895" i="3"/>
  <c r="U895" i="3" l="1"/>
  <c r="V895" i="3"/>
  <c r="X896" i="3" l="1"/>
  <c r="Z896" i="3"/>
  <c r="Y896" i="3"/>
  <c r="W896" i="3"/>
  <c r="P896" i="3" l="1"/>
  <c r="R896" i="3"/>
  <c r="T896" i="3"/>
  <c r="O896" i="3"/>
  <c r="Q896" i="3"/>
  <c r="S896" i="3"/>
  <c r="V896" i="3" l="1"/>
  <c r="U896" i="3"/>
  <c r="W897" i="3" l="1"/>
  <c r="Y897" i="3"/>
  <c r="Z897" i="3"/>
  <c r="X897" i="3"/>
  <c r="O897" i="3" l="1"/>
  <c r="S897" i="3"/>
  <c r="Q897" i="3"/>
  <c r="P897" i="3"/>
  <c r="T897" i="3"/>
  <c r="R897" i="3"/>
  <c r="U897" i="3" l="1"/>
  <c r="V897" i="3"/>
  <c r="X898" i="3" l="1"/>
  <c r="Z898" i="3"/>
  <c r="Y898" i="3"/>
  <c r="W898" i="3"/>
  <c r="P898" i="3" l="1"/>
  <c r="R898" i="3"/>
  <c r="T898" i="3"/>
  <c r="O898" i="3"/>
  <c r="Q898" i="3"/>
  <c r="S898" i="3"/>
  <c r="V898" i="3" l="1"/>
  <c r="U898" i="3"/>
  <c r="W899" i="3" l="1"/>
  <c r="Y899" i="3"/>
  <c r="Z899" i="3"/>
  <c r="X899" i="3"/>
  <c r="O899" i="3" l="1"/>
  <c r="S899" i="3"/>
  <c r="Q899" i="3"/>
  <c r="P899" i="3"/>
  <c r="T899" i="3"/>
  <c r="R899" i="3"/>
  <c r="U899" i="3" l="1"/>
  <c r="V899" i="3"/>
  <c r="X900" i="3" l="1"/>
  <c r="Z900" i="3"/>
  <c r="Y900" i="3"/>
  <c r="W900" i="3"/>
  <c r="P900" i="3" l="1"/>
  <c r="R900" i="3"/>
  <c r="T900" i="3"/>
  <c r="O900" i="3"/>
  <c r="S900" i="3"/>
  <c r="Q900" i="3"/>
  <c r="V900" i="3" l="1"/>
  <c r="U900" i="3"/>
  <c r="W901" i="3" l="1"/>
  <c r="Y901" i="3"/>
  <c r="Z901" i="3"/>
  <c r="X901" i="3"/>
  <c r="O901" i="3" l="1"/>
  <c r="S901" i="3"/>
  <c r="Q901" i="3"/>
  <c r="P901" i="3"/>
  <c r="T901" i="3"/>
  <c r="R901" i="3"/>
  <c r="U901" i="3" l="1"/>
  <c r="V901" i="3"/>
  <c r="X902" i="3" l="1"/>
  <c r="Z902" i="3"/>
  <c r="Y902" i="3"/>
  <c r="W902" i="3"/>
  <c r="P902" i="3" l="1"/>
  <c r="R902" i="3"/>
  <c r="T902" i="3"/>
  <c r="O902" i="3"/>
  <c r="Q902" i="3"/>
  <c r="S902" i="3"/>
  <c r="V902" i="3" l="1"/>
  <c r="U902" i="3"/>
  <c r="W903" i="3" l="1"/>
  <c r="Y903" i="3"/>
  <c r="Z903" i="3"/>
  <c r="X903" i="3"/>
  <c r="O903" i="3" l="1"/>
  <c r="Q903" i="3"/>
  <c r="S903" i="3"/>
  <c r="P903" i="3"/>
  <c r="R903" i="3"/>
  <c r="T903" i="3"/>
  <c r="U903" i="3" l="1"/>
  <c r="V903" i="3"/>
  <c r="X904" i="3" l="1"/>
  <c r="Z904" i="3"/>
  <c r="Y904" i="3"/>
  <c r="W904" i="3"/>
  <c r="P904" i="3" l="1"/>
  <c r="R904" i="3"/>
  <c r="T904" i="3"/>
  <c r="O904" i="3"/>
  <c r="Q904" i="3"/>
  <c r="S904" i="3"/>
  <c r="V904" i="3" l="1"/>
  <c r="U904" i="3"/>
  <c r="Y905" i="3" l="1"/>
  <c r="W905" i="3"/>
  <c r="Z905" i="3"/>
  <c r="X905" i="3"/>
  <c r="P905" i="3" l="1"/>
  <c r="R905" i="3"/>
  <c r="T905" i="3"/>
  <c r="O905" i="3"/>
  <c r="Q905" i="3"/>
  <c r="S905" i="3"/>
  <c r="V905" i="3" l="1"/>
  <c r="U905" i="3"/>
  <c r="Y906" i="3" l="1"/>
  <c r="W906" i="3"/>
  <c r="Z906" i="3"/>
  <c r="X906" i="3"/>
  <c r="P906" i="3" l="1"/>
  <c r="R906" i="3"/>
  <c r="T906" i="3"/>
  <c r="O906" i="3"/>
  <c r="Q906" i="3"/>
  <c r="S906" i="3"/>
  <c r="V906" i="3" l="1"/>
  <c r="U906" i="3"/>
  <c r="W907" i="3" l="1"/>
  <c r="Y907" i="3"/>
  <c r="X907" i="3"/>
  <c r="Z907" i="3"/>
  <c r="O907" i="3" l="1"/>
  <c r="Q907" i="3"/>
  <c r="S907" i="3"/>
  <c r="P907" i="3"/>
  <c r="V907" i="3" s="1"/>
  <c r="X908" i="3" s="1"/>
  <c r="R907" i="3"/>
  <c r="T907" i="3"/>
  <c r="Z908" i="3" l="1"/>
  <c r="U907" i="3"/>
  <c r="Y908" i="3" l="1"/>
  <c r="W908" i="3"/>
  <c r="P908" i="3"/>
  <c r="T908" i="3"/>
  <c r="R908" i="3"/>
  <c r="V908" i="3" l="1"/>
  <c r="O908" i="3"/>
  <c r="Q908" i="3"/>
  <c r="S908" i="3"/>
  <c r="U908" i="3" l="1"/>
  <c r="X909" i="3"/>
  <c r="Z909" i="3"/>
  <c r="W909" i="3" l="1"/>
  <c r="Y909" i="3"/>
  <c r="P909" i="3" s="1"/>
  <c r="T909" i="3" l="1"/>
  <c r="R909" i="3"/>
  <c r="V909" i="3" s="1"/>
  <c r="O909" i="3"/>
  <c r="U909" i="3" s="1"/>
  <c r="W910" i="3" s="1"/>
  <c r="Q909" i="3"/>
  <c r="S909" i="3"/>
  <c r="Z910" i="3" l="1"/>
  <c r="X910" i="3"/>
  <c r="Y910" i="3"/>
  <c r="O910" i="3" l="1"/>
  <c r="Q910" i="3"/>
  <c r="S910" i="3"/>
  <c r="P910" i="3"/>
  <c r="T910" i="3"/>
  <c r="R910" i="3"/>
  <c r="U910" i="3" l="1"/>
  <c r="V910" i="3"/>
  <c r="X911" i="3" l="1"/>
  <c r="Z911" i="3"/>
  <c r="W911" i="3"/>
  <c r="Y911" i="3"/>
  <c r="O911" i="3" l="1"/>
  <c r="Q911" i="3"/>
  <c r="S911" i="3"/>
  <c r="P911" i="3"/>
  <c r="R911" i="3"/>
  <c r="T911" i="3"/>
  <c r="U911" i="3" l="1"/>
  <c r="V911" i="3"/>
  <c r="X912" i="3" l="1"/>
  <c r="Z912" i="3"/>
  <c r="Y912" i="3"/>
  <c r="W912" i="3"/>
  <c r="P912" i="3" l="1"/>
  <c r="R912" i="3"/>
  <c r="T912" i="3"/>
  <c r="O912" i="3"/>
  <c r="S912" i="3"/>
  <c r="Q912" i="3"/>
  <c r="V912" i="3" l="1"/>
  <c r="U912" i="3"/>
  <c r="Y913" i="3" l="1"/>
  <c r="W913" i="3"/>
  <c r="Z913" i="3"/>
  <c r="X913" i="3"/>
  <c r="P913" i="3" l="1"/>
  <c r="T913" i="3"/>
  <c r="R913" i="3"/>
  <c r="O913" i="3"/>
  <c r="Q913" i="3"/>
  <c r="S913" i="3"/>
  <c r="V913" i="3" l="1"/>
  <c r="U913" i="3"/>
  <c r="W914" i="3" l="1"/>
  <c r="Y914" i="3"/>
  <c r="X914" i="3"/>
  <c r="Z914" i="3"/>
  <c r="O914" i="3" l="1"/>
  <c r="Q914" i="3"/>
  <c r="S914" i="3"/>
  <c r="P914" i="3"/>
  <c r="V914" i="3" s="1"/>
  <c r="Z915" i="3" s="1"/>
  <c r="R914" i="3"/>
  <c r="T914" i="3"/>
  <c r="X915" i="3" l="1"/>
  <c r="U914" i="3"/>
  <c r="Y915" i="3" l="1"/>
  <c r="W915" i="3"/>
  <c r="O915" i="3" l="1"/>
  <c r="U915" i="3" s="1"/>
  <c r="W916" i="3" s="1"/>
  <c r="Q915" i="3"/>
  <c r="S915" i="3"/>
  <c r="P915" i="3"/>
  <c r="V915" i="3" s="1"/>
  <c r="R915" i="3"/>
  <c r="T915" i="3"/>
  <c r="X916" i="3" l="1"/>
  <c r="Z916" i="3"/>
  <c r="Y916" i="3"/>
  <c r="P916" i="3" l="1"/>
  <c r="T916" i="3"/>
  <c r="R916" i="3"/>
  <c r="O916" i="3"/>
  <c r="U916" i="3" s="1"/>
  <c r="W917" i="3" s="1"/>
  <c r="Q916" i="3"/>
  <c r="S916" i="3"/>
  <c r="V916" i="3" l="1"/>
  <c r="Y917" i="3"/>
  <c r="Z917" i="3" l="1"/>
  <c r="Q917" i="3" s="1"/>
  <c r="X917" i="3"/>
  <c r="P917" i="3" l="1"/>
  <c r="V917" i="3" s="1"/>
  <c r="X918" i="3" s="1"/>
  <c r="R917" i="3"/>
  <c r="T917" i="3"/>
  <c r="S917" i="3"/>
  <c r="O917" i="3"/>
  <c r="Z918" i="3" l="1"/>
  <c r="U917" i="3"/>
  <c r="W918" i="3" l="1"/>
  <c r="Y918" i="3"/>
  <c r="T918" i="3"/>
  <c r="O918" i="3" l="1"/>
  <c r="Q918" i="3"/>
  <c r="S918" i="3"/>
  <c r="R918" i="3"/>
  <c r="P918" i="3"/>
  <c r="V918" i="3" s="1"/>
  <c r="X919" i="3" l="1"/>
  <c r="Z919" i="3"/>
  <c r="U918" i="3"/>
  <c r="Y919" i="3" l="1"/>
  <c r="R919" i="3" s="1"/>
  <c r="W919" i="3"/>
  <c r="O919" i="3" l="1"/>
  <c r="Q919" i="3"/>
  <c r="S919" i="3"/>
  <c r="T919" i="3"/>
  <c r="P919" i="3"/>
  <c r="U919" i="3" l="1"/>
  <c r="V919" i="3"/>
  <c r="Z920" i="3" l="1"/>
  <c r="X920" i="3"/>
  <c r="W920" i="3"/>
  <c r="Y920" i="3"/>
  <c r="O920" i="3" l="1"/>
  <c r="Q920" i="3"/>
  <c r="S920" i="3"/>
  <c r="P920" i="3"/>
  <c r="R920" i="3"/>
  <c r="T920" i="3"/>
  <c r="V920" i="3" l="1"/>
  <c r="U920" i="3"/>
  <c r="Y921" i="3" l="1"/>
  <c r="W921" i="3"/>
  <c r="X921" i="3"/>
  <c r="Z921" i="3"/>
  <c r="P921" i="3" l="1"/>
  <c r="R921" i="3"/>
  <c r="T921" i="3"/>
  <c r="O921" i="3"/>
  <c r="Q921" i="3"/>
  <c r="S921" i="3"/>
  <c r="U921" i="3" l="1"/>
  <c r="V921" i="3"/>
  <c r="Z922" i="3" l="1"/>
  <c r="X922" i="3"/>
  <c r="W922" i="3"/>
  <c r="Y922" i="3"/>
  <c r="O922" i="3" l="1"/>
  <c r="Q922" i="3"/>
  <c r="S922" i="3"/>
  <c r="P922" i="3"/>
  <c r="R922" i="3"/>
  <c r="T922" i="3"/>
  <c r="U922" i="3" l="1"/>
  <c r="V922" i="3"/>
  <c r="X923" i="3" l="1"/>
  <c r="Z923" i="3"/>
  <c r="Y923" i="3"/>
  <c r="W923" i="3"/>
  <c r="P923" i="3" l="1"/>
  <c r="R923" i="3"/>
  <c r="T923" i="3"/>
  <c r="O923" i="3"/>
  <c r="Q923" i="3"/>
  <c r="S923" i="3"/>
  <c r="V923" i="3" l="1"/>
  <c r="U923" i="3"/>
  <c r="W924" i="3" l="1"/>
  <c r="Y924" i="3"/>
  <c r="Z924" i="3"/>
  <c r="X924" i="3"/>
  <c r="O924" i="3" l="1"/>
  <c r="Q924" i="3"/>
  <c r="S924" i="3"/>
  <c r="P924" i="3"/>
  <c r="R924" i="3"/>
  <c r="T924" i="3"/>
  <c r="U924" i="3" l="1"/>
  <c r="V924" i="3"/>
  <c r="X925" i="3" l="1"/>
  <c r="Z925" i="3"/>
  <c r="Y925" i="3"/>
  <c r="W925" i="3"/>
  <c r="P925" i="3" l="1"/>
  <c r="R925" i="3"/>
  <c r="T925" i="3"/>
  <c r="O925" i="3"/>
  <c r="Q925" i="3"/>
  <c r="S925" i="3"/>
  <c r="V925" i="3" l="1"/>
  <c r="U925" i="3"/>
  <c r="Y926" i="3" l="1"/>
  <c r="W926" i="3"/>
  <c r="Z926" i="3"/>
  <c r="X926" i="3"/>
  <c r="P926" i="3" l="1"/>
  <c r="T926" i="3"/>
  <c r="R926" i="3"/>
  <c r="O926" i="3"/>
  <c r="Q926" i="3"/>
  <c r="S926" i="3"/>
  <c r="V926" i="3" l="1"/>
  <c r="U926" i="3"/>
  <c r="W927" i="3" l="1"/>
  <c r="Y927" i="3"/>
  <c r="X927" i="3"/>
  <c r="Z927" i="3"/>
  <c r="O927" i="3" l="1"/>
  <c r="Q927" i="3"/>
  <c r="S927" i="3"/>
  <c r="P927" i="3"/>
  <c r="V927" i="3" s="1"/>
  <c r="X928" i="3" s="1"/>
  <c r="T927" i="3"/>
  <c r="R927" i="3"/>
  <c r="U927" i="3" l="1"/>
  <c r="Z928" i="3"/>
  <c r="Y928" i="3" l="1"/>
  <c r="T928" i="3" s="1"/>
  <c r="W928" i="3"/>
  <c r="O928" i="3" l="1"/>
  <c r="Q928" i="3"/>
  <c r="S928" i="3"/>
  <c r="R928" i="3"/>
  <c r="P928" i="3"/>
  <c r="U928" i="3" l="1"/>
  <c r="V928" i="3"/>
  <c r="X929" i="3" l="1"/>
  <c r="Z929" i="3"/>
  <c r="W929" i="3"/>
  <c r="Y929" i="3"/>
  <c r="P929" i="3" l="1"/>
  <c r="R929" i="3"/>
  <c r="T929" i="3"/>
  <c r="O929" i="3"/>
  <c r="U929" i="3" s="1"/>
  <c r="W930" i="3" s="1"/>
  <c r="Q929" i="3"/>
  <c r="S929" i="3"/>
  <c r="Y930" i="3" l="1"/>
  <c r="V929" i="3"/>
  <c r="Z930" i="3" l="1"/>
  <c r="X930" i="3"/>
  <c r="O930" i="3"/>
  <c r="S930" i="3"/>
  <c r="Q930" i="3"/>
  <c r="U930" i="3" l="1"/>
  <c r="P930" i="3"/>
  <c r="R930" i="3"/>
  <c r="T930" i="3"/>
  <c r="V930" i="3" l="1"/>
  <c r="W931" i="3"/>
  <c r="Y931" i="3"/>
  <c r="O931" i="3" l="1"/>
  <c r="Q931" i="3"/>
  <c r="S931" i="3"/>
  <c r="X931" i="3"/>
  <c r="Z931" i="3"/>
  <c r="U931" i="3" l="1"/>
  <c r="P931" i="3"/>
  <c r="T931" i="3"/>
  <c r="R931" i="3"/>
  <c r="V931" i="3" l="1"/>
  <c r="Y932" i="3"/>
  <c r="W932" i="3"/>
  <c r="O932" i="3" l="1"/>
  <c r="Q932" i="3"/>
  <c r="S932" i="3"/>
  <c r="X932" i="3"/>
  <c r="Z932" i="3"/>
  <c r="U932" i="3" l="1"/>
  <c r="P932" i="3"/>
  <c r="R932" i="3"/>
  <c r="T932" i="3"/>
  <c r="V932" i="3" l="1"/>
  <c r="W933" i="3"/>
  <c r="Y933" i="3"/>
  <c r="O933" i="3" l="1"/>
  <c r="S933" i="3"/>
  <c r="Q933" i="3"/>
  <c r="X933" i="3"/>
  <c r="Z933" i="3"/>
  <c r="U933" i="3" l="1"/>
  <c r="P933" i="3"/>
  <c r="V933" i="3" s="1"/>
  <c r="X934" i="3" s="1"/>
  <c r="R933" i="3"/>
  <c r="T933" i="3"/>
  <c r="Z934" i="3" l="1"/>
  <c r="Y934" i="3"/>
  <c r="W934" i="3"/>
  <c r="O934" i="3" l="1"/>
  <c r="Q934" i="3"/>
  <c r="S934" i="3"/>
  <c r="P934" i="3"/>
  <c r="R934" i="3"/>
  <c r="T934" i="3"/>
  <c r="U934" i="3" l="1"/>
  <c r="V934" i="3"/>
  <c r="X935" i="3" l="1"/>
  <c r="Z935" i="3"/>
  <c r="Y935" i="3"/>
  <c r="W935" i="3"/>
  <c r="P935" i="3" l="1"/>
  <c r="R935" i="3"/>
  <c r="T935" i="3"/>
  <c r="O935" i="3"/>
  <c r="Q935" i="3"/>
  <c r="S935" i="3"/>
  <c r="V935" i="3" l="1"/>
  <c r="U935" i="3"/>
  <c r="W936" i="3" l="1"/>
  <c r="Y936" i="3"/>
  <c r="Z936" i="3"/>
  <c r="X936" i="3"/>
  <c r="O936" i="3" l="1"/>
  <c r="Q936" i="3"/>
  <c r="S936" i="3"/>
  <c r="P936" i="3"/>
  <c r="R936" i="3"/>
  <c r="T936" i="3"/>
  <c r="U936" i="3" l="1"/>
  <c r="V936" i="3"/>
  <c r="X937" i="3" l="1"/>
  <c r="Z937" i="3"/>
  <c r="Y937" i="3"/>
  <c r="W937" i="3"/>
  <c r="P937" i="3" l="1"/>
  <c r="R937" i="3"/>
  <c r="T937" i="3"/>
  <c r="O937" i="3"/>
  <c r="Q937" i="3"/>
  <c r="S937" i="3"/>
  <c r="V937" i="3" l="1"/>
  <c r="U937" i="3"/>
  <c r="W938" i="3" l="1"/>
  <c r="Y938" i="3"/>
  <c r="Z938" i="3"/>
  <c r="X938" i="3"/>
  <c r="O938" i="3" l="1"/>
  <c r="Q938" i="3"/>
  <c r="S938" i="3"/>
  <c r="P938" i="3"/>
  <c r="R938" i="3"/>
  <c r="T938" i="3"/>
  <c r="U938" i="3" l="1"/>
  <c r="V938" i="3"/>
  <c r="X939" i="3" l="1"/>
  <c r="Z939" i="3"/>
  <c r="Y939" i="3"/>
  <c r="W939" i="3"/>
  <c r="P939" i="3" l="1"/>
  <c r="R939" i="3"/>
  <c r="T939" i="3"/>
  <c r="O939" i="3"/>
  <c r="Q939" i="3"/>
  <c r="S939" i="3"/>
  <c r="V939" i="3" l="1"/>
  <c r="U939" i="3"/>
  <c r="Y940" i="3" l="1"/>
  <c r="W940" i="3"/>
  <c r="Z940" i="3"/>
  <c r="X940" i="3"/>
  <c r="P940" i="3" l="1"/>
  <c r="T940" i="3"/>
  <c r="R940" i="3"/>
  <c r="O940" i="3"/>
  <c r="Q940" i="3"/>
  <c r="S940" i="3"/>
  <c r="V940" i="3" l="1"/>
  <c r="U940" i="3"/>
  <c r="W941" i="3" l="1"/>
  <c r="Y941" i="3"/>
  <c r="X941" i="3"/>
  <c r="Z941" i="3"/>
  <c r="O941" i="3" l="1"/>
  <c r="Q941" i="3"/>
  <c r="S941" i="3"/>
  <c r="P941" i="3"/>
  <c r="V941" i="3" s="1"/>
  <c r="Z942" i="3" s="1"/>
  <c r="R941" i="3"/>
  <c r="T941" i="3"/>
  <c r="X942" i="3" l="1"/>
  <c r="U941" i="3"/>
  <c r="Y942" i="3" l="1"/>
  <c r="W942" i="3"/>
  <c r="O942" i="3" l="1"/>
  <c r="Q942" i="3"/>
  <c r="S942" i="3"/>
  <c r="P942" i="3"/>
  <c r="V942" i="3" s="1"/>
  <c r="T942" i="3"/>
  <c r="R942" i="3"/>
  <c r="U942" i="3" l="1"/>
  <c r="X943" i="3"/>
  <c r="Z943" i="3"/>
  <c r="R943" i="3" l="1"/>
  <c r="T943" i="3"/>
  <c r="W943" i="3"/>
  <c r="Y943" i="3"/>
  <c r="P943" i="3" s="1"/>
  <c r="V943" i="3" s="1"/>
  <c r="Z944" i="3" l="1"/>
  <c r="X944" i="3"/>
  <c r="O943" i="3"/>
  <c r="S943" i="3"/>
  <c r="Q943" i="3"/>
  <c r="U943" i="3" l="1"/>
  <c r="Y944" i="3" l="1"/>
  <c r="W944" i="3"/>
  <c r="O944" i="3" l="1"/>
  <c r="Q944" i="3"/>
  <c r="S944" i="3"/>
  <c r="P944" i="3"/>
  <c r="V944" i="3" s="1"/>
  <c r="R944" i="3"/>
  <c r="T944" i="3"/>
  <c r="U944" i="3" l="1"/>
  <c r="X945" i="3"/>
  <c r="Z945" i="3"/>
  <c r="P945" i="3" l="1"/>
  <c r="R945" i="3"/>
  <c r="T945" i="3"/>
  <c r="W945" i="3"/>
  <c r="Y945" i="3"/>
  <c r="V945" i="3" l="1"/>
  <c r="O945" i="3"/>
  <c r="Q945" i="3"/>
  <c r="S945" i="3"/>
  <c r="U945" i="3" l="1"/>
  <c r="Z946" i="3"/>
  <c r="X946" i="3"/>
  <c r="P946" i="3" l="1"/>
  <c r="R946" i="3"/>
  <c r="T946" i="3"/>
  <c r="W946" i="3"/>
  <c r="Y946" i="3"/>
  <c r="V946" i="3" l="1"/>
  <c r="O946" i="3"/>
  <c r="S946" i="3"/>
  <c r="Q946" i="3"/>
  <c r="U946" i="3" l="1"/>
  <c r="X947" i="3"/>
  <c r="Z947" i="3"/>
  <c r="T947" i="3" l="1"/>
  <c r="R947" i="3"/>
  <c r="W947" i="3"/>
  <c r="Y947" i="3"/>
  <c r="P947" i="3" s="1"/>
  <c r="V947" i="3" s="1"/>
  <c r="Z948" i="3" l="1"/>
  <c r="X948" i="3"/>
  <c r="O947" i="3"/>
  <c r="Q947" i="3"/>
  <c r="S947" i="3"/>
  <c r="U947" i="3" l="1"/>
  <c r="Y948" i="3" l="1"/>
  <c r="W948" i="3"/>
  <c r="O948" i="3" l="1"/>
  <c r="Q948" i="3"/>
  <c r="S948" i="3"/>
  <c r="P948" i="3"/>
  <c r="V948" i="3" s="1"/>
  <c r="R948" i="3"/>
  <c r="T948" i="3"/>
  <c r="U948" i="3" l="1"/>
  <c r="X949" i="3"/>
  <c r="Z949" i="3"/>
  <c r="R949" i="3" l="1"/>
  <c r="T949" i="3"/>
  <c r="W949" i="3"/>
  <c r="Y949" i="3"/>
  <c r="P949" i="3" s="1"/>
  <c r="V949" i="3" s="1"/>
  <c r="Z950" i="3" l="1"/>
  <c r="X950" i="3"/>
  <c r="O949" i="3"/>
  <c r="U949" i="3" s="1"/>
  <c r="Y950" i="3" s="1"/>
  <c r="Q949" i="3"/>
  <c r="S949" i="3"/>
  <c r="O950" i="3" l="1"/>
  <c r="Q950" i="3"/>
  <c r="S950" i="3"/>
  <c r="W950" i="3"/>
  <c r="P950" i="3"/>
  <c r="R950" i="3"/>
  <c r="T950" i="3"/>
  <c r="V950" i="3" l="1"/>
  <c r="U950" i="3"/>
  <c r="W951" i="3" s="1"/>
  <c r="Y951" i="3" l="1"/>
  <c r="Z951" i="3"/>
  <c r="X951" i="3"/>
  <c r="P951" i="3" l="1"/>
  <c r="R951" i="3"/>
  <c r="T951" i="3"/>
  <c r="O951" i="3"/>
  <c r="S951" i="3"/>
  <c r="Q951" i="3"/>
  <c r="V951" i="3" l="1"/>
  <c r="U951" i="3"/>
  <c r="W952" i="3" l="1"/>
  <c r="Y952" i="3"/>
  <c r="Z952" i="3"/>
  <c r="X952" i="3"/>
  <c r="O952" i="3" l="1"/>
  <c r="Q952" i="3"/>
  <c r="S952" i="3"/>
  <c r="P952" i="3"/>
  <c r="R952" i="3"/>
  <c r="T952" i="3"/>
  <c r="U952" i="3" l="1"/>
  <c r="V952" i="3"/>
  <c r="X953" i="3" l="1"/>
  <c r="Z953" i="3"/>
  <c r="Y953" i="3"/>
  <c r="W953" i="3"/>
  <c r="P953" i="3" l="1"/>
  <c r="R953" i="3"/>
  <c r="T953" i="3"/>
  <c r="O953" i="3"/>
  <c r="Q953" i="3"/>
  <c r="S953" i="3"/>
  <c r="V953" i="3" l="1"/>
  <c r="U953" i="3"/>
  <c r="W954" i="3" l="1"/>
  <c r="Y954" i="3"/>
  <c r="Z954" i="3"/>
  <c r="X954" i="3"/>
  <c r="O954" i="3" l="1"/>
  <c r="Q954" i="3"/>
  <c r="S954" i="3"/>
  <c r="P954" i="3"/>
  <c r="R954" i="3"/>
  <c r="T954" i="3"/>
  <c r="U954" i="3" l="1"/>
  <c r="V954" i="3"/>
  <c r="X955" i="3" l="1"/>
  <c r="Z955" i="3"/>
  <c r="Y955" i="3"/>
  <c r="W955" i="3"/>
  <c r="P955" i="3" l="1"/>
  <c r="R955" i="3"/>
  <c r="T955" i="3"/>
  <c r="O955" i="3"/>
  <c r="Q955" i="3"/>
  <c r="S955" i="3"/>
  <c r="V955" i="3" l="1"/>
  <c r="U955" i="3"/>
  <c r="W956" i="3" l="1"/>
  <c r="Y956" i="3"/>
  <c r="Z956" i="3"/>
  <c r="X956" i="3"/>
  <c r="O956" i="3" l="1"/>
  <c r="Q956" i="3"/>
  <c r="S956" i="3"/>
  <c r="P956" i="3"/>
  <c r="R956" i="3"/>
  <c r="T956" i="3"/>
  <c r="U956" i="3" l="1"/>
  <c r="V956" i="3"/>
  <c r="X957" i="3" l="1"/>
  <c r="Z957" i="3"/>
  <c r="Y957" i="3"/>
  <c r="W957" i="3"/>
  <c r="P957" i="3" l="1"/>
  <c r="R957" i="3"/>
  <c r="T957" i="3"/>
  <c r="O957" i="3"/>
  <c r="Q957" i="3"/>
  <c r="S957" i="3"/>
  <c r="V957" i="3" l="1"/>
  <c r="U957" i="3"/>
  <c r="W958" i="3" l="1"/>
  <c r="Y958" i="3"/>
  <c r="Z958" i="3"/>
  <c r="X958" i="3"/>
  <c r="O958" i="3" l="1"/>
  <c r="Q958" i="3"/>
  <c r="S958" i="3"/>
  <c r="P958" i="3"/>
  <c r="R958" i="3"/>
  <c r="T958" i="3"/>
  <c r="U958" i="3" l="1"/>
  <c r="V958" i="3"/>
  <c r="X959" i="3" l="1"/>
  <c r="Z959" i="3"/>
  <c r="Y959" i="3"/>
  <c r="W959" i="3"/>
  <c r="P959" i="3" l="1"/>
  <c r="R959" i="3"/>
  <c r="T959" i="3"/>
  <c r="O959" i="3"/>
  <c r="Q959" i="3"/>
  <c r="S959" i="3"/>
  <c r="V959" i="3" l="1"/>
  <c r="U959" i="3"/>
  <c r="W960" i="3" l="1"/>
  <c r="Y960" i="3"/>
  <c r="Z960" i="3"/>
  <c r="X960" i="3"/>
  <c r="O960" i="3" l="1"/>
  <c r="Q960" i="3"/>
  <c r="S960" i="3"/>
  <c r="P960" i="3"/>
  <c r="R960" i="3"/>
  <c r="T960" i="3"/>
  <c r="U960" i="3" l="1"/>
  <c r="V960" i="3"/>
  <c r="X961" i="3" l="1"/>
  <c r="Z961" i="3"/>
  <c r="Y961" i="3"/>
  <c r="W961" i="3"/>
  <c r="P961" i="3" l="1"/>
  <c r="R961" i="3"/>
  <c r="T961" i="3"/>
  <c r="O961" i="3"/>
  <c r="S961" i="3"/>
  <c r="Q961" i="3"/>
  <c r="V961" i="3" l="1"/>
  <c r="U961" i="3"/>
  <c r="W962" i="3" l="1"/>
  <c r="Y962" i="3"/>
  <c r="Z962" i="3"/>
  <c r="X962" i="3"/>
  <c r="O962" i="3" l="1"/>
  <c r="Q962" i="3"/>
  <c r="S962" i="3"/>
  <c r="P962" i="3"/>
  <c r="R962" i="3"/>
  <c r="T962" i="3"/>
  <c r="U962" i="3" l="1"/>
  <c r="V962" i="3"/>
  <c r="X963" i="3" l="1"/>
  <c r="Z963" i="3"/>
  <c r="Y963" i="3"/>
  <c r="W963" i="3"/>
  <c r="P963" i="3" l="1"/>
  <c r="R963" i="3"/>
  <c r="T963" i="3"/>
  <c r="O963" i="3"/>
  <c r="Q963" i="3"/>
  <c r="S963" i="3"/>
  <c r="V963" i="3" l="1"/>
  <c r="U963" i="3"/>
  <c r="W964" i="3" l="1"/>
  <c r="Y964" i="3"/>
  <c r="Z964" i="3"/>
  <c r="X964" i="3"/>
  <c r="O964" i="3" l="1"/>
  <c r="S964" i="3"/>
  <c r="Q964" i="3"/>
  <c r="P964" i="3"/>
  <c r="R964" i="3"/>
  <c r="T964" i="3"/>
  <c r="U964" i="3" l="1"/>
  <c r="V964" i="3"/>
  <c r="X965" i="3" l="1"/>
  <c r="Z965" i="3"/>
  <c r="Y965" i="3"/>
  <c r="W965" i="3"/>
  <c r="P965" i="3" l="1"/>
  <c r="R965" i="3"/>
  <c r="T965" i="3"/>
  <c r="O965" i="3"/>
  <c r="S965" i="3"/>
  <c r="Q965" i="3"/>
  <c r="V965" i="3" l="1"/>
  <c r="U965" i="3"/>
  <c r="W966" i="3" l="1"/>
  <c r="Y966" i="3"/>
  <c r="Z966" i="3"/>
  <c r="X966" i="3"/>
  <c r="O966" i="3" l="1"/>
  <c r="S966" i="3"/>
  <c r="Q966" i="3"/>
  <c r="P966" i="3"/>
  <c r="T966" i="3"/>
  <c r="R966" i="3"/>
  <c r="U966" i="3" l="1"/>
  <c r="V966" i="3"/>
  <c r="X967" i="3" l="1"/>
  <c r="Z967" i="3"/>
  <c r="Y967" i="3"/>
  <c r="W967" i="3"/>
  <c r="P967" i="3" l="1"/>
  <c r="R967" i="3"/>
  <c r="T967" i="3"/>
  <c r="O967" i="3"/>
  <c r="Q967" i="3"/>
  <c r="S967" i="3"/>
  <c r="V967" i="3" l="1"/>
  <c r="U967" i="3"/>
  <c r="W968" i="3" l="1"/>
  <c r="Y968" i="3"/>
  <c r="Z968" i="3"/>
  <c r="X968" i="3"/>
  <c r="P968" i="3" l="1"/>
  <c r="R968" i="3"/>
  <c r="T968" i="3"/>
  <c r="O968" i="3"/>
  <c r="U968" i="3" s="1"/>
  <c r="W969" i="3" s="1"/>
  <c r="Q968" i="3"/>
  <c r="S968" i="3"/>
  <c r="Y969" i="3" l="1"/>
  <c r="V968" i="3"/>
  <c r="Z969" i="3" l="1"/>
  <c r="X969" i="3"/>
  <c r="O969" i="3"/>
  <c r="Q969" i="3"/>
  <c r="S969" i="3"/>
  <c r="U969" i="3" l="1"/>
  <c r="P969" i="3"/>
  <c r="R969" i="3"/>
  <c r="T969" i="3"/>
  <c r="V969" i="3" l="1"/>
  <c r="W970" i="3"/>
  <c r="Y970" i="3"/>
  <c r="O970" i="3" l="1"/>
  <c r="Q970" i="3"/>
  <c r="S970" i="3"/>
  <c r="X970" i="3"/>
  <c r="Z970" i="3"/>
  <c r="U970" i="3" l="1"/>
  <c r="P970" i="3"/>
  <c r="R970" i="3"/>
  <c r="T970" i="3"/>
  <c r="V970" i="3" l="1"/>
  <c r="Y971" i="3"/>
  <c r="W971" i="3"/>
  <c r="O971" i="3" l="1"/>
  <c r="Q971" i="3"/>
  <c r="S971" i="3"/>
  <c r="X971" i="3"/>
  <c r="Z971" i="3"/>
  <c r="U971" i="3" l="1"/>
  <c r="P971" i="3"/>
  <c r="T971" i="3"/>
  <c r="R971" i="3"/>
  <c r="V971" i="3" l="1"/>
  <c r="W972" i="3"/>
  <c r="Y972" i="3"/>
  <c r="O972" i="3" l="1"/>
  <c r="Q972" i="3"/>
  <c r="S972" i="3"/>
  <c r="X972" i="3"/>
  <c r="Z972" i="3"/>
  <c r="U972" i="3" l="1"/>
  <c r="P972" i="3"/>
  <c r="R972" i="3"/>
  <c r="T972" i="3"/>
  <c r="V972" i="3" l="1"/>
  <c r="Y973" i="3"/>
  <c r="W973" i="3"/>
  <c r="O973" i="3" l="1"/>
  <c r="Q973" i="3"/>
  <c r="S973" i="3"/>
  <c r="X973" i="3"/>
  <c r="Z973" i="3"/>
  <c r="U973" i="3" l="1"/>
  <c r="P973" i="3"/>
  <c r="R973" i="3"/>
  <c r="T973" i="3"/>
  <c r="V973" i="3" l="1"/>
  <c r="W974" i="3"/>
  <c r="Y974" i="3"/>
  <c r="O974" i="3" l="1"/>
  <c r="S974" i="3"/>
  <c r="Q974" i="3"/>
  <c r="X974" i="3"/>
  <c r="Z974" i="3"/>
  <c r="U974" i="3" l="1"/>
  <c r="P974" i="3"/>
  <c r="T974" i="3"/>
  <c r="R974" i="3"/>
  <c r="V974" i="3" l="1"/>
  <c r="Y975" i="3"/>
  <c r="W975" i="3"/>
  <c r="O975" i="3" l="1"/>
  <c r="Q975" i="3"/>
  <c r="S975" i="3"/>
  <c r="X975" i="3"/>
  <c r="Z975" i="3"/>
  <c r="U975" i="3" l="1"/>
  <c r="P975" i="3"/>
  <c r="T975" i="3"/>
  <c r="R975" i="3"/>
  <c r="V975" i="3" l="1"/>
  <c r="W976" i="3"/>
  <c r="Y976" i="3"/>
  <c r="O976" i="3" l="1"/>
  <c r="Q976" i="3"/>
  <c r="S976" i="3"/>
  <c r="X976" i="3"/>
  <c r="Z976" i="3"/>
  <c r="U976" i="3" l="1"/>
  <c r="P976" i="3"/>
  <c r="R976" i="3"/>
  <c r="T976" i="3"/>
  <c r="V976" i="3" l="1"/>
  <c r="Y977" i="3"/>
  <c r="W977" i="3"/>
  <c r="O977" i="3" l="1"/>
  <c r="Q977" i="3"/>
  <c r="S977" i="3"/>
  <c r="X977" i="3"/>
  <c r="Z977" i="3"/>
  <c r="U977" i="3" l="1"/>
  <c r="P977" i="3"/>
  <c r="R977" i="3"/>
  <c r="T977" i="3"/>
  <c r="V977" i="3" l="1"/>
  <c r="W978" i="3"/>
  <c r="Y978" i="3"/>
  <c r="O978" i="3" l="1"/>
  <c r="Q978" i="3"/>
  <c r="S978" i="3"/>
  <c r="X978" i="3"/>
  <c r="Z978" i="3"/>
  <c r="U978" i="3" l="1"/>
  <c r="P978" i="3"/>
  <c r="R978" i="3"/>
  <c r="T978" i="3"/>
  <c r="V978" i="3" l="1"/>
  <c r="Y979" i="3"/>
  <c r="W979" i="3"/>
  <c r="O979" i="3" l="1"/>
  <c r="S979" i="3"/>
  <c r="Q979" i="3"/>
  <c r="X979" i="3"/>
  <c r="Z979" i="3"/>
  <c r="U979" i="3" l="1"/>
  <c r="P979" i="3"/>
  <c r="T979" i="3"/>
  <c r="R979" i="3"/>
  <c r="V979" i="3" l="1"/>
  <c r="W980" i="3"/>
  <c r="Y980" i="3"/>
  <c r="O980" i="3" l="1"/>
  <c r="Q980" i="3"/>
  <c r="S980" i="3"/>
  <c r="X980" i="3"/>
  <c r="Z980" i="3"/>
  <c r="U980" i="3" l="1"/>
  <c r="P980" i="3"/>
  <c r="T980" i="3"/>
  <c r="R980" i="3"/>
  <c r="V980" i="3" l="1"/>
  <c r="Y981" i="3"/>
  <c r="W981" i="3"/>
  <c r="O981" i="3" l="1"/>
  <c r="Q981" i="3"/>
  <c r="S981" i="3"/>
  <c r="X981" i="3"/>
  <c r="Z981" i="3"/>
  <c r="U981" i="3" l="1"/>
  <c r="P981" i="3"/>
  <c r="R981" i="3"/>
  <c r="T981" i="3"/>
  <c r="V981" i="3" l="1"/>
  <c r="W982" i="3"/>
  <c r="Y982" i="3"/>
  <c r="O982" i="3" l="1"/>
  <c r="Q982" i="3"/>
  <c r="S982" i="3"/>
  <c r="X982" i="3"/>
  <c r="Z982" i="3"/>
  <c r="U982" i="3" l="1"/>
  <c r="P982" i="3"/>
  <c r="R982" i="3"/>
  <c r="T982" i="3"/>
  <c r="V982" i="3" l="1"/>
  <c r="Y983" i="3"/>
  <c r="W983" i="3"/>
  <c r="O983" i="3" l="1"/>
  <c r="Q983" i="3"/>
  <c r="S983" i="3"/>
  <c r="X983" i="3"/>
  <c r="Z983" i="3"/>
  <c r="U983" i="3" l="1"/>
  <c r="P983" i="3"/>
  <c r="R983" i="3"/>
  <c r="T983" i="3"/>
  <c r="V983" i="3" l="1"/>
  <c r="W984" i="3"/>
  <c r="Y984" i="3"/>
  <c r="S984" i="3" l="1"/>
  <c r="Q984" i="3"/>
  <c r="X984" i="3"/>
  <c r="Z984" i="3"/>
  <c r="O984" i="3" s="1"/>
  <c r="U984" i="3" s="1"/>
  <c r="Y985" i="3" l="1"/>
  <c r="W985" i="3"/>
  <c r="P984" i="3"/>
  <c r="T984" i="3"/>
  <c r="R984" i="3"/>
  <c r="V984" i="3" l="1"/>
  <c r="Z985" i="3" l="1"/>
  <c r="X985" i="3"/>
  <c r="P985" i="3" l="1"/>
  <c r="R985" i="3"/>
  <c r="T985" i="3"/>
  <c r="O985" i="3"/>
  <c r="U985" i="3" s="1"/>
  <c r="Q985" i="3"/>
  <c r="S985" i="3"/>
  <c r="V985" i="3" l="1"/>
  <c r="W986" i="3"/>
  <c r="Y986" i="3"/>
  <c r="O986" i="3" l="1"/>
  <c r="Q986" i="3"/>
  <c r="S986" i="3"/>
  <c r="X986" i="3"/>
  <c r="Z986" i="3"/>
  <c r="U986" i="3" l="1"/>
  <c r="P986" i="3"/>
  <c r="R986" i="3"/>
  <c r="T986" i="3"/>
  <c r="V986" i="3" l="1"/>
  <c r="Y987" i="3"/>
  <c r="W987" i="3"/>
  <c r="O987" i="3" l="1"/>
  <c r="Q987" i="3"/>
  <c r="S987" i="3"/>
  <c r="X987" i="3"/>
  <c r="Z987" i="3"/>
  <c r="U987" i="3" l="1"/>
  <c r="P987" i="3"/>
  <c r="R987" i="3"/>
  <c r="T987" i="3"/>
  <c r="V987" i="3" l="1"/>
  <c r="W988" i="3"/>
  <c r="Y988" i="3"/>
  <c r="O988" i="3" l="1"/>
  <c r="Q988" i="3"/>
  <c r="S988" i="3"/>
  <c r="X988" i="3"/>
  <c r="Z988" i="3"/>
  <c r="U988" i="3" l="1"/>
  <c r="P988" i="3"/>
  <c r="T988" i="3"/>
  <c r="R988" i="3"/>
  <c r="V988" i="3" l="1"/>
  <c r="Y989" i="3"/>
  <c r="W989" i="3"/>
  <c r="O989" i="3" l="1"/>
  <c r="Q989" i="3"/>
  <c r="S989" i="3"/>
  <c r="X989" i="3"/>
  <c r="Z989" i="3"/>
  <c r="U989" i="3" l="1"/>
  <c r="P989" i="3"/>
  <c r="V989" i="3" s="1"/>
  <c r="X990" i="3" s="1"/>
  <c r="T989" i="3"/>
  <c r="R989" i="3"/>
  <c r="W990" i="3" l="1"/>
  <c r="Y990" i="3"/>
  <c r="Z990" i="3"/>
  <c r="O990" i="3" l="1"/>
  <c r="Q990" i="3"/>
  <c r="S990" i="3"/>
  <c r="P990" i="3"/>
  <c r="V990" i="3" s="1"/>
  <c r="X991" i="3" s="1"/>
  <c r="R990" i="3"/>
  <c r="T990" i="3"/>
  <c r="U990" i="3" l="1"/>
  <c r="Z991" i="3"/>
  <c r="Y991" i="3" l="1"/>
  <c r="T991" i="3" s="1"/>
  <c r="W991" i="3"/>
  <c r="O991" i="3" l="1"/>
  <c r="Q991" i="3"/>
  <c r="S991" i="3"/>
  <c r="R991" i="3"/>
  <c r="P991" i="3"/>
  <c r="U991" i="3" l="1"/>
  <c r="V991" i="3"/>
  <c r="X992" i="3" l="1"/>
  <c r="Z992" i="3"/>
  <c r="W992" i="3"/>
  <c r="Y992" i="3"/>
  <c r="P992" i="3" l="1"/>
  <c r="R992" i="3"/>
  <c r="T992" i="3"/>
  <c r="O992" i="3"/>
  <c r="U992" i="3" s="1"/>
  <c r="W993" i="3" s="1"/>
  <c r="S992" i="3"/>
  <c r="Q992" i="3"/>
  <c r="Y993" i="3" l="1"/>
  <c r="V992" i="3"/>
  <c r="Z993" i="3" l="1"/>
  <c r="X993" i="3"/>
  <c r="O993" i="3"/>
  <c r="S993" i="3"/>
  <c r="Q993" i="3"/>
  <c r="U993" i="3" l="1"/>
  <c r="P993" i="3"/>
  <c r="T993" i="3"/>
  <c r="R993" i="3"/>
  <c r="V993" i="3" l="1"/>
  <c r="W994" i="3"/>
  <c r="Y994" i="3"/>
  <c r="Q994" i="3" l="1"/>
  <c r="S994" i="3"/>
  <c r="X994" i="3"/>
  <c r="Z994" i="3"/>
  <c r="O994" i="3" s="1"/>
  <c r="U994" i="3" s="1"/>
  <c r="Y995" i="3" l="1"/>
  <c r="W995" i="3"/>
  <c r="P994" i="3"/>
  <c r="R994" i="3"/>
  <c r="T994" i="3"/>
  <c r="V994" i="3" l="1"/>
  <c r="Z995" i="3" l="1"/>
  <c r="X995" i="3"/>
  <c r="P995" i="3" l="1"/>
  <c r="R995" i="3"/>
  <c r="T995" i="3"/>
  <c r="O995" i="3"/>
  <c r="U995" i="3" s="1"/>
  <c r="Q995" i="3"/>
  <c r="S995" i="3"/>
  <c r="V995" i="3" l="1"/>
  <c r="W996" i="3"/>
  <c r="Y996" i="3"/>
  <c r="O996" i="3" l="1"/>
  <c r="Q996" i="3"/>
  <c r="S996" i="3"/>
  <c r="X996" i="3"/>
  <c r="Z996" i="3"/>
  <c r="U996" i="3" l="1"/>
  <c r="P996" i="3"/>
  <c r="R996" i="3"/>
  <c r="T996" i="3"/>
  <c r="V996" i="3" l="1"/>
  <c r="Y997" i="3"/>
  <c r="W997" i="3"/>
  <c r="O997" i="3" l="1"/>
  <c r="S997" i="3"/>
  <c r="Q997" i="3"/>
  <c r="X997" i="3"/>
  <c r="Z997" i="3"/>
  <c r="U997" i="3" l="1"/>
  <c r="P997" i="3"/>
  <c r="T997" i="3"/>
  <c r="R997" i="3"/>
  <c r="V997" i="3" l="1"/>
  <c r="W998" i="3"/>
  <c r="Y998" i="3"/>
  <c r="O998" i="3" l="1"/>
  <c r="Q998" i="3"/>
  <c r="S998" i="3"/>
  <c r="X998" i="3"/>
  <c r="Z998" i="3"/>
  <c r="U998" i="3" l="1"/>
  <c r="P998" i="3"/>
  <c r="R998" i="3"/>
  <c r="T998" i="3"/>
  <c r="V998" i="3" l="1"/>
  <c r="Y999" i="3"/>
  <c r="W999" i="3"/>
  <c r="O999" i="3" l="1"/>
  <c r="Q999" i="3"/>
  <c r="S999" i="3"/>
  <c r="X999" i="3"/>
  <c r="Z999" i="3"/>
  <c r="U999" i="3" l="1"/>
  <c r="P999" i="3"/>
  <c r="R999" i="3"/>
  <c r="T999" i="3"/>
  <c r="V999" i="3" l="1"/>
  <c r="W1000" i="3"/>
  <c r="Y1000" i="3"/>
  <c r="O1000" i="3" l="1"/>
  <c r="Q1000" i="3"/>
  <c r="S1000" i="3"/>
  <c r="X1000" i="3"/>
  <c r="Z1000" i="3"/>
  <c r="U1000" i="3" l="1"/>
  <c r="P1000" i="3"/>
  <c r="R1000" i="3"/>
  <c r="T1000" i="3"/>
  <c r="V1000" i="3" l="1"/>
  <c r="Y1001" i="3"/>
  <c r="W1001" i="3"/>
  <c r="O1001" i="3" l="1"/>
  <c r="Q1001" i="3"/>
  <c r="S1001" i="3"/>
  <c r="X1001" i="3"/>
  <c r="Z1001" i="3"/>
  <c r="U1001" i="3" l="1"/>
  <c r="P1001" i="3"/>
  <c r="R1001" i="3"/>
  <c r="T1001" i="3"/>
  <c r="V1001" i="3" l="1"/>
  <c r="W1002" i="3"/>
  <c r="Y1002" i="3"/>
  <c r="O1002" i="3" l="1"/>
  <c r="S1002" i="3"/>
  <c r="Q1002" i="3"/>
  <c r="X1002" i="3"/>
  <c r="Z1002" i="3"/>
  <c r="U1002" i="3" l="1"/>
  <c r="P1002" i="3"/>
  <c r="T1002" i="3"/>
  <c r="R1002" i="3"/>
  <c r="V1002" i="3" l="1"/>
  <c r="Y1003" i="3"/>
  <c r="W1003" i="3"/>
  <c r="X1003" i="3" l="1"/>
  <c r="Z1003" i="3"/>
  <c r="P1003" i="3" l="1"/>
  <c r="R1003" i="3"/>
  <c r="T1003" i="3"/>
  <c r="Q1003" i="3"/>
  <c r="S1003" i="3"/>
  <c r="O1003" i="3"/>
  <c r="U1003" i="3" l="1"/>
  <c r="V1003" i="3"/>
</calcChain>
</file>

<file path=xl/sharedStrings.xml><?xml version="1.0" encoding="utf-8"?>
<sst xmlns="http://schemas.openxmlformats.org/spreadsheetml/2006/main" count="124" uniqueCount="55">
  <si>
    <t>Condition initiales de la simulation</t>
  </si>
  <si>
    <t>Parametres généraux</t>
  </si>
  <si>
    <t>Base de temps</t>
  </si>
  <si>
    <t>Coefficient de friction</t>
  </si>
  <si>
    <t>Ratio de la constante d'Aarseth</t>
  </si>
  <si>
    <t>Corps en mouvement</t>
  </si>
  <si>
    <t>Masse</t>
  </si>
  <si>
    <t>Position initiale</t>
  </si>
  <si>
    <t>Vitesse initiale</t>
  </si>
  <si>
    <t>Accélération initiale</t>
  </si>
  <si>
    <t>Dimension</t>
  </si>
  <si>
    <t>Trois corps statiques</t>
  </si>
  <si>
    <t>Corp 1</t>
  </si>
  <si>
    <t>Position</t>
  </si>
  <si>
    <t>Rayon</t>
  </si>
  <si>
    <t>Masse volumique moyenne</t>
  </si>
  <si>
    <t>Volume</t>
  </si>
  <si>
    <t>Masse totale</t>
  </si>
  <si>
    <t>Constante d'Aarseth</t>
  </si>
  <si>
    <t>Attraction / Répulsion</t>
  </si>
  <si>
    <t>Corps 2</t>
  </si>
  <si>
    <t>Corps 3</t>
  </si>
  <si>
    <t>Représentation des conditions initiales</t>
  </si>
  <si>
    <t>t</t>
  </si>
  <si>
    <t>ƒ</t>
  </si>
  <si>
    <t>A</t>
  </si>
  <si>
    <t>m</t>
  </si>
  <si>
    <t>p oo</t>
  </si>
  <si>
    <t>v oo</t>
  </si>
  <si>
    <t>a oo</t>
  </si>
  <si>
    <t>s</t>
  </si>
  <si>
    <t>metre / seconde</t>
  </si>
  <si>
    <t>-</t>
  </si>
  <si>
    <t>gramme</t>
  </si>
  <si>
    <t>metre</t>
  </si>
  <si>
    <t>gramme / metre 5</t>
  </si>
  <si>
    <t>metre 5</t>
  </si>
  <si>
    <t>r</t>
  </si>
  <si>
    <t>p</t>
  </si>
  <si>
    <t>v</t>
  </si>
  <si>
    <t>y</t>
  </si>
  <si>
    <t>w</t>
  </si>
  <si>
    <t>qk</t>
  </si>
  <si>
    <t>x</t>
  </si>
  <si>
    <t>Vars for planet 1</t>
  </si>
  <si>
    <t>angle</t>
  </si>
  <si>
    <t>Vars for planet 2</t>
  </si>
  <si>
    <t>Vars for planet 3</t>
  </si>
  <si>
    <t>Itérations</t>
  </si>
  <si>
    <t>Vitesse</t>
  </si>
  <si>
    <t>second</t>
  </si>
  <si>
    <t>Accélération corps 1 en mouvement</t>
  </si>
  <si>
    <t>Accélération corps 2 en mouvement</t>
  </si>
  <si>
    <t>Accélération corps 3 en mouvement</t>
  </si>
  <si>
    <t>Accélération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</si>
</sst>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E+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" fillId="13" borderId="0" applyNumberFormat="0" applyBorder="0" applyAlignment="0" applyProtection="0"/>
    <xf numFmtId="0" fontId="1" fillId="14" borderId="0" applyNumberFormat="0" applyBorder="0" applyAlignment="0" applyProtection="0"/>
  </cellStyleXfs>
  <cellXfs count="110">
    <xf numFmtId="0" fontId="0" fillId="0" borderId="0" xfId="0"/>
    <xf numFmtId="0" fontId="2" fillId="6" borderId="1" xfId="5" applyBorder="1"/>
    <xf numFmtId="0" fontId="1" fillId="11" borderId="2" xfId="10" applyBorder="1"/>
    <xf numFmtId="0" fontId="1" fillId="3" borderId="2" xfId="2" applyBorder="1"/>
    <xf numFmtId="0" fontId="1" fillId="3" borderId="3" xfId="2" applyBorder="1"/>
    <xf numFmtId="0" fontId="2" fillId="4" borderId="1" xfId="3" applyBorder="1"/>
    <xf numFmtId="0" fontId="2" fillId="5" borderId="2" xfId="4" applyBorder="1"/>
    <xf numFmtId="0" fontId="2" fillId="5" borderId="3" xfId="4" applyBorder="1"/>
    <xf numFmtId="0" fontId="1" fillId="7" borderId="2" xfId="6" applyBorder="1"/>
    <xf numFmtId="0" fontId="1" fillId="7" borderId="3" xfId="6" applyBorder="1"/>
    <xf numFmtId="0" fontId="2" fillId="8" borderId="2" xfId="7" applyBorder="1" applyAlignment="1">
      <alignment horizontal="center"/>
    </xf>
    <xf numFmtId="0" fontId="0" fillId="11" borderId="2" xfId="10" applyFont="1" applyBorder="1" applyAlignment="1">
      <alignment horizontal="center"/>
    </xf>
    <xf numFmtId="0" fontId="1" fillId="11" borderId="2" xfId="10" applyBorder="1" applyAlignment="1">
      <alignment horizontal="center"/>
    </xf>
    <xf numFmtId="0" fontId="1" fillId="3" borderId="2" xfId="2" applyBorder="1" applyAlignment="1">
      <alignment horizontal="center"/>
    </xf>
    <xf numFmtId="0" fontId="1" fillId="3" borderId="3" xfId="2" applyBorder="1" applyAlignment="1">
      <alignment horizontal="center"/>
    </xf>
    <xf numFmtId="0" fontId="2" fillId="4" borderId="5" xfId="3" applyBorder="1" applyAlignment="1">
      <alignment horizontal="center"/>
    </xf>
    <xf numFmtId="0" fontId="0" fillId="11" borderId="4" xfId="10" applyFont="1" applyBorder="1" applyAlignment="1">
      <alignment horizontal="center"/>
    </xf>
    <xf numFmtId="0" fontId="0" fillId="11" borderId="0" xfId="10" applyFont="1" applyBorder="1" applyAlignment="1">
      <alignment horizontal="center"/>
    </xf>
    <xf numFmtId="0" fontId="1" fillId="3" borderId="0" xfId="2" applyBorder="1" applyAlignment="1">
      <alignment horizontal="center"/>
    </xf>
    <xf numFmtId="0" fontId="2" fillId="6" borderId="5" xfId="5" applyBorder="1"/>
    <xf numFmtId="0" fontId="2" fillId="8" borderId="4" xfId="7" applyBorder="1"/>
    <xf numFmtId="0" fontId="1" fillId="9" borderId="4" xfId="8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2" fillId="4" borderId="10" xfId="3" applyBorder="1" applyAlignment="1">
      <alignment horizontal="center"/>
    </xf>
    <xf numFmtId="0" fontId="1" fillId="9" borderId="6" xfId="8" applyBorder="1"/>
    <xf numFmtId="0" fontId="2" fillId="6" borderId="11" xfId="5" applyBorder="1"/>
    <xf numFmtId="0" fontId="2" fillId="6" borderId="12" xfId="5" applyBorder="1" applyAlignment="1">
      <alignment horizontal="center"/>
    </xf>
    <xf numFmtId="0" fontId="0" fillId="7" borderId="4" xfId="6" applyFont="1" applyBorder="1" applyAlignment="1">
      <alignment horizontal="center"/>
    </xf>
    <xf numFmtId="0" fontId="0" fillId="7" borderId="6" xfId="6" applyFont="1" applyBorder="1" applyAlignment="1">
      <alignment horizontal="center"/>
    </xf>
    <xf numFmtId="0" fontId="2" fillId="6" borderId="5" xfId="5" applyBorder="1" applyAlignment="1">
      <alignment horizontal="center"/>
    </xf>
    <xf numFmtId="0" fontId="2" fillId="6" borderId="10" xfId="5" applyBorder="1"/>
    <xf numFmtId="0" fontId="2" fillId="10" borderId="1" xfId="9" applyBorder="1"/>
    <xf numFmtId="0" fontId="1" fillId="11" borderId="3" xfId="10" applyBorder="1"/>
    <xf numFmtId="0" fontId="2" fillId="10" borderId="1" xfId="9" applyBorder="1" applyAlignment="1">
      <alignment horizontal="center"/>
    </xf>
    <xf numFmtId="0" fontId="1" fillId="11" borderId="3" xfId="10" applyBorder="1" applyAlignment="1">
      <alignment horizontal="center"/>
    </xf>
    <xf numFmtId="0" fontId="2" fillId="10" borderId="5" xfId="9" applyBorder="1" applyAlignment="1">
      <alignment horizontal="center"/>
    </xf>
    <xf numFmtId="0" fontId="2" fillId="10" borderId="10" xfId="9" applyBorder="1" applyAlignment="1">
      <alignment horizontal="center"/>
    </xf>
    <xf numFmtId="0" fontId="2" fillId="2" borderId="1" xfId="1" applyBorder="1"/>
    <xf numFmtId="0" fontId="2" fillId="2" borderId="1" xfId="1" applyBorder="1" applyAlignment="1">
      <alignment horizontal="center"/>
    </xf>
    <xf numFmtId="0" fontId="2" fillId="2" borderId="5" xfId="1" applyBorder="1" applyAlignment="1">
      <alignment horizontal="center"/>
    </xf>
    <xf numFmtId="0" fontId="2" fillId="2" borderId="10" xfId="1" applyBorder="1" applyAlignment="1">
      <alignment horizontal="center"/>
    </xf>
    <xf numFmtId="0" fontId="0" fillId="0" borderId="0" xfId="0" applyAlignment="1">
      <alignment vertical="center"/>
    </xf>
    <xf numFmtId="0" fontId="2" fillId="5" borderId="2" xfId="4" applyBorder="1" applyAlignment="1">
      <alignment vertical="center"/>
    </xf>
    <xf numFmtId="0" fontId="2" fillId="5" borderId="3" xfId="4" applyBorder="1" applyAlignment="1">
      <alignment vertical="center"/>
    </xf>
    <xf numFmtId="0" fontId="0" fillId="7" borderId="2" xfId="6" applyFont="1" applyBorder="1" applyAlignment="1">
      <alignment vertical="center"/>
    </xf>
    <xf numFmtId="0" fontId="0" fillId="7" borderId="3" xfId="6" applyFont="1" applyBorder="1" applyAlignment="1">
      <alignment vertical="center"/>
    </xf>
    <xf numFmtId="0" fontId="2" fillId="4" borderId="1" xfId="3" applyBorder="1" applyAlignment="1">
      <alignment vertical="center"/>
    </xf>
    <xf numFmtId="0" fontId="2" fillId="6" borderId="13" xfId="5" applyBorder="1" applyAlignment="1">
      <alignment vertical="center"/>
    </xf>
    <xf numFmtId="0" fontId="2" fillId="8" borderId="1" xfId="7" applyBorder="1" applyAlignment="1">
      <alignment vertical="center"/>
    </xf>
    <xf numFmtId="0" fontId="0" fillId="0" borderId="7" xfId="0" applyBorder="1" applyAlignment="1">
      <alignment vertical="center"/>
    </xf>
    <xf numFmtId="0" fontId="2" fillId="10" borderId="1" xfId="9" applyBorder="1" applyAlignment="1">
      <alignment vertical="center"/>
    </xf>
    <xf numFmtId="0" fontId="0" fillId="11" borderId="2" xfId="10" applyFont="1" applyBorder="1" applyAlignment="1">
      <alignment vertical="center"/>
    </xf>
    <xf numFmtId="0" fontId="1" fillId="11" borderId="2" xfId="10" applyBorder="1" applyAlignment="1">
      <alignment vertical="center"/>
    </xf>
    <xf numFmtId="0" fontId="1" fillId="11" borderId="3" xfId="10" applyBorder="1" applyAlignment="1">
      <alignment vertical="center"/>
    </xf>
    <xf numFmtId="0" fontId="0" fillId="0" borderId="13" xfId="0" applyBorder="1" applyAlignment="1">
      <alignment vertical="center"/>
    </xf>
    <xf numFmtId="0" fontId="2" fillId="2" borderId="1" xfId="1" applyBorder="1" applyAlignment="1">
      <alignment vertical="center"/>
    </xf>
    <xf numFmtId="0" fontId="1" fillId="3" borderId="2" xfId="2" applyBorder="1" applyAlignment="1">
      <alignment vertical="center"/>
    </xf>
    <xf numFmtId="0" fontId="1" fillId="3" borderId="3" xfId="2" applyBorder="1" applyAlignment="1">
      <alignment vertical="center"/>
    </xf>
    <xf numFmtId="0" fontId="2" fillId="5" borderId="2" xfId="4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9" borderId="3" xfId="8" applyFont="1" applyBorder="1" applyAlignment="1">
      <alignment vertical="center"/>
    </xf>
    <xf numFmtId="0" fontId="0" fillId="9" borderId="2" xfId="8" applyFont="1" applyBorder="1" applyAlignment="1">
      <alignment vertical="center"/>
    </xf>
    <xf numFmtId="0" fontId="2" fillId="8" borderId="0" xfId="7" applyBorder="1" applyAlignment="1">
      <alignment horizontal="center" vertical="center"/>
    </xf>
    <xf numFmtId="0" fontId="0" fillId="9" borderId="2" xfId="8" applyFont="1" applyBorder="1" applyAlignment="1">
      <alignment horizontal="center"/>
    </xf>
    <xf numFmtId="0" fontId="0" fillId="9" borderId="3" xfId="8" applyFont="1" applyBorder="1" applyAlignment="1">
      <alignment horizontal="center"/>
    </xf>
    <xf numFmtId="0" fontId="1" fillId="7" borderId="4" xfId="6" applyFont="1" applyBorder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1" fillId="3" borderId="4" xfId="2" applyBorder="1" applyAlignment="1">
      <alignment horizont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0" fontId="2" fillId="5" borderId="4" xfId="4" applyBorder="1" applyAlignment="1">
      <alignment horizontal="center"/>
    </xf>
    <xf numFmtId="0" fontId="2" fillId="5" borderId="0" xfId="4" applyBorder="1" applyAlignment="1">
      <alignment horizontal="center"/>
    </xf>
    <xf numFmtId="0" fontId="2" fillId="5" borderId="6" xfId="4" applyBorder="1" applyAlignment="1">
      <alignment horizontal="center"/>
    </xf>
    <xf numFmtId="0" fontId="0" fillId="0" borderId="0" xfId="0" applyAlignment="1">
      <alignment horizontal="center"/>
    </xf>
    <xf numFmtId="0" fontId="2" fillId="13" borderId="0" xfId="12"/>
    <xf numFmtId="0" fontId="1" fillId="12" borderId="0" xfId="11" applyAlignment="1">
      <alignment horizontal="center"/>
    </xf>
    <xf numFmtId="0" fontId="2" fillId="5" borderId="0" xfId="4"/>
    <xf numFmtId="0" fontId="1" fillId="14" borderId="0" xfId="13"/>
    <xf numFmtId="165" fontId="0" fillId="0" borderId="0" xfId="0" applyNumberForma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7" borderId="0" xfId="6" applyAlignment="1">
      <alignment horizontal="center"/>
    </xf>
    <xf numFmtId="0" fontId="1" fillId="11" borderId="4" xfId="10" applyBorder="1" applyAlignment="1">
      <alignment horizontal="center"/>
    </xf>
    <xf numFmtId="0" fontId="1" fillId="11" borderId="8" xfId="10" applyBorder="1" applyAlignment="1">
      <alignment horizontal="center"/>
    </xf>
    <xf numFmtId="0" fontId="1" fillId="11" borderId="6" xfId="10" applyBorder="1" applyAlignment="1">
      <alignment horizontal="center" vertical="center"/>
    </xf>
    <xf numFmtId="0" fontId="1" fillId="11" borderId="9" xfId="10" applyBorder="1" applyAlignment="1">
      <alignment horizontal="center" vertical="center"/>
    </xf>
    <xf numFmtId="0" fontId="1" fillId="3" borderId="4" xfId="2" applyBorder="1" applyAlignment="1">
      <alignment horizontal="center"/>
    </xf>
    <xf numFmtId="0" fontId="1" fillId="3" borderId="8" xfId="2" applyBorder="1" applyAlignment="1">
      <alignment horizontal="center"/>
    </xf>
    <xf numFmtId="0" fontId="1" fillId="3" borderId="6" xfId="2" applyBorder="1" applyAlignment="1">
      <alignment horizontal="center" vertical="center"/>
    </xf>
    <xf numFmtId="0" fontId="1" fillId="3" borderId="9" xfId="2" applyBorder="1" applyAlignment="1">
      <alignment horizontal="center" vertical="center"/>
    </xf>
    <xf numFmtId="0" fontId="0" fillId="9" borderId="6" xfId="8" applyFont="1" applyBorder="1" applyAlignment="1">
      <alignment horizontal="center" vertical="center"/>
    </xf>
    <xf numFmtId="0" fontId="0" fillId="9" borderId="9" xfId="8" applyFont="1" applyBorder="1" applyAlignment="1">
      <alignment horizontal="center" vertic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165" fontId="1" fillId="9" borderId="4" xfId="8" applyNumberFormat="1" applyBorder="1" applyAlignment="1">
      <alignment horizontal="center" vertical="center"/>
    </xf>
    <xf numFmtId="165" fontId="1" fillId="9" borderId="8" xfId="8" applyNumberFormat="1" applyBorder="1" applyAlignment="1">
      <alignment horizontal="center" vertical="center"/>
    </xf>
    <xf numFmtId="0" fontId="2" fillId="5" borderId="6" xfId="4" applyBorder="1" applyAlignment="1">
      <alignment horizontal="center"/>
    </xf>
    <xf numFmtId="0" fontId="2" fillId="5" borderId="9" xfId="4" applyBorder="1" applyAlignment="1">
      <alignment horizontal="center"/>
    </xf>
    <xf numFmtId="0" fontId="2" fillId="5" borderId="4" xfId="4" applyBorder="1" applyAlignment="1">
      <alignment horizontal="center"/>
    </xf>
    <xf numFmtId="0" fontId="2" fillId="5" borderId="8" xfId="4" applyBorder="1" applyAlignment="1">
      <alignment horizontal="center"/>
    </xf>
    <xf numFmtId="0" fontId="1" fillId="7" borderId="6" xfId="6" applyBorder="1" applyAlignment="1">
      <alignment horizontal="center"/>
    </xf>
    <xf numFmtId="0" fontId="1" fillId="7" borderId="9" xfId="6" applyBorder="1" applyAlignment="1">
      <alignment horizontal="center"/>
    </xf>
    <xf numFmtId="0" fontId="1" fillId="7" borderId="4" xfId="6" applyBorder="1" applyAlignment="1">
      <alignment horizontal="center"/>
    </xf>
    <xf numFmtId="0" fontId="1" fillId="7" borderId="8" xfId="6" applyBorder="1" applyAlignment="1">
      <alignment horizontal="center"/>
    </xf>
  </cellXfs>
  <cellStyles count="14">
    <cellStyle name="20% - Accent1" xfId="2" builtinId="30"/>
    <cellStyle name="20% - Accent3" xfId="6" builtinId="38"/>
    <cellStyle name="20% - Accent4" xfId="8" builtinId="42"/>
    <cellStyle name="20% - Accent6" xfId="10" builtinId="50"/>
    <cellStyle name="40% - Accent3" xfId="11" builtinId="39"/>
    <cellStyle name="60% - Accent2" xfId="4" builtinId="36"/>
    <cellStyle name="60% - Accent3" xfId="12" builtinId="40"/>
    <cellStyle name="60% - Accent6" xfId="13" builtinId="52"/>
    <cellStyle name="Accent1" xfId="1" builtinId="29"/>
    <cellStyle name="Accent2" xfId="3" builtinId="33"/>
    <cellStyle name="Accent3" xfId="5" builtinId="37"/>
    <cellStyle name="Accent4" xfId="7" builtinId="41"/>
    <cellStyle name="Accent6" xfId="9" builtinId="4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Système</a:t>
            </a:r>
            <a:r>
              <a:rPr lang="en-CA" baseline="0"/>
              <a:t> solaire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Planets!$E$4:$E$16</c:f>
              <c:numCache>
                <c:formatCode>General</c:formatCode>
                <c:ptCount val="13"/>
                <c:pt idx="0">
                  <c:v>20000</c:v>
                </c:pt>
                <c:pt idx="1">
                  <c:v>19330.127018922194</c:v>
                </c:pt>
                <c:pt idx="2">
                  <c:v>17500</c:v>
                </c:pt>
                <c:pt idx="3">
                  <c:v>15000</c:v>
                </c:pt>
                <c:pt idx="4">
                  <c:v>12500</c:v>
                </c:pt>
                <c:pt idx="5">
                  <c:v>10669.872981077806</c:v>
                </c:pt>
                <c:pt idx="6">
                  <c:v>10000</c:v>
                </c:pt>
                <c:pt idx="7">
                  <c:v>10669.872981077806</c:v>
                </c:pt>
                <c:pt idx="8">
                  <c:v>12499.999999999998</c:v>
                </c:pt>
                <c:pt idx="9">
                  <c:v>14999.999999999998</c:v>
                </c:pt>
                <c:pt idx="10">
                  <c:v>17500</c:v>
                </c:pt>
                <c:pt idx="11">
                  <c:v>19330.12701892219</c:v>
                </c:pt>
                <c:pt idx="12">
                  <c:v>20000</c:v>
                </c:pt>
              </c:numCache>
            </c:numRef>
          </c:xVal>
          <c:yVal>
            <c:numRef>
              <c:f>Planets!$F$4:$F$16</c:f>
              <c:numCache>
                <c:formatCode>General</c:formatCode>
                <c:ptCount val="13"/>
                <c:pt idx="0">
                  <c:v>10000</c:v>
                </c:pt>
                <c:pt idx="1">
                  <c:v>12500</c:v>
                </c:pt>
                <c:pt idx="2">
                  <c:v>14330.127018922194</c:v>
                </c:pt>
                <c:pt idx="3">
                  <c:v>15000</c:v>
                </c:pt>
                <c:pt idx="4">
                  <c:v>14330.127018922194</c:v>
                </c:pt>
                <c:pt idx="5">
                  <c:v>12500</c:v>
                </c:pt>
                <c:pt idx="6">
                  <c:v>10000</c:v>
                </c:pt>
                <c:pt idx="7">
                  <c:v>7500.0000000000018</c:v>
                </c:pt>
                <c:pt idx="8">
                  <c:v>5669.8729810778077</c:v>
                </c:pt>
                <c:pt idx="9">
                  <c:v>5000</c:v>
                </c:pt>
                <c:pt idx="10">
                  <c:v>5669.8729810778068</c:v>
                </c:pt>
                <c:pt idx="11">
                  <c:v>7499.9999999999982</c:v>
                </c:pt>
                <c:pt idx="12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E0-4743-8C92-751DDA7B01B5}"/>
            </c:ext>
          </c:extLst>
        </c:ser>
        <c:ser>
          <c:idx val="1"/>
          <c:order val="1"/>
          <c:tx>
            <c:strRef>
              <c:f>Graph!$B$26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Planets!$H$4:$H$16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Planets!$I$4:$I$16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E0-4743-8C92-751DDA7B01B5}"/>
            </c:ext>
          </c:extLst>
        </c:ser>
        <c:ser>
          <c:idx val="2"/>
          <c:order val="2"/>
          <c:tx>
            <c:strRef>
              <c:f>Graph!$B$35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Planets!$K$4:$K$16</c:f>
              <c:numCache>
                <c:formatCode>General</c:formatCode>
                <c:ptCount val="13"/>
                <c:pt idx="0">
                  <c:v>5000</c:v>
                </c:pt>
                <c:pt idx="1">
                  <c:v>4330.1270189221932</c:v>
                </c:pt>
                <c:pt idx="2">
                  <c:v>2500.0000000000005</c:v>
                </c:pt>
                <c:pt idx="3">
                  <c:v>3.06287113727155E-13</c:v>
                </c:pt>
                <c:pt idx="4">
                  <c:v>-2499.9999999999991</c:v>
                </c:pt>
                <c:pt idx="5">
                  <c:v>-4330.1270189221932</c:v>
                </c:pt>
                <c:pt idx="6">
                  <c:v>-5000</c:v>
                </c:pt>
                <c:pt idx="7">
                  <c:v>-4330.1270189221941</c:v>
                </c:pt>
                <c:pt idx="8">
                  <c:v>-2500.0000000000023</c:v>
                </c:pt>
                <c:pt idx="9">
                  <c:v>-9.1886134118146501E-13</c:v>
                </c:pt>
                <c:pt idx="10">
                  <c:v>2500.0000000000005</c:v>
                </c:pt>
                <c:pt idx="11">
                  <c:v>4330.1270189221923</c:v>
                </c:pt>
                <c:pt idx="12">
                  <c:v>5000</c:v>
                </c:pt>
              </c:numCache>
            </c:numRef>
          </c:xVal>
          <c:yVal>
            <c:numRef>
              <c:f>Planets!$L$4:$L$16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E0-4743-8C92-751DDA7B01B5}"/>
            </c:ext>
          </c:extLst>
        </c:ser>
        <c:ser>
          <c:idx val="3"/>
          <c:order val="3"/>
          <c:tx>
            <c:v>Corp mouv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Planets!$Y$4:$Y$996</c:f>
              <c:numCache>
                <c:formatCode>General</c:formatCode>
                <c:ptCount val="993"/>
                <c:pt idx="0">
                  <c:v>0</c:v>
                </c:pt>
                <c:pt idx="1">
                  <c:v>222.41313540988034</c:v>
                </c:pt>
                <c:pt idx="2">
                  <c:v>659.13216513980888</c:v>
                </c:pt>
                <c:pt idx="3">
                  <c:v>1290.3306808793645</c:v>
                </c:pt>
                <c:pt idx="4">
                  <c:v>2076.6629311015568</c:v>
                </c:pt>
                <c:pt idx="5">
                  <c:v>2946.0398493331604</c:v>
                </c:pt>
                <c:pt idx="6">
                  <c:v>3771.9826594963679</c:v>
                </c:pt>
                <c:pt idx="7">
                  <c:v>4332.5802985569908</c:v>
                </c:pt>
                <c:pt idx="8">
                  <c:v>4209.3100888435201</c:v>
                </c:pt>
                <c:pt idx="9">
                  <c:v>2572.3918003075996</c:v>
                </c:pt>
                <c:pt idx="10">
                  <c:v>-710.2147350905268</c:v>
                </c:pt>
                <c:pt idx="11">
                  <c:v>-3672.2064936351353</c:v>
                </c:pt>
                <c:pt idx="12">
                  <c:v>-5793.5531204022327</c:v>
                </c:pt>
                <c:pt idx="13">
                  <c:v>-6947.782925088587</c:v>
                </c:pt>
                <c:pt idx="14">
                  <c:v>-6991.1223903830687</c:v>
                </c:pt>
                <c:pt idx="15">
                  <c:v>-5658.6300650885096</c:v>
                </c:pt>
                <c:pt idx="16">
                  <c:v>-2567.3463223336357</c:v>
                </c:pt>
                <c:pt idx="17">
                  <c:v>1866.1337161073282</c:v>
                </c:pt>
                <c:pt idx="18">
                  <c:v>5602.2510290437776</c:v>
                </c:pt>
                <c:pt idx="19">
                  <c:v>8181.505262560062</c:v>
                </c:pt>
                <c:pt idx="20">
                  <c:v>9732.7920662395863</c:v>
                </c:pt>
                <c:pt idx="21">
                  <c:v>10370.918524160246</c:v>
                </c:pt>
                <c:pt idx="22">
                  <c:v>10139.040611472989</c:v>
                </c:pt>
                <c:pt idx="23">
                  <c:v>9002.5333913052655</c:v>
                </c:pt>
                <c:pt idx="24">
                  <c:v>6816.8551705092841</c:v>
                </c:pt>
                <c:pt idx="25">
                  <c:v>3230.1968708922332</c:v>
                </c:pt>
                <c:pt idx="26">
                  <c:v>-2203.3825193175408</c:v>
                </c:pt>
                <c:pt idx="27">
                  <c:v>-5826.5710422919319</c:v>
                </c:pt>
                <c:pt idx="28">
                  <c:v>-7755.9609708964181</c:v>
                </c:pt>
                <c:pt idx="29">
                  <c:v>-8440.6359215127759</c:v>
                </c:pt>
                <c:pt idx="30">
                  <c:v>-8060.0467647810783</c:v>
                </c:pt>
                <c:pt idx="31">
                  <c:v>-6643.0433328731178</c:v>
                </c:pt>
                <c:pt idx="32">
                  <c:v>-4106.7527039631987</c:v>
                </c:pt>
                <c:pt idx="33">
                  <c:v>-333.9563151141615</c:v>
                </c:pt>
                <c:pt idx="34">
                  <c:v>3720.2807630089424</c:v>
                </c:pt>
                <c:pt idx="35">
                  <c:v>5806.8993631498897</c:v>
                </c:pt>
                <c:pt idx="36">
                  <c:v>6503.3425373890195</c:v>
                </c:pt>
                <c:pt idx="37">
                  <c:v>6212.7291209862751</c:v>
                </c:pt>
                <c:pt idx="38">
                  <c:v>5097.139952512498</c:v>
                </c:pt>
                <c:pt idx="39">
                  <c:v>3185.5803615912519</c:v>
                </c:pt>
                <c:pt idx="40">
                  <c:v>437.10102176314831</c:v>
                </c:pt>
                <c:pt idx="41">
                  <c:v>-2581.7179634381237</c:v>
                </c:pt>
                <c:pt idx="42">
                  <c:v>-3897.2060097525314</c:v>
                </c:pt>
                <c:pt idx="43">
                  <c:v>-4233.2827488118774</c:v>
                </c:pt>
                <c:pt idx="44">
                  <c:v>-3954.4218352391513</c:v>
                </c:pt>
                <c:pt idx="45">
                  <c:v>-3227.7836370394848</c:v>
                </c:pt>
                <c:pt idx="46">
                  <c:v>-2148.3113915233671</c:v>
                </c:pt>
                <c:pt idx="47">
                  <c:v>-787.97907021644312</c:v>
                </c:pt>
                <c:pt idx="48">
                  <c:v>770.97927064892929</c:v>
                </c:pt>
                <c:pt idx="49">
                  <c:v>2396.4089617516051</c:v>
                </c:pt>
                <c:pt idx="50">
                  <c:v>3845.1227784734597</c:v>
                </c:pt>
                <c:pt idx="51">
                  <c:v>4663.0924681083106</c:v>
                </c:pt>
                <c:pt idx="52">
                  <c:v>4080.8571476098487</c:v>
                </c:pt>
                <c:pt idx="53">
                  <c:v>1604.6720786853357</c:v>
                </c:pt>
                <c:pt idx="54">
                  <c:v>-1526.6314209882987</c:v>
                </c:pt>
                <c:pt idx="55">
                  <c:v>-4183.0738821122668</c:v>
                </c:pt>
                <c:pt idx="56">
                  <c:v>-5870.0770638546173</c:v>
                </c:pt>
                <c:pt idx="57">
                  <c:v>-6269.0656775081661</c:v>
                </c:pt>
                <c:pt idx="58">
                  <c:v>-5070.1412010980857</c:v>
                </c:pt>
                <c:pt idx="59">
                  <c:v>-2151.7900883070552</c:v>
                </c:pt>
                <c:pt idx="60">
                  <c:v>1673.4180696912476</c:v>
                </c:pt>
                <c:pt idx="61">
                  <c:v>5057.838977877771</c:v>
                </c:pt>
                <c:pt idx="62">
                  <c:v>7469.9617978902697</c:v>
                </c:pt>
                <c:pt idx="63">
                  <c:v>8851.599919650771</c:v>
                </c:pt>
                <c:pt idx="64">
                  <c:v>9226.1613615266124</c:v>
                </c:pt>
                <c:pt idx="65">
                  <c:v>8581.3631944371464</c:v>
                </c:pt>
                <c:pt idx="66">
                  <c:v>6821.9746807700203</c:v>
                </c:pt>
                <c:pt idx="67">
                  <c:v>3716.324630764595</c:v>
                </c:pt>
                <c:pt idx="68">
                  <c:v>-986.56038277125526</c:v>
                </c:pt>
                <c:pt idx="69">
                  <c:v>-4816.5618152197858</c:v>
                </c:pt>
                <c:pt idx="70">
                  <c:v>-6729.2292930128351</c:v>
                </c:pt>
                <c:pt idx="71">
                  <c:v>-7306.704990994298</c:v>
                </c:pt>
                <c:pt idx="72">
                  <c:v>-6862.3576449836837</c:v>
                </c:pt>
                <c:pt idx="73">
                  <c:v>-5553.029589003906</c:v>
                </c:pt>
                <c:pt idx="74">
                  <c:v>-3472.7073148849113</c:v>
                </c:pt>
                <c:pt idx="75">
                  <c:v>-741.46900048011571</c:v>
                </c:pt>
                <c:pt idx="76">
                  <c:v>2266.7073050405993</c:v>
                </c:pt>
                <c:pt idx="77">
                  <c:v>4409.4817488911267</c:v>
                </c:pt>
                <c:pt idx="78">
                  <c:v>4656.8921878411538</c:v>
                </c:pt>
                <c:pt idx="79">
                  <c:v>3521.1715517239945</c:v>
                </c:pt>
                <c:pt idx="80">
                  <c:v>1626.4430550802117</c:v>
                </c:pt>
                <c:pt idx="81">
                  <c:v>-576.79114756979334</c:v>
                </c:pt>
                <c:pt idx="82">
                  <c:v>-2611.0817692489363</c:v>
                </c:pt>
                <c:pt idx="83">
                  <c:v>-3648.873147267941</c:v>
                </c:pt>
                <c:pt idx="84">
                  <c:v>-2642.2553490223017</c:v>
                </c:pt>
                <c:pt idx="85">
                  <c:v>-455.76262499288237</c:v>
                </c:pt>
                <c:pt idx="86">
                  <c:v>1929.0990764419685</c:v>
                </c:pt>
                <c:pt idx="87">
                  <c:v>4149.6438603612223</c:v>
                </c:pt>
                <c:pt idx="88">
                  <c:v>6064.5719469929491</c:v>
                </c:pt>
                <c:pt idx="89">
                  <c:v>7595.9057676230123</c:v>
                </c:pt>
                <c:pt idx="90">
                  <c:v>8682.5628921733914</c:v>
                </c:pt>
                <c:pt idx="91">
                  <c:v>9266.355050410004</c:v>
                </c:pt>
                <c:pt idx="92">
                  <c:v>9281.934704552581</c:v>
                </c:pt>
                <c:pt idx="93">
                  <c:v>8639.1828621097993</c:v>
                </c:pt>
                <c:pt idx="94">
                  <c:v>7186.991561219399</c:v>
                </c:pt>
                <c:pt idx="95">
                  <c:v>4629.0226056194224</c:v>
                </c:pt>
                <c:pt idx="96">
                  <c:v>369.08052744452311</c:v>
                </c:pt>
                <c:pt idx="97">
                  <c:v>-4224.8218222820697</c:v>
                </c:pt>
                <c:pt idx="98">
                  <c:v>-7013.4272456841281</c:v>
                </c:pt>
                <c:pt idx="99">
                  <c:v>-8480.464095472078</c:v>
                </c:pt>
                <c:pt idx="100">
                  <c:v>-8844.7249227269822</c:v>
                </c:pt>
                <c:pt idx="101">
                  <c:v>-8128.9967398593235</c:v>
                </c:pt>
                <c:pt idx="102">
                  <c:v>-6179.9448281805935</c:v>
                </c:pt>
                <c:pt idx="103">
                  <c:v>-2574.7176074570816</c:v>
                </c:pt>
                <c:pt idx="104">
                  <c:v>2895.0726149565935</c:v>
                </c:pt>
                <c:pt idx="105">
                  <c:v>6693.7958562838958</c:v>
                </c:pt>
                <c:pt idx="106">
                  <c:v>9114.0010327682903</c:v>
                </c:pt>
                <c:pt idx="107">
                  <c:v>10526.720587288044</c:v>
                </c:pt>
                <c:pt idx="108">
                  <c:v>11098.913609040437</c:v>
                </c:pt>
                <c:pt idx="109">
                  <c:v>10888.361328581868</c:v>
                </c:pt>
                <c:pt idx="110">
                  <c:v>9876.3481200594779</c:v>
                </c:pt>
                <c:pt idx="111">
                  <c:v>7958.5420632398755</c:v>
                </c:pt>
                <c:pt idx="112">
                  <c:v>4888.5905988431878</c:v>
                </c:pt>
                <c:pt idx="113">
                  <c:v>221.91342166872846</c:v>
                </c:pt>
                <c:pt idx="114">
                  <c:v>-4577.9073287160845</c:v>
                </c:pt>
                <c:pt idx="115">
                  <c:v>-7405.5835582575919</c:v>
                </c:pt>
                <c:pt idx="116">
                  <c:v>-8876.5351950270287</c:v>
                </c:pt>
                <c:pt idx="117">
                  <c:v>-9304.9806125220348</c:v>
                </c:pt>
                <c:pt idx="118">
                  <c:v>-8801.0302231678033</c:v>
                </c:pt>
                <c:pt idx="119">
                  <c:v>-7342.4490640279937</c:v>
                </c:pt>
                <c:pt idx="120">
                  <c:v>-4756.2322731515387</c:v>
                </c:pt>
                <c:pt idx="121">
                  <c:v>-629.97272391624711</c:v>
                </c:pt>
                <c:pt idx="122">
                  <c:v>4148.1533214761694</c:v>
                </c:pt>
                <c:pt idx="123">
                  <c:v>7235.0335893575284</c:v>
                </c:pt>
                <c:pt idx="124">
                  <c:v>9365.7972291459064</c:v>
                </c:pt>
                <c:pt idx="125">
                  <c:v>10901.48137736613</c:v>
                </c:pt>
                <c:pt idx="126">
                  <c:v>12028.8503963404</c:v>
                </c:pt>
                <c:pt idx="127">
                  <c:v>12865.6877817774</c:v>
                </c:pt>
                <c:pt idx="128">
                  <c:v>13502.899383419232</c:v>
                </c:pt>
                <c:pt idx="129">
                  <c:v>14028.738773880577</c:v>
                </c:pt>
                <c:pt idx="130">
                  <c:v>14559.003664147071</c:v>
                </c:pt>
                <c:pt idx="131">
                  <c:v>15258.389746616664</c:v>
                </c:pt>
                <c:pt idx="132">
                  <c:v>15709.031715720886</c:v>
                </c:pt>
                <c:pt idx="133">
                  <c:v>15953.388105901404</c:v>
                </c:pt>
                <c:pt idx="134">
                  <c:v>16041.318054179756</c:v>
                </c:pt>
                <c:pt idx="135">
                  <c:v>15998.738162629523</c:v>
                </c:pt>
                <c:pt idx="136">
                  <c:v>15839.759306697901</c:v>
                </c:pt>
                <c:pt idx="137">
                  <c:v>15572.480909962487</c:v>
                </c:pt>
                <c:pt idx="138">
                  <c:v>15203.120600497017</c:v>
                </c:pt>
                <c:pt idx="139">
                  <c:v>14744.871207564574</c:v>
                </c:pt>
                <c:pt idx="140">
                  <c:v>14263.622213073433</c:v>
                </c:pt>
                <c:pt idx="141">
                  <c:v>14225.41339162716</c:v>
                </c:pt>
                <c:pt idx="142">
                  <c:v>14442.549724715387</c:v>
                </c:pt>
                <c:pt idx="143">
                  <c:v>14542.323506431172</c:v>
                </c:pt>
                <c:pt idx="144">
                  <c:v>14411.121570692445</c:v>
                </c:pt>
                <c:pt idx="145">
                  <c:v>13968.603404190122</c:v>
                </c:pt>
                <c:pt idx="146">
                  <c:v>13129.224399028035</c:v>
                </c:pt>
                <c:pt idx="147">
                  <c:v>11782.352108272569</c:v>
                </c:pt>
                <c:pt idx="148">
                  <c:v>9763.7053337596553</c:v>
                </c:pt>
                <c:pt idx="149">
                  <c:v>6800.5284225993419</c:v>
                </c:pt>
                <c:pt idx="150">
                  <c:v>2445.2430827869712</c:v>
                </c:pt>
                <c:pt idx="151">
                  <c:v>-3128.7140559157879</c:v>
                </c:pt>
                <c:pt idx="152">
                  <c:v>-7235.309503011229</c:v>
                </c:pt>
                <c:pt idx="153">
                  <c:v>-9953.0856905646779</c:v>
                </c:pt>
                <c:pt idx="154">
                  <c:v>-11681.282482180835</c:v>
                </c:pt>
                <c:pt idx="155">
                  <c:v>-12655.450571199857</c:v>
                </c:pt>
                <c:pt idx="156">
                  <c:v>-13016.468741059072</c:v>
                </c:pt>
                <c:pt idx="157">
                  <c:v>-12858.199091152053</c:v>
                </c:pt>
                <c:pt idx="158">
                  <c:v>-12252.310267022114</c:v>
                </c:pt>
                <c:pt idx="159">
                  <c:v>-11261.775347717208</c:v>
                </c:pt>
                <c:pt idx="160">
                  <c:v>-9946.6580158947509</c:v>
                </c:pt>
                <c:pt idx="161">
                  <c:v>-8361.9870916464624</c:v>
                </c:pt>
                <c:pt idx="162">
                  <c:v>-6549.2206043484221</c:v>
                </c:pt>
                <c:pt idx="163">
                  <c:v>-4527.4654762259597</c:v>
                </c:pt>
                <c:pt idx="164">
                  <c:v>-2289.3063764366875</c:v>
                </c:pt>
                <c:pt idx="165">
                  <c:v>201.82925882792657</c:v>
                </c:pt>
                <c:pt idx="166">
                  <c:v>3021.3079276557946</c:v>
                </c:pt>
                <c:pt idx="167">
                  <c:v>6312.3607020991285</c:v>
                </c:pt>
                <c:pt idx="168">
                  <c:v>10359.370130479689</c:v>
                </c:pt>
                <c:pt idx="169">
                  <c:v>15665.521748675395</c:v>
                </c:pt>
                <c:pt idx="170">
                  <c:v>20264.615984256896</c:v>
                </c:pt>
                <c:pt idx="171">
                  <c:v>23053.033728323455</c:v>
                </c:pt>
                <c:pt idx="172">
                  <c:v>24766.220762284462</c:v>
                </c:pt>
                <c:pt idx="173">
                  <c:v>25727.443423243993</c:v>
                </c:pt>
                <c:pt idx="174">
                  <c:v>26087.267742412208</c:v>
                </c:pt>
                <c:pt idx="175">
                  <c:v>25919.083810608874</c:v>
                </c:pt>
                <c:pt idx="176">
                  <c:v>25252.37453977378</c:v>
                </c:pt>
                <c:pt idx="177">
                  <c:v>24083.219901147699</c:v>
                </c:pt>
                <c:pt idx="178">
                  <c:v>22372.179015232505</c:v>
                </c:pt>
                <c:pt idx="179">
                  <c:v>20028.477749792793</c:v>
                </c:pt>
                <c:pt idx="180">
                  <c:v>16876.687924627651</c:v>
                </c:pt>
                <c:pt idx="181">
                  <c:v>12825.769399633145</c:v>
                </c:pt>
                <c:pt idx="182">
                  <c:v>10409.905354710263</c:v>
                </c:pt>
                <c:pt idx="183">
                  <c:v>8949.8585923280061</c:v>
                </c:pt>
                <c:pt idx="184">
                  <c:v>7868.4103533475036</c:v>
                </c:pt>
                <c:pt idx="185">
                  <c:v>6880.978140224046</c:v>
                </c:pt>
                <c:pt idx="186">
                  <c:v>5775.9828987695355</c:v>
                </c:pt>
                <c:pt idx="187">
                  <c:v>4303.9448312701734</c:v>
                </c:pt>
                <c:pt idx="188">
                  <c:v>2004.9258576049447</c:v>
                </c:pt>
                <c:pt idx="189">
                  <c:v>-1791.7941665321423</c:v>
                </c:pt>
                <c:pt idx="190">
                  <c:v>-4682.2245008534801</c:v>
                </c:pt>
                <c:pt idx="191">
                  <c:v>-6843.6914372867832</c:v>
                </c:pt>
                <c:pt idx="192">
                  <c:v>-8466.893477863252</c:v>
                </c:pt>
                <c:pt idx="193">
                  <c:v>-9645.2374942626811</c:v>
                </c:pt>
                <c:pt idx="194">
                  <c:v>-10422.249673129663</c:v>
                </c:pt>
                <c:pt idx="195">
                  <c:v>-10811.304923228559</c:v>
                </c:pt>
                <c:pt idx="196">
                  <c:v>-10801.581407911017</c:v>
                </c:pt>
                <c:pt idx="197">
                  <c:v>-10355.468493599492</c:v>
                </c:pt>
                <c:pt idx="198">
                  <c:v>-9395.5322406160285</c:v>
                </c:pt>
                <c:pt idx="199">
                  <c:v>-7768.7899300901536</c:v>
                </c:pt>
                <c:pt idx="200">
                  <c:v>-5144.6123036076224</c:v>
                </c:pt>
                <c:pt idx="201">
                  <c:v>-758.76418007342363</c:v>
                </c:pt>
                <c:pt idx="202">
                  <c:v>4301.1642571152834</c:v>
                </c:pt>
                <c:pt idx="203">
                  <c:v>8212.6331345801409</c:v>
                </c:pt>
                <c:pt idx="204">
                  <c:v>11352.74510695853</c:v>
                </c:pt>
                <c:pt idx="205">
                  <c:v>13956.648300827288</c:v>
                </c:pt>
                <c:pt idx="206">
                  <c:v>16136.517887439855</c:v>
                </c:pt>
                <c:pt idx="207">
                  <c:v>17940.227720036768</c:v>
                </c:pt>
                <c:pt idx="208">
                  <c:v>19377.048666808387</c:v>
                </c:pt>
                <c:pt idx="209">
                  <c:v>20424.921667854942</c:v>
                </c:pt>
                <c:pt idx="210">
                  <c:v>21023.367880952999</c:v>
                </c:pt>
                <c:pt idx="211">
                  <c:v>21043.974641396002</c:v>
                </c:pt>
                <c:pt idx="212">
                  <c:v>20203.010237855655</c:v>
                </c:pt>
                <c:pt idx="213">
                  <c:v>17825.36673146368</c:v>
                </c:pt>
                <c:pt idx="214">
                  <c:v>13545.457167390292</c:v>
                </c:pt>
                <c:pt idx="215">
                  <c:v>9715.3210298337835</c:v>
                </c:pt>
                <c:pt idx="216">
                  <c:v>6570.4725804612171</c:v>
                </c:pt>
                <c:pt idx="217">
                  <c:v>3987.8416055938583</c:v>
                </c:pt>
                <c:pt idx="218">
                  <c:v>1865.1173358706028</c:v>
                </c:pt>
                <c:pt idx="219">
                  <c:v>130.52152264888826</c:v>
                </c:pt>
                <c:pt idx="220">
                  <c:v>-1268.869637986995</c:v>
                </c:pt>
                <c:pt idx="221">
                  <c:v>-2375.3707799084054</c:v>
                </c:pt>
                <c:pt idx="222">
                  <c:v>-3224.8578442755716</c:v>
                </c:pt>
                <c:pt idx="223">
                  <c:v>-3847.1923244670174</c:v>
                </c:pt>
                <c:pt idx="224">
                  <c:v>-4263.3832767708491</c:v>
                </c:pt>
                <c:pt idx="225">
                  <c:v>-4481.4281015789802</c:v>
                </c:pt>
                <c:pt idx="226">
                  <c:v>-4493.7006893418229</c:v>
                </c:pt>
                <c:pt idx="227">
                  <c:v>-4276.1217133938108</c:v>
                </c:pt>
                <c:pt idx="228">
                  <c:v>-3783.8479088736322</c:v>
                </c:pt>
                <c:pt idx="229">
                  <c:v>-2930.2095771409195</c:v>
                </c:pt>
                <c:pt idx="230">
                  <c:v>-1507.0229287241393</c:v>
                </c:pt>
                <c:pt idx="231">
                  <c:v>953.51192001339768</c:v>
                </c:pt>
                <c:pt idx="232">
                  <c:v>2908.978357161569</c:v>
                </c:pt>
                <c:pt idx="233">
                  <c:v>4432.9635214652999</c:v>
                </c:pt>
                <c:pt idx="234">
                  <c:v>5651.1638295026614</c:v>
                </c:pt>
                <c:pt idx="235">
                  <c:v>6624.016221200528</c:v>
                </c:pt>
                <c:pt idx="236">
                  <c:v>7380.6705019998117</c:v>
                </c:pt>
                <c:pt idx="237">
                  <c:v>7933.0710389406822</c:v>
                </c:pt>
                <c:pt idx="238">
                  <c:v>8281.1189877924153</c:v>
                </c:pt>
                <c:pt idx="239">
                  <c:v>8413.5544536927537</c:v>
                </c:pt>
                <c:pt idx="240">
                  <c:v>8305.476696812093</c:v>
                </c:pt>
                <c:pt idx="241">
                  <c:v>7910.9369953520736</c:v>
                </c:pt>
                <c:pt idx="242">
                  <c:v>7144.4777728825838</c:v>
                </c:pt>
                <c:pt idx="243">
                  <c:v>5830.5137976811502</c:v>
                </c:pt>
                <c:pt idx="244">
                  <c:v>3540.0881060811475</c:v>
                </c:pt>
                <c:pt idx="245">
                  <c:v>-664.80369050873423</c:v>
                </c:pt>
                <c:pt idx="246">
                  <c:v>-4459.3260819597117</c:v>
                </c:pt>
                <c:pt idx="247">
                  <c:v>-7506.9112308923568</c:v>
                </c:pt>
                <c:pt idx="248">
                  <c:v>-10005.113554998268</c:v>
                </c:pt>
                <c:pt idx="249">
                  <c:v>-12096.430566880103</c:v>
                </c:pt>
                <c:pt idx="250">
                  <c:v>-13880.501027214668</c:v>
                </c:pt>
                <c:pt idx="251">
                  <c:v>-15434.278291083865</c:v>
                </c:pt>
                <c:pt idx="252">
                  <c:v>-16824.488355526541</c:v>
                </c:pt>
                <c:pt idx="253">
                  <c:v>-18117.203335225771</c:v>
                </c:pt>
                <c:pt idx="254">
                  <c:v>-19385.445312123156</c:v>
                </c:pt>
                <c:pt idx="255">
                  <c:v>-20656.527102358166</c:v>
                </c:pt>
                <c:pt idx="256">
                  <c:v>-21098.939323340419</c:v>
                </c:pt>
                <c:pt idx="257">
                  <c:v>-21023.572260310233</c:v>
                </c:pt>
                <c:pt idx="258">
                  <c:v>-20663.725908863442</c:v>
                </c:pt>
                <c:pt idx="259">
                  <c:v>-20106.490410661161</c:v>
                </c:pt>
                <c:pt idx="260">
                  <c:v>-19401.462257369945</c:v>
                </c:pt>
                <c:pt idx="261">
                  <c:v>-18593.441108142571</c:v>
                </c:pt>
                <c:pt idx="262">
                  <c:v>-17746.726960718559</c:v>
                </c:pt>
                <c:pt idx="263">
                  <c:v>-16992.530635246367</c:v>
                </c:pt>
                <c:pt idx="264">
                  <c:v>-16657.03454221402</c:v>
                </c:pt>
                <c:pt idx="265">
                  <c:v>-17368.16634374372</c:v>
                </c:pt>
                <c:pt idx="266">
                  <c:v>-18794.445606990063</c:v>
                </c:pt>
                <c:pt idx="267">
                  <c:v>-20207.938200866985</c:v>
                </c:pt>
                <c:pt idx="268">
                  <c:v>-21378.159813351915</c:v>
                </c:pt>
                <c:pt idx="269">
                  <c:v>-22246.814926614468</c:v>
                </c:pt>
                <c:pt idx="270">
                  <c:v>-22801.357891842894</c:v>
                </c:pt>
                <c:pt idx="271">
                  <c:v>-23041.603893208699</c:v>
                </c:pt>
                <c:pt idx="272">
                  <c:v>-22970.245183875013</c:v>
                </c:pt>
                <c:pt idx="273">
                  <c:v>-22590.409658207886</c:v>
                </c:pt>
                <c:pt idx="274">
                  <c:v>-21906.224653380468</c:v>
                </c:pt>
                <c:pt idx="275">
                  <c:v>-20926.093078612139</c:v>
                </c:pt>
                <c:pt idx="276">
                  <c:v>-19670.639993548222</c:v>
                </c:pt>
                <c:pt idx="277">
                  <c:v>-18190.315497909069</c:v>
                </c:pt>
                <c:pt idx="278">
                  <c:v>-16600.618878185589</c:v>
                </c:pt>
                <c:pt idx="279">
                  <c:v>-15128.302050461116</c:v>
                </c:pt>
                <c:pt idx="280">
                  <c:v>-14074.587801669117</c:v>
                </c:pt>
                <c:pt idx="281">
                  <c:v>-13587.351889763147</c:v>
                </c:pt>
                <c:pt idx="282">
                  <c:v>-13569.862614360984</c:v>
                </c:pt>
                <c:pt idx="283">
                  <c:v>-13858.046999995269</c:v>
                </c:pt>
                <c:pt idx="284">
                  <c:v>-14327.797713167327</c:v>
                </c:pt>
                <c:pt idx="285">
                  <c:v>-14902.461605742606</c:v>
                </c:pt>
                <c:pt idx="286">
                  <c:v>-15538.099939404055</c:v>
                </c:pt>
                <c:pt idx="287">
                  <c:v>-16212.09210343121</c:v>
                </c:pt>
                <c:pt idx="288">
                  <c:v>-16917.926704993712</c:v>
                </c:pt>
                <c:pt idx="289">
                  <c:v>-17666.401290777467</c:v>
                </c:pt>
                <c:pt idx="290">
                  <c:v>-18497.745824506586</c:v>
                </c:pt>
                <c:pt idx="291">
                  <c:v>-19522.217158470245</c:v>
                </c:pt>
                <c:pt idx="292">
                  <c:v>-20787.830467802767</c:v>
                </c:pt>
                <c:pt idx="293">
                  <c:v>-21525.49752692855</c:v>
                </c:pt>
                <c:pt idx="294">
                  <c:v>-21872.410709874443</c:v>
                </c:pt>
                <c:pt idx="295">
                  <c:v>-21896.927052754028</c:v>
                </c:pt>
                <c:pt idx="296">
                  <c:v>-21627.229562509645</c:v>
                </c:pt>
                <c:pt idx="297">
                  <c:v>-21073.115372537188</c:v>
                </c:pt>
                <c:pt idx="298">
                  <c:v>-20232.989917551156</c:v>
                </c:pt>
                <c:pt idx="299">
                  <c:v>-19095.318562136734</c:v>
                </c:pt>
                <c:pt idx="300">
                  <c:v>-17636.991124054504</c:v>
                </c:pt>
                <c:pt idx="301">
                  <c:v>-15818.494223814299</c:v>
                </c:pt>
                <c:pt idx="302">
                  <c:v>-13573.665246942008</c:v>
                </c:pt>
                <c:pt idx="303">
                  <c:v>-10787.201318865809</c:v>
                </c:pt>
                <c:pt idx="304">
                  <c:v>-7238.1623288579258</c:v>
                </c:pt>
                <c:pt idx="305">
                  <c:v>-2437.8677064981657</c:v>
                </c:pt>
                <c:pt idx="306">
                  <c:v>4132.08613939728</c:v>
                </c:pt>
                <c:pt idx="307">
                  <c:v>8832.9024069743955</c:v>
                </c:pt>
                <c:pt idx="308">
                  <c:v>12552.614355715523</c:v>
                </c:pt>
                <c:pt idx="309">
                  <c:v>15678.426948149794</c:v>
                </c:pt>
                <c:pt idx="310">
                  <c:v>18378.058546598357</c:v>
                </c:pt>
                <c:pt idx="311">
                  <c:v>20738.104157905695</c:v>
                </c:pt>
                <c:pt idx="312">
                  <c:v>22809.00913777532</c:v>
                </c:pt>
                <c:pt idx="313">
                  <c:v>24622.542720790374</c:v>
                </c:pt>
                <c:pt idx="314">
                  <c:v>26199.654747457611</c:v>
                </c:pt>
                <c:pt idx="315">
                  <c:v>27554.407874054137</c:v>
                </c:pt>
                <c:pt idx="316">
                  <c:v>28696.102280772539</c:v>
                </c:pt>
                <c:pt idx="317">
                  <c:v>29630.480956733791</c:v>
                </c:pt>
                <c:pt idx="318">
                  <c:v>30360.423347043292</c:v>
                </c:pt>
                <c:pt idx="319">
                  <c:v>30886.326495722122</c:v>
                </c:pt>
                <c:pt idx="320">
                  <c:v>31206.272883620357</c:v>
                </c:pt>
                <c:pt idx="321">
                  <c:v>31316.030522944056</c:v>
                </c:pt>
                <c:pt idx="322">
                  <c:v>31208.896586026884</c:v>
                </c:pt>
                <c:pt idx="323">
                  <c:v>30875.366807239829</c:v>
                </c:pt>
                <c:pt idx="324">
                  <c:v>30302.578093985583</c:v>
                </c:pt>
                <c:pt idx="325">
                  <c:v>29473.416186676692</c:v>
                </c:pt>
                <c:pt idx="326">
                  <c:v>28365.07326258711</c:v>
                </c:pt>
                <c:pt idx="327">
                  <c:v>26946.606590739288</c:v>
                </c:pt>
                <c:pt idx="328">
                  <c:v>25174.479127211798</c:v>
                </c:pt>
                <c:pt idx="329">
                  <c:v>22983.519957126737</c:v>
                </c:pt>
                <c:pt idx="330">
                  <c:v>20266.271089546157</c:v>
                </c:pt>
                <c:pt idx="331">
                  <c:v>16824.660063038034</c:v>
                </c:pt>
                <c:pt idx="332">
                  <c:v>12485.623462752741</c:v>
                </c:pt>
                <c:pt idx="333">
                  <c:v>9834.7427621698916</c:v>
                </c:pt>
                <c:pt idx="334">
                  <c:v>8034.8220202503089</c:v>
                </c:pt>
                <c:pt idx="335">
                  <c:v>6665.197046316016</c:v>
                </c:pt>
                <c:pt idx="336">
                  <c:v>5564.2021750602471</c:v>
                </c:pt>
                <c:pt idx="337">
                  <c:v>4656.1578811207619</c:v>
                </c:pt>
                <c:pt idx="338">
                  <c:v>3900.9985398859103</c:v>
                </c:pt>
                <c:pt idx="339">
                  <c:v>3276.235893183481</c:v>
                </c:pt>
                <c:pt idx="340">
                  <c:v>2769.3566938531544</c:v>
                </c:pt>
                <c:pt idx="341">
                  <c:v>2374.3139681646562</c:v>
                </c:pt>
                <c:pt idx="342">
                  <c:v>2089.9257030572162</c:v>
                </c:pt>
                <c:pt idx="343">
                  <c:v>1919.3601250480681</c:v>
                </c:pt>
                <c:pt idx="344">
                  <c:v>1870.4513997086756</c:v>
                </c:pt>
                <c:pt idx="345">
                  <c:v>1956.931829473951</c:v>
                </c:pt>
                <c:pt idx="346">
                  <c:v>2201.0378305904355</c:v>
                </c:pt>
                <c:pt idx="347">
                  <c:v>2638.586722690095</c:v>
                </c:pt>
                <c:pt idx="348">
                  <c:v>3328.9747261426933</c:v>
                </c:pt>
                <c:pt idx="349">
                  <c:v>4375.6133612878884</c:v>
                </c:pt>
                <c:pt idx="350">
                  <c:v>5968.7411223939816</c:v>
                </c:pt>
                <c:pt idx="351">
                  <c:v>8462.9942651414713</c:v>
                </c:pt>
                <c:pt idx="352">
                  <c:v>12308.416963423912</c:v>
                </c:pt>
                <c:pt idx="353">
                  <c:v>16820.556297166153</c:v>
                </c:pt>
                <c:pt idx="354">
                  <c:v>20827.30359201162</c:v>
                </c:pt>
                <c:pt idx="355">
                  <c:v>24139.237497311886</c:v>
                </c:pt>
                <c:pt idx="356">
                  <c:v>26825.053534195111</c:v>
                </c:pt>
                <c:pt idx="357">
                  <c:v>28965.911740351461</c:v>
                </c:pt>
                <c:pt idx="358">
                  <c:v>30622.790955848159</c:v>
                </c:pt>
                <c:pt idx="359">
                  <c:v>31837.309863460101</c:v>
                </c:pt>
                <c:pt idx="360">
                  <c:v>32635.734641709918</c:v>
                </c:pt>
                <c:pt idx="361">
                  <c:v>33031.835562833796</c:v>
                </c:pt>
                <c:pt idx="362">
                  <c:v>33028.216331939984</c:v>
                </c:pt>
                <c:pt idx="363">
                  <c:v>32616.12626358134</c:v>
                </c:pt>
                <c:pt idx="364">
                  <c:v>31773.457640765388</c:v>
                </c:pt>
                <c:pt idx="365">
                  <c:v>30459.909877857073</c:v>
                </c:pt>
                <c:pt idx="366">
                  <c:v>28606.619910706948</c:v>
                </c:pt>
                <c:pt idx="367">
                  <c:v>26092.843510256578</c:v>
                </c:pt>
                <c:pt idx="368">
                  <c:v>22686.700739069296</c:v>
                </c:pt>
                <c:pt idx="369">
                  <c:v>17876.240525821479</c:v>
                </c:pt>
                <c:pt idx="370">
                  <c:v>11053.650881517273</c:v>
                </c:pt>
                <c:pt idx="371">
                  <c:v>6043.3610180294609</c:v>
                </c:pt>
                <c:pt idx="372">
                  <c:v>2007.1079918395837</c:v>
                </c:pt>
                <c:pt idx="373">
                  <c:v>-1503.7826299494413</c:v>
                </c:pt>
                <c:pt idx="374">
                  <c:v>-4705.9533494451689</c:v>
                </c:pt>
                <c:pt idx="375">
                  <c:v>-7735.3934335494096</c:v>
                </c:pt>
                <c:pt idx="376">
                  <c:v>-10704.385622203768</c:v>
                </c:pt>
                <c:pt idx="377">
                  <c:v>-13717.348115335421</c:v>
                </c:pt>
                <c:pt idx="378">
                  <c:v>-16828.088237929216</c:v>
                </c:pt>
                <c:pt idx="379">
                  <c:v>-19935.844446278683</c:v>
                </c:pt>
                <c:pt idx="380">
                  <c:v>-22818.234328678529</c:v>
                </c:pt>
                <c:pt idx="381">
                  <c:v>-25320.127681404374</c:v>
                </c:pt>
                <c:pt idx="382">
                  <c:v>-27393.036864309688</c:v>
                </c:pt>
                <c:pt idx="383">
                  <c:v>-29039.847554045424</c:v>
                </c:pt>
                <c:pt idx="384">
                  <c:v>-30277.098922153727</c:v>
                </c:pt>
                <c:pt idx="385">
                  <c:v>-31119.990894438397</c:v>
                </c:pt>
                <c:pt idx="386">
                  <c:v>-31577.188518396895</c:v>
                </c:pt>
                <c:pt idx="387">
                  <c:v>-31648.624537204822</c:v>
                </c:pt>
                <c:pt idx="388">
                  <c:v>-31323.459937873875</c:v>
                </c:pt>
                <c:pt idx="389">
                  <c:v>-30576.563506069568</c:v>
                </c:pt>
                <c:pt idx="390">
                  <c:v>-29361.432036592396</c:v>
                </c:pt>
                <c:pt idx="391">
                  <c:v>-27595.061671223582</c:v>
                </c:pt>
                <c:pt idx="392">
                  <c:v>-25123.693887440382</c:v>
                </c:pt>
                <c:pt idx="393">
                  <c:v>-21658.086875929683</c:v>
                </c:pt>
                <c:pt idx="394">
                  <c:v>-17199.907701840701</c:v>
                </c:pt>
                <c:pt idx="395">
                  <c:v>-13757.094412738064</c:v>
                </c:pt>
                <c:pt idx="396">
                  <c:v>-10852.590170083238</c:v>
                </c:pt>
                <c:pt idx="397">
                  <c:v>-8101.6009351767325</c:v>
                </c:pt>
                <c:pt idx="398">
                  <c:v>-5297.5277897416545</c:v>
                </c:pt>
                <c:pt idx="399">
                  <c:v>-2314.2443920123014</c:v>
                </c:pt>
                <c:pt idx="400">
                  <c:v>916.96559569628403</c:v>
                </c:pt>
                <c:pt idx="401">
                  <c:v>4378.1210738476457</c:v>
                </c:pt>
                <c:pt idx="402">
                  <c:v>7904.4032807143094</c:v>
                </c:pt>
                <c:pt idx="403">
                  <c:v>11216.397834973783</c:v>
                </c:pt>
                <c:pt idx="404">
                  <c:v>14108.892728707535</c:v>
                </c:pt>
                <c:pt idx="405">
                  <c:v>16529.87428781579</c:v>
                </c:pt>
                <c:pt idx="406">
                  <c:v>18509.76833807151</c:v>
                </c:pt>
                <c:pt idx="407">
                  <c:v>20099.390690204542</c:v>
                </c:pt>
                <c:pt idx="408">
                  <c:v>21346.332689586074</c:v>
                </c:pt>
                <c:pt idx="409">
                  <c:v>22289.464979444958</c:v>
                </c:pt>
                <c:pt idx="410">
                  <c:v>22959.101019304926</c:v>
                </c:pt>
                <c:pt idx="411">
                  <c:v>23378.410724983718</c:v>
                </c:pt>
                <c:pt idx="412">
                  <c:v>23564.811428115892</c:v>
                </c:pt>
                <c:pt idx="413">
                  <c:v>23531.047871953964</c:v>
                </c:pt>
                <c:pt idx="414">
                  <c:v>23285.944508054359</c:v>
                </c:pt>
                <c:pt idx="415">
                  <c:v>22834.868002689807</c:v>
                </c:pt>
                <c:pt idx="416">
                  <c:v>22179.928640405044</c:v>
                </c:pt>
                <c:pt idx="417">
                  <c:v>21319.918676604575</c:v>
                </c:pt>
                <c:pt idx="418">
                  <c:v>20249.93879868419</c:v>
                </c:pt>
                <c:pt idx="419">
                  <c:v>18960.586817340019</c:v>
                </c:pt>
                <c:pt idx="420">
                  <c:v>17436.436405760571</c:v>
                </c:pt>
                <c:pt idx="421">
                  <c:v>15653.217904092262</c:v>
                </c:pt>
                <c:pt idx="422">
                  <c:v>13572.346766806531</c:v>
                </c:pt>
                <c:pt idx="423">
                  <c:v>11129.33363221732</c:v>
                </c:pt>
                <c:pt idx="424">
                  <c:v>8205.8539112333892</c:v>
                </c:pt>
                <c:pt idx="425">
                  <c:v>4550.1458535669035</c:v>
                </c:pt>
                <c:pt idx="426">
                  <c:v>-442.6176702060784</c:v>
                </c:pt>
                <c:pt idx="427">
                  <c:v>-4928.6183068541104</c:v>
                </c:pt>
                <c:pt idx="428">
                  <c:v>-8096.1925983826268</c:v>
                </c:pt>
                <c:pt idx="429">
                  <c:v>-10521.178175063324</c:v>
                </c:pt>
                <c:pt idx="430">
                  <c:v>-12460.857845831466</c:v>
                </c:pt>
                <c:pt idx="431">
                  <c:v>-14057.727627586106</c:v>
                </c:pt>
                <c:pt idx="432">
                  <c:v>-15412.989495117294</c:v>
                </c:pt>
                <c:pt idx="433">
                  <c:v>-16620.915906066297</c:v>
                </c:pt>
                <c:pt idx="434">
                  <c:v>-17804.537960553724</c:v>
                </c:pt>
                <c:pt idx="435">
                  <c:v>-19203.464122963091</c:v>
                </c:pt>
                <c:pt idx="436">
                  <c:v>-21107.637923975039</c:v>
                </c:pt>
                <c:pt idx="437">
                  <c:v>-22434.961899174174</c:v>
                </c:pt>
                <c:pt idx="438">
                  <c:v>-23364.95079114852</c:v>
                </c:pt>
                <c:pt idx="439">
                  <c:v>-24000.97817075589</c:v>
                </c:pt>
                <c:pt idx="440">
                  <c:v>-24396.374014351954</c:v>
                </c:pt>
                <c:pt idx="441">
                  <c:v>-24582.067842706001</c:v>
                </c:pt>
                <c:pt idx="442">
                  <c:v>-24577.313941056138</c:v>
                </c:pt>
                <c:pt idx="443">
                  <c:v>-24394.400318753473</c:v>
                </c:pt>
                <c:pt idx="444">
                  <c:v>-24040.999326581634</c:v>
                </c:pt>
                <c:pt idx="445">
                  <c:v>-23521.498794757688</c:v>
                </c:pt>
                <c:pt idx="446">
                  <c:v>-22837.933287102187</c:v>
                </c:pt>
                <c:pt idx="447">
                  <c:v>-21990.99298856303</c:v>
                </c:pt>
                <c:pt idx="448">
                  <c:v>-20981.905329365669</c:v>
                </c:pt>
                <c:pt idx="449">
                  <c:v>-19817.387029356014</c:v>
                </c:pt>
                <c:pt idx="450">
                  <c:v>-18525.379297079344</c:v>
                </c:pt>
                <c:pt idx="451">
                  <c:v>-17213.138752975916</c:v>
                </c:pt>
                <c:pt idx="452">
                  <c:v>-16282.098347417879</c:v>
                </c:pt>
                <c:pt idx="453">
                  <c:v>-16393.144317464295</c:v>
                </c:pt>
                <c:pt idx="454">
                  <c:v>-16944.477350896421</c:v>
                </c:pt>
                <c:pt idx="455">
                  <c:v>-17463.510683290464</c:v>
                </c:pt>
                <c:pt idx="456">
                  <c:v>-17784.739091075739</c:v>
                </c:pt>
                <c:pt idx="457">
                  <c:v>-17832.0801708115</c:v>
                </c:pt>
                <c:pt idx="458">
                  <c:v>-17552.697920004375</c:v>
                </c:pt>
                <c:pt idx="459">
                  <c:v>-16896.369865253495</c:v>
                </c:pt>
                <c:pt idx="460">
                  <c:v>-15806.438448220648</c:v>
                </c:pt>
                <c:pt idx="461">
                  <c:v>-14213.657647611235</c:v>
                </c:pt>
                <c:pt idx="462">
                  <c:v>-12031.255032800858</c:v>
                </c:pt>
                <c:pt idx="463">
                  <c:v>-9155.2620507530683</c:v>
                </c:pt>
                <c:pt idx="464">
                  <c:v>-5491.533468820935</c:v>
                </c:pt>
                <c:pt idx="465">
                  <c:v>-1085.8999408926377</c:v>
                </c:pt>
                <c:pt idx="466">
                  <c:v>3549.9431433572172</c:v>
                </c:pt>
                <c:pt idx="467">
                  <c:v>7522.5314653812038</c:v>
                </c:pt>
                <c:pt idx="468">
                  <c:v>10486.55184731006</c:v>
                </c:pt>
                <c:pt idx="469">
                  <c:v>12593.588237089769</c:v>
                </c:pt>
                <c:pt idx="470">
                  <c:v>14067.901284770622</c:v>
                </c:pt>
                <c:pt idx="471">
                  <c:v>15082.696054190596</c:v>
                </c:pt>
                <c:pt idx="472">
                  <c:v>15751.753222701158</c:v>
                </c:pt>
                <c:pt idx="473">
                  <c:v>16126.385316642803</c:v>
                </c:pt>
                <c:pt idx="474">
                  <c:v>16122.904376947663</c:v>
                </c:pt>
                <c:pt idx="475">
                  <c:v>15089.220334567255</c:v>
                </c:pt>
                <c:pt idx="476">
                  <c:v>13938.359736261667</c:v>
                </c:pt>
                <c:pt idx="477">
                  <c:v>12816.632596087809</c:v>
                </c:pt>
                <c:pt idx="478">
                  <c:v>11722.24166518673</c:v>
                </c:pt>
                <c:pt idx="479">
                  <c:v>10648.774421401587</c:v>
                </c:pt>
                <c:pt idx="480">
                  <c:v>9592.2136262923595</c:v>
                </c:pt>
                <c:pt idx="481">
                  <c:v>8550.4178799389465</c:v>
                </c:pt>
                <c:pt idx="482">
                  <c:v>7522.396885125785</c:v>
                </c:pt>
                <c:pt idx="483">
                  <c:v>6507.8454078481645</c:v>
                </c:pt>
                <c:pt idx="484">
                  <c:v>5506.8676388187705</c:v>
                </c:pt>
                <c:pt idx="485">
                  <c:v>4519.8158154509692</c:v>
                </c:pt>
                <c:pt idx="486">
                  <c:v>3547.1956021282931</c:v>
                </c:pt>
                <c:pt idx="487">
                  <c:v>2589.6107749036833</c:v>
                </c:pt>
                <c:pt idx="488">
                  <c:v>1647.7314207740633</c:v>
                </c:pt>
                <c:pt idx="489">
                  <c:v>722.27646400287313</c:v>
                </c:pt>
                <c:pt idx="490">
                  <c:v>-185.99490203725924</c:v>
                </c:pt>
                <c:pt idx="491">
                  <c:v>-1076.2861133726788</c:v>
                </c:pt>
                <c:pt idx="492">
                  <c:v>-1947.7624062152577</c:v>
                </c:pt>
                <c:pt idx="493">
                  <c:v>-2799.5474198078482</c:v>
                </c:pt>
                <c:pt idx="494">
                  <c:v>-3630.717907591687</c:v>
                </c:pt>
                <c:pt idx="495">
                  <c:v>-4440.2969260642558</c:v>
                </c:pt>
                <c:pt idx="496">
                  <c:v>-5227.245669163769</c:v>
                </c:pt>
                <c:pt idx="497">
                  <c:v>-5990.4539774061577</c:v>
                </c:pt>
                <c:pt idx="498">
                  <c:v>-6728.729449610988</c:v>
                </c:pt>
                <c:pt idx="499">
                  <c:v>-7440.7850052140639</c:v>
                </c:pt>
                <c:pt idx="500">
                  <c:v>-8125.2246775921467</c:v>
                </c:pt>
                <c:pt idx="501">
                  <c:v>-8780.5273588889577</c:v>
                </c:pt>
                <c:pt idx="502">
                  <c:v>-9405.0281642790032</c:v>
                </c:pt>
                <c:pt idx="503">
                  <c:v>-9996.8970438218057</c:v>
                </c:pt>
                <c:pt idx="504">
                  <c:v>-10554.114257558038</c:v>
                </c:pt>
                <c:pt idx="505">
                  <c:v>-11074.442375358518</c:v>
                </c:pt>
                <c:pt idx="506">
                  <c:v>-11555.394629959846</c:v>
                </c:pt>
                <c:pt idx="507">
                  <c:v>-11994.199864480419</c:v>
                </c:pt>
                <c:pt idx="508">
                  <c:v>-12387.765224673904</c:v>
                </c:pt>
                <c:pt idx="509">
                  <c:v>-12732.639660772291</c:v>
                </c:pt>
                <c:pt idx="510">
                  <c:v>-13024.985287399344</c:v>
                </c:pt>
                <c:pt idx="511">
                  <c:v>-13260.571992932848</c:v>
                </c:pt>
                <c:pt idx="512">
                  <c:v>-13434.828517909904</c:v>
                </c:pt>
                <c:pt idx="513">
                  <c:v>-13543.022547091274</c:v>
                </c:pt>
                <c:pt idx="514">
                  <c:v>-13580.732866517214</c:v>
                </c:pt>
                <c:pt idx="515">
                  <c:v>-13544.996172563457</c:v>
                </c:pt>
                <c:pt idx="516">
                  <c:v>-13437.076326339982</c:v>
                </c:pt>
                <c:pt idx="517">
                  <c:v>-13269.339957987158</c:v>
                </c:pt>
                <c:pt idx="518">
                  <c:v>-13082.878587844549</c:v>
                </c:pt>
                <c:pt idx="519">
                  <c:v>-12990.088488614267</c:v>
                </c:pt>
                <c:pt idx="520">
                  <c:v>-13220.440006295365</c:v>
                </c:pt>
                <c:pt idx="521">
                  <c:v>-13868.107680703961</c:v>
                </c:pt>
                <c:pt idx="522">
                  <c:v>-14625.00191267558</c:v>
                </c:pt>
                <c:pt idx="523">
                  <c:v>-15227.225346445694</c:v>
                </c:pt>
                <c:pt idx="524">
                  <c:v>-15526.951432244063</c:v>
                </c:pt>
                <c:pt idx="525">
                  <c:v>-15417.162556668609</c:v>
                </c:pt>
                <c:pt idx="526">
                  <c:v>-14808.720893628173</c:v>
                </c:pt>
                <c:pt idx="527">
                  <c:v>-13642.540516146062</c:v>
                </c:pt>
                <c:pt idx="528">
                  <c:v>-11914.117005002838</c:v>
                </c:pt>
                <c:pt idx="529">
                  <c:v>-9685.8467775514182</c:v>
                </c:pt>
                <c:pt idx="530">
                  <c:v>-7071.2723893513612</c:v>
                </c:pt>
                <c:pt idx="531">
                  <c:v>-4201.2439543628816</c:v>
                </c:pt>
                <c:pt idx="532">
                  <c:v>-1194.8894474723722</c:v>
                </c:pt>
                <c:pt idx="533">
                  <c:v>1853.6311577010067</c:v>
                </c:pt>
                <c:pt idx="534">
                  <c:v>4875.9305449345729</c:v>
                </c:pt>
                <c:pt idx="535">
                  <c:v>7824.712669578299</c:v>
                </c:pt>
                <c:pt idx="536">
                  <c:v>10668.137794942691</c:v>
                </c:pt>
                <c:pt idx="537">
                  <c:v>13385.052285297244</c:v>
                </c:pt>
                <c:pt idx="538">
                  <c:v>15961.447818011409</c:v>
                </c:pt>
                <c:pt idx="539">
                  <c:v>18387.983096483786</c:v>
                </c:pt>
                <c:pt idx="540">
                  <c:v>20658.291301499707</c:v>
                </c:pt>
                <c:pt idx="541">
                  <c:v>22767.829473091737</c:v>
                </c:pt>
                <c:pt idx="542">
                  <c:v>24713.087945512558</c:v>
                </c:pt>
                <c:pt idx="543">
                  <c:v>26491.032402907564</c:v>
                </c:pt>
                <c:pt idx="544">
                  <c:v>28098.690709338633</c:v>
                </c:pt>
                <c:pt idx="545">
                  <c:v>29532.822868534473</c:v>
                </c:pt>
                <c:pt idx="546">
                  <c:v>30789.628371535182</c:v>
                </c:pt>
                <c:pt idx="547">
                  <c:v>31864.453291033802</c:v>
                </c:pt>
                <c:pt idx="548">
                  <c:v>32751.461170988812</c:v>
                </c:pt>
                <c:pt idx="549">
                  <c:v>33443.227216143336</c:v>
                </c:pt>
                <c:pt idx="550">
                  <c:v>33930.203288864526</c:v>
                </c:pt>
                <c:pt idx="551">
                  <c:v>34199.978657935069</c:v>
                </c:pt>
                <c:pt idx="552">
                  <c:v>34236.222290884754</c:v>
                </c:pt>
                <c:pt idx="553">
                  <c:v>34017.126086534685</c:v>
                </c:pt>
                <c:pt idx="554">
                  <c:v>33513.057592782498</c:v>
                </c:pt>
                <c:pt idx="555">
                  <c:v>32682.953960436444</c:v>
                </c:pt>
                <c:pt idx="556">
                  <c:v>31468.751709980894</c:v>
                </c:pt>
                <c:pt idx="557">
                  <c:v>29787.066252971897</c:v>
                </c:pt>
                <c:pt idx="558">
                  <c:v>27518.767224360283</c:v>
                </c:pt>
                <c:pt idx="559">
                  <c:v>24506.669408245678</c:v>
                </c:pt>
                <c:pt idx="560">
                  <c:v>20612.691550253199</c:v>
                </c:pt>
                <c:pt idx="561">
                  <c:v>15953.926882874979</c:v>
                </c:pt>
                <c:pt idx="562">
                  <c:v>11098.377682745335</c:v>
                </c:pt>
                <c:pt idx="563">
                  <c:v>6551.0720797509539</c:v>
                </c:pt>
                <c:pt idx="564">
                  <c:v>2433.4646424611155</c:v>
                </c:pt>
                <c:pt idx="565">
                  <c:v>-1316.2016826604381</c:v>
                </c:pt>
                <c:pt idx="566">
                  <c:v>-4802.0154194513279</c:v>
                </c:pt>
                <c:pt idx="567">
                  <c:v>-8139.8186394311406</c:v>
                </c:pt>
                <c:pt idx="568">
                  <c:v>-11477.89772650705</c:v>
                </c:pt>
                <c:pt idx="569">
                  <c:v>-15053.837349121823</c:v>
                </c:pt>
                <c:pt idx="570">
                  <c:v>-19120.224776872659</c:v>
                </c:pt>
                <c:pt idx="571">
                  <c:v>-23130.74780979165</c:v>
                </c:pt>
                <c:pt idx="572">
                  <c:v>-26663.675338902089</c:v>
                </c:pt>
                <c:pt idx="573">
                  <c:v>-29758.117491657784</c:v>
                </c:pt>
                <c:pt idx="574">
                  <c:v>-32496.333108683291</c:v>
                </c:pt>
                <c:pt idx="575">
                  <c:v>-34940.283284811449</c:v>
                </c:pt>
                <c:pt idx="576">
                  <c:v>-37133.751077337016</c:v>
                </c:pt>
                <c:pt idx="577">
                  <c:v>-39108.324076947407</c:v>
                </c:pt>
                <c:pt idx="578">
                  <c:v>-40887.507050828768</c:v>
                </c:pt>
                <c:pt idx="579">
                  <c:v>-42489.283846044804</c:v>
                </c:pt>
                <c:pt idx="580">
                  <c:v>-43927.728325429365</c:v>
                </c:pt>
                <c:pt idx="581">
                  <c:v>-45214.048696118429</c:v>
                </c:pt>
                <c:pt idx="582">
                  <c:v>-46357.287055181136</c:v>
                </c:pt>
                <c:pt idx="583">
                  <c:v>-47364.802187076028</c:v>
                </c:pt>
                <c:pt idx="584">
                  <c:v>-48242.611397479639</c:v>
                </c:pt>
                <c:pt idx="585">
                  <c:v>-48995.637643896342</c:v>
                </c:pt>
                <c:pt idx="586">
                  <c:v>-49627.891066363722</c:v>
                </c:pt>
                <c:pt idx="587">
                  <c:v>-50142.603731835123</c:v>
                </c:pt>
                <c:pt idx="588">
                  <c:v>-50542.330035665313</c:v>
                </c:pt>
                <c:pt idx="589">
                  <c:v>-50829.021134374176</c:v>
                </c:pt>
                <c:pt idx="590">
                  <c:v>-51004.079100409544</c:v>
                </c:pt>
                <c:pt idx="591">
                  <c:v>-51068.394658310601</c:v>
                </c:pt>
                <c:pt idx="592">
                  <c:v>-51022.371060796788</c:v>
                </c:pt>
                <c:pt idx="593">
                  <c:v>-50865.935691483442</c:v>
                </c:pt>
                <c:pt idx="594">
                  <c:v>-50598.540205823505</c:v>
                </c:pt>
                <c:pt idx="595">
                  <c:v>-50219.149350407279</c:v>
                </c:pt>
                <c:pt idx="596">
                  <c:v>-49726.217960721151</c:v>
                </c:pt>
                <c:pt idx="597">
                  <c:v>-49117.654965284855</c:v>
                </c:pt>
                <c:pt idx="598">
                  <c:v>-48390.772455597347</c:v>
                </c:pt>
                <c:pt idx="599">
                  <c:v>-47542.216944133019</c:v>
                </c:pt>
                <c:pt idx="600">
                  <c:v>-46567.878739768516</c:v>
                </c:pt>
                <c:pt idx="601">
                  <c:v>-45462.773816938658</c:v>
                </c:pt>
                <c:pt idx="602">
                  <c:v>-44220.890527526099</c:v>
                </c:pt>
                <c:pt idx="603">
                  <c:v>-42834.99092182103</c:v>
                </c:pt>
                <c:pt idx="604">
                  <c:v>-41296.353400266453</c:v>
                </c:pt>
                <c:pt idx="605">
                  <c:v>-39594.44060501334</c:v>
                </c:pt>
                <c:pt idx="606">
                  <c:v>-37716.476412045173</c:v>
                </c:pt>
                <c:pt idx="607">
                  <c:v>-35646.926558717329</c:v>
                </c:pt>
                <c:pt idx="608">
                  <c:v>-33366.92266985937</c:v>
                </c:pt>
                <c:pt idx="609">
                  <c:v>-30853.819221814327</c:v>
                </c:pt>
                <c:pt idx="610">
                  <c:v>-28081.52638851044</c:v>
                </c:pt>
                <c:pt idx="611">
                  <c:v>-25023.520042390552</c:v>
                </c:pt>
                <c:pt idx="612">
                  <c:v>-21663.180520679605</c:v>
                </c:pt>
                <c:pt idx="613">
                  <c:v>-18017.136100812248</c:v>
                </c:pt>
                <c:pt idx="614">
                  <c:v>-14153.542712203041</c:v>
                </c:pt>
                <c:pt idx="615">
                  <c:v>-10141.91113232629</c:v>
                </c:pt>
                <c:pt idx="616">
                  <c:v>-5983.3788605208592</c:v>
                </c:pt>
                <c:pt idx="617">
                  <c:v>-1632.8108306907616</c:v>
                </c:pt>
                <c:pt idx="618">
                  <c:v>2984.3181321206475</c:v>
                </c:pt>
                <c:pt idx="619">
                  <c:v>8032.5962609538547</c:v>
                </c:pt>
                <c:pt idx="620">
                  <c:v>13884.739248899939</c:v>
                </c:pt>
                <c:pt idx="621">
                  <c:v>20174.631015207422</c:v>
                </c:pt>
                <c:pt idx="622">
                  <c:v>24567.980062669827</c:v>
                </c:pt>
                <c:pt idx="623">
                  <c:v>27946.456907631989</c:v>
                </c:pt>
                <c:pt idx="624">
                  <c:v>30731.189997062724</c:v>
                </c:pt>
                <c:pt idx="625">
                  <c:v>33113.753873108159</c:v>
                </c:pt>
                <c:pt idx="626">
                  <c:v>35196.979601363746</c:v>
                </c:pt>
                <c:pt idx="627">
                  <c:v>37043.236848199835</c:v>
                </c:pt>
                <c:pt idx="628">
                  <c:v>38693.733863516987</c:v>
                </c:pt>
                <c:pt idx="629">
                  <c:v>40177.429504905362</c:v>
                </c:pt>
                <c:pt idx="630">
                  <c:v>41515.631931899079</c:v>
                </c:pt>
                <c:pt idx="631">
                  <c:v>42724.582751979557</c:v>
                </c:pt>
                <c:pt idx="632">
                  <c:v>43817.009339807089</c:v>
                </c:pt>
                <c:pt idx="633">
                  <c:v>44803.10843713209</c:v>
                </c:pt>
                <c:pt idx="634">
                  <c:v>45691.197090977948</c:v>
                </c:pt>
                <c:pt idx="635">
                  <c:v>46488.159231957397</c:v>
                </c:pt>
                <c:pt idx="636">
                  <c:v>47199.761447006051</c:v>
                </c:pt>
                <c:pt idx="637">
                  <c:v>47830.882052222478</c:v>
                </c:pt>
                <c:pt idx="638">
                  <c:v>48385.680946054097</c:v>
                </c:pt>
                <c:pt idx="639">
                  <c:v>48867.727939162214</c:v>
                </c:pt>
                <c:pt idx="640">
                  <c:v>49280.101288429214</c:v>
                </c:pt>
                <c:pt idx="641">
                  <c:v>49625.464404409431</c:v>
                </c:pt>
                <c:pt idx="642">
                  <c:v>49906.126268320666</c:v>
                </c:pt>
                <c:pt idx="643">
                  <c:v>50124.089479554488</c:v>
                </c:pt>
                <c:pt idx="644">
                  <c:v>50281.088758208462</c:v>
                </c:pt>
                <c:pt idx="645">
                  <c:v>50378.621967299114</c:v>
                </c:pt>
                <c:pt idx="646">
                  <c:v>50417.975182577073</c:v>
                </c:pt>
                <c:pt idx="647">
                  <c:v>50400.242951748784</c:v>
                </c:pt>
                <c:pt idx="648">
                  <c:v>50326.344602103964</c:v>
                </c:pt>
                <c:pt idx="649">
                  <c:v>50197.037244536223</c:v>
                </c:pt>
                <c:pt idx="650">
                  <c:v>50012.925961289322</c:v>
                </c:pt>
                <c:pt idx="651">
                  <c:v>49774.471539567712</c:v>
                </c:pt>
                <c:pt idx="652">
                  <c:v>49481.99601280925</c:v>
                </c:pt>
                <c:pt idx="653">
                  <c:v>49135.686188137857</c:v>
                </c:pt>
                <c:pt idx="654">
                  <c:v>48735.595266333636</c:v>
                </c:pt>
                <c:pt idx="655">
                  <c:v>48281.642594747973</c:v>
                </c:pt>
                <c:pt idx="656">
                  <c:v>47773.611529736074</c:v>
                </c:pt>
                <c:pt idx="657">
                  <c:v>47211.145319341624</c:v>
                </c:pt>
                <c:pt idx="658">
                  <c:v>46593.74084488357</c:v>
                </c:pt>
                <c:pt idx="659">
                  <c:v>45920.739976825964</c:v>
                </c:pt>
                <c:pt idx="660">
                  <c:v>45191.318199703492</c:v>
                </c:pt>
                <c:pt idx="661">
                  <c:v>44404.470034814025</c:v>
                </c:pt>
                <c:pt idx="662">
                  <c:v>43558.990626744475</c:v>
                </c:pt>
                <c:pt idx="663">
                  <c:v>42653.452644831566</c:v>
                </c:pt>
                <c:pt idx="664">
                  <c:v>41686.17736060133</c:v>
                </c:pt>
                <c:pt idx="665">
                  <c:v>40655.19836344503</c:v>
                </c:pt>
                <c:pt idx="666">
                  <c:v>39558.215818665507</c:v>
                </c:pt>
                <c:pt idx="667">
                  <c:v>38392.538377043224</c:v>
                </c:pt>
                <c:pt idx="668">
                  <c:v>37155.008692390053</c:v>
                </c:pt>
                <c:pt idx="669">
                  <c:v>35841.906801690522</c:v>
                </c:pt>
                <c:pt idx="670">
                  <c:v>34448.823063495307</c:v>
                </c:pt>
                <c:pt idx="671">
                  <c:v>32970.488434536535</c:v>
                </c:pt>
                <c:pt idx="672">
                  <c:v>31400.543783181329</c:v>
                </c:pt>
                <c:pt idx="673">
                  <c:v>29731.220424698324</c:v>
                </c:pt>
                <c:pt idx="674">
                  <c:v>27952.889374245475</c:v>
                </c:pt>
                <c:pt idx="675">
                  <c:v>26053.415774407054</c:v>
                </c:pt>
                <c:pt idx="676">
                  <c:v>24017.233938863086</c:v>
                </c:pt>
                <c:pt idx="677">
                  <c:v>21824.090738227114</c:v>
                </c:pt>
                <c:pt idx="678">
                  <c:v>19447.824227428442</c:v>
                </c:pt>
                <c:pt idx="679">
                  <c:v>16858.589034297063</c:v>
                </c:pt>
                <c:pt idx="680">
                  <c:v>14056.364238347684</c:v>
                </c:pt>
                <c:pt idx="681">
                  <c:v>11412.38136876611</c:v>
                </c:pt>
                <c:pt idx="682">
                  <c:v>10667.768781500779</c:v>
                </c:pt>
                <c:pt idx="683">
                  <c:v>10543.0344680211</c:v>
                </c:pt>
                <c:pt idx="684">
                  <c:v>10391.417963220754</c:v>
                </c:pt>
                <c:pt idx="685">
                  <c:v>9856.030105197693</c:v>
                </c:pt>
                <c:pt idx="686">
                  <c:v>8529.0037176017267</c:v>
                </c:pt>
                <c:pt idx="687">
                  <c:v>6101.9510440745998</c:v>
                </c:pt>
                <c:pt idx="688">
                  <c:v>2888.7106850928167</c:v>
                </c:pt>
                <c:pt idx="689">
                  <c:v>-562.30553808494153</c:v>
                </c:pt>
                <c:pt idx="690">
                  <c:v>-3965.5708011942688</c:v>
                </c:pt>
                <c:pt idx="691">
                  <c:v>-7220.2373749339476</c:v>
                </c:pt>
                <c:pt idx="692">
                  <c:v>-10298.508309010567</c:v>
                </c:pt>
                <c:pt idx="693">
                  <c:v>-13198.200794699564</c:v>
                </c:pt>
                <c:pt idx="694">
                  <c:v>-15925.528461581154</c:v>
                </c:pt>
                <c:pt idx="695">
                  <c:v>-18488.904405566842</c:v>
                </c:pt>
                <c:pt idx="696">
                  <c:v>-20896.713088973622</c:v>
                </c:pt>
                <c:pt idx="697">
                  <c:v>-23156.554588397088</c:v>
                </c:pt>
                <c:pt idx="698">
                  <c:v>-25275.046761336842</c:v>
                </c:pt>
                <c:pt idx="699">
                  <c:v>-27257.835960503657</c:v>
                </c:pt>
                <c:pt idx="700">
                  <c:v>-29109.678631204257</c:v>
                </c:pt>
                <c:pt idx="701">
                  <c:v>-30834.539085666129</c:v>
                </c:pt>
                <c:pt idx="702">
                  <c:v>-32435.68236361663</c:v>
                </c:pt>
                <c:pt idx="703">
                  <c:v>-33915.754934709148</c:v>
                </c:pt>
                <c:pt idx="704">
                  <c:v>-35276.851644665854</c:v>
                </c:pt>
                <c:pt idx="705">
                  <c:v>-36520.569473813732</c:v>
                </c:pt>
                <c:pt idx="706">
                  <c:v>-37648.049354969895</c:v>
                </c:pt>
                <c:pt idx="707">
                  <c:v>-38660.00734550682</c:v>
                </c:pt>
                <c:pt idx="708">
                  <c:v>-39556.756237513131</c:v>
                </c:pt>
                <c:pt idx="709">
                  <c:v>-40338.218376613833</c:v>
                </c:pt>
                <c:pt idx="710">
                  <c:v>-41003.930102170685</c:v>
                </c:pt>
                <c:pt idx="711">
                  <c:v>-41553.03782945226</c:v>
                </c:pt>
                <c:pt idx="712">
                  <c:v>-41984.285351214639</c:v>
                </c:pt>
                <c:pt idx="713">
                  <c:v>-42295.991404321903</c:v>
                </c:pt>
                <c:pt idx="714">
                  <c:v>-42486.015864820067</c:v>
                </c:pt>
                <c:pt idx="715">
                  <c:v>-42551.712004673485</c:v>
                </c:pt>
                <c:pt idx="716">
                  <c:v>-42489.860908019924</c:v>
                </c:pt>
                <c:pt idx="717">
                  <c:v>-42296.582143039865</c:v>
                </c:pt>
                <c:pt idx="718">
                  <c:v>-41967.211667701122</c:v>
                </c:pt>
                <c:pt idx="719">
                  <c:v>-41496.132911045861</c:v>
                </c:pt>
                <c:pt idx="720">
                  <c:v>-40876.538526118638</c:v>
                </c:pt>
                <c:pt idx="721">
                  <c:v>-40100.085566428461</c:v>
                </c:pt>
                <c:pt idx="722">
                  <c:v>-39156.379908364666</c:v>
                </c:pt>
                <c:pt idx="723">
                  <c:v>-38032.173934011953</c:v>
                </c:pt>
                <c:pt idx="724">
                  <c:v>-36710.055554800281</c:v>
                </c:pt>
                <c:pt idx="725">
                  <c:v>-35166.173724178319</c:v>
                </c:pt>
                <c:pt idx="726">
                  <c:v>-33365.986489239498</c:v>
                </c:pt>
                <c:pt idx="727">
                  <c:v>-31255.525954108292</c:v>
                </c:pt>
                <c:pt idx="728">
                  <c:v>-28741.179682409114</c:v>
                </c:pt>
                <c:pt idx="729">
                  <c:v>-25636.117220511922</c:v>
                </c:pt>
                <c:pt idx="730">
                  <c:v>-21525.213282635683</c:v>
                </c:pt>
                <c:pt idx="731">
                  <c:v>-16502.611436774259</c:v>
                </c:pt>
                <c:pt idx="732">
                  <c:v>-12104.210361927964</c:v>
                </c:pt>
                <c:pt idx="733">
                  <c:v>-7957.5122673855358</c:v>
                </c:pt>
                <c:pt idx="734">
                  <c:v>-3799.9621578650294</c:v>
                </c:pt>
                <c:pt idx="735">
                  <c:v>555.34284302871583</c:v>
                </c:pt>
                <c:pt idx="736">
                  <c:v>5332.8938716410785</c:v>
                </c:pt>
                <c:pt idx="737">
                  <c:v>10979.242585204789</c:v>
                </c:pt>
                <c:pt idx="738">
                  <c:v>18281.119642557001</c:v>
                </c:pt>
                <c:pt idx="739">
                  <c:v>23869.06759879665</c:v>
                </c:pt>
                <c:pt idx="740">
                  <c:v>28314.115630497774</c:v>
                </c:pt>
                <c:pt idx="741">
                  <c:v>32071.611877783933</c:v>
                </c:pt>
                <c:pt idx="742">
                  <c:v>35353.664104895812</c:v>
                </c:pt>
                <c:pt idx="743">
                  <c:v>38275.223161252943</c:v>
                </c:pt>
                <c:pt idx="744">
                  <c:v>40906.617293249088</c:v>
                </c:pt>
                <c:pt idx="745">
                  <c:v>43294.681225109431</c:v>
                </c:pt>
                <c:pt idx="746">
                  <c:v>45472.549521129418</c:v>
                </c:pt>
                <c:pt idx="747">
                  <c:v>47464.732725174676</c:v>
                </c:pt>
                <c:pt idx="748">
                  <c:v>49289.984350688799</c:v>
                </c:pt>
                <c:pt idx="749">
                  <c:v>50963.032281838336</c:v>
                </c:pt>
                <c:pt idx="750">
                  <c:v>52495.681576214374</c:v>
                </c:pt>
                <c:pt idx="751">
                  <c:v>53897.547838483239</c:v>
                </c:pt>
                <c:pt idx="752">
                  <c:v>55176.562505117523</c:v>
                </c:pt>
                <c:pt idx="753">
                  <c:v>56339.331365456856</c:v>
                </c:pt>
                <c:pt idx="754">
                  <c:v>57391.395266142907</c:v>
                </c:pt>
                <c:pt idx="755">
                  <c:v>58337.423605277807</c:v>
                </c:pt>
                <c:pt idx="756">
                  <c:v>59181.360389798538</c:v>
                </c:pt>
                <c:pt idx="757">
                  <c:v>59926.535994377809</c:v>
                </c:pt>
                <c:pt idx="758">
                  <c:v>60575.753563918406</c:v>
                </c:pt>
                <c:pt idx="759">
                  <c:v>61131.356270821452</c:v>
                </c:pt>
                <c:pt idx="760">
                  <c:v>61595.279813837107</c:v>
                </c:pt>
                <c:pt idx="761">
                  <c:v>61969.093296090919</c:v>
                </c:pt>
                <c:pt idx="762">
                  <c:v>62254.030743438583</c:v>
                </c:pt>
                <c:pt idx="763">
                  <c:v>62451.014893533953</c:v>
                </c:pt>
                <c:pt idx="764">
                  <c:v>62560.674418828625</c:v>
                </c:pt>
                <c:pt idx="765">
                  <c:v>62583.355388545664</c:v>
                </c:pt>
                <c:pt idx="766">
                  <c:v>62519.127487794896</c:v>
                </c:pt>
                <c:pt idx="767">
                  <c:v>62367.785269097985</c:v>
                </c:pt>
                <c:pt idx="768">
                  <c:v>62128.844491416065</c:v>
                </c:pt>
                <c:pt idx="769">
                  <c:v>61801.533386103081</c:v>
                </c:pt>
                <c:pt idx="770">
                  <c:v>61384.778460419169</c:v>
                </c:pt>
                <c:pt idx="771">
                  <c:v>60877.184187975261</c:v>
                </c:pt>
                <c:pt idx="772">
                  <c:v>60277.005617995586</c:v>
                </c:pt>
                <c:pt idx="773">
                  <c:v>59582.112529893755</c:v>
                </c:pt>
                <c:pt idx="774">
                  <c:v>58789.943221515969</c:v>
                </c:pt>
                <c:pt idx="775">
                  <c:v>57897.445282308639</c:v>
                </c:pt>
                <c:pt idx="776">
                  <c:v>56900.999665635572</c:v>
                </c:pt>
                <c:pt idx="777">
                  <c:v>55796.322879011444</c:v>
                </c:pt>
                <c:pt idx="778">
                  <c:v>54578.339901436571</c:v>
                </c:pt>
                <c:pt idx="779">
                  <c:v>53241.017088850691</c:v>
                </c:pt>
                <c:pt idx="780">
                  <c:v>51777.139115299658</c:v>
                </c:pt>
                <c:pt idx="781">
                  <c:v>50178.0056315002</c:v>
                </c:pt>
                <c:pt idx="782">
                  <c:v>48433.009434697989</c:v>
                </c:pt>
                <c:pt idx="783">
                  <c:v>46529.033978082771</c:v>
                </c:pt>
                <c:pt idx="784">
                  <c:v>44449.564793218829</c:v>
                </c:pt>
                <c:pt idx="785">
                  <c:v>42173.327113058651</c:v>
                </c:pt>
                <c:pt idx="786">
                  <c:v>39672.0953570235</c:v>
                </c:pt>
                <c:pt idx="787">
                  <c:v>36906.956392821769</c:v>
                </c:pt>
                <c:pt idx="788">
                  <c:v>33821.438343867972</c:v>
                </c:pt>
                <c:pt idx="789">
                  <c:v>30327.589143848687</c:v>
                </c:pt>
                <c:pt idx="790">
                  <c:v>26273.992928706833</c:v>
                </c:pt>
                <c:pt idx="791">
                  <c:v>21360.788118484354</c:v>
                </c:pt>
                <c:pt idx="792">
                  <c:v>14941.140848472078</c:v>
                </c:pt>
                <c:pt idx="793">
                  <c:v>8436.1424800695331</c:v>
                </c:pt>
                <c:pt idx="794">
                  <c:v>3321.1626990053546</c:v>
                </c:pt>
                <c:pt idx="795">
                  <c:v>-1155.7767389835572</c:v>
                </c:pt>
                <c:pt idx="796">
                  <c:v>-5317.1209362012305</c:v>
                </c:pt>
                <c:pt idx="797">
                  <c:v>-9349.5800563384273</c:v>
                </c:pt>
                <c:pt idx="798">
                  <c:v>-13419.382398488851</c:v>
                </c:pt>
                <c:pt idx="799">
                  <c:v>-17705.616067063827</c:v>
                </c:pt>
                <c:pt idx="800">
                  <c:v>-22176.924821613487</c:v>
                </c:pt>
                <c:pt idx="801">
                  <c:v>-26066.613232915755</c:v>
                </c:pt>
                <c:pt idx="802">
                  <c:v>-29186.242639360633</c:v>
                </c:pt>
                <c:pt idx="803">
                  <c:v>-31746.796469297929</c:v>
                </c:pt>
                <c:pt idx="804">
                  <c:v>-33901.849203397003</c:v>
                </c:pt>
                <c:pt idx="805">
                  <c:v>-35742.062023284408</c:v>
                </c:pt>
                <c:pt idx="806">
                  <c:v>-37323.058695339998</c:v>
                </c:pt>
                <c:pt idx="807">
                  <c:v>-38681.2600811878</c:v>
                </c:pt>
                <c:pt idx="808">
                  <c:v>-39841.975353919006</c:v>
                </c:pt>
                <c:pt idx="809">
                  <c:v>-40823.686105602756</c:v>
                </c:pt>
                <c:pt idx="810">
                  <c:v>-41640.44433686979</c:v>
                </c:pt>
                <c:pt idx="811">
                  <c:v>-42303.288932648698</c:v>
                </c:pt>
                <c:pt idx="812">
                  <c:v>-42821.123345578766</c:v>
                </c:pt>
                <c:pt idx="813">
                  <c:v>-43201.282553233774</c:v>
                </c:pt>
                <c:pt idx="814">
                  <c:v>-43449.912803001193</c:v>
                </c:pt>
                <c:pt idx="815">
                  <c:v>-43572.234142817535</c:v>
                </c:pt>
                <c:pt idx="816">
                  <c:v>-43572.727039895646</c:v>
                </c:pt>
                <c:pt idx="817">
                  <c:v>-43455.268343174692</c:v>
                </c:pt>
                <c:pt idx="818">
                  <c:v>-43223.232531095833</c:v>
                </c:pt>
                <c:pt idx="819">
                  <c:v>-42879.568598302059</c:v>
                </c:pt>
                <c:pt idx="820">
                  <c:v>-42426.859483296634</c:v>
                </c:pt>
                <c:pt idx="821">
                  <c:v>-41867.368752413386</c:v>
                </c:pt>
                <c:pt idx="822">
                  <c:v>-41203.077840214741</c:v>
                </c:pt>
                <c:pt idx="823">
                  <c:v>-40435.716215366068</c:v>
                </c:pt>
                <c:pt idx="824">
                  <c:v>-39566.786223034556</c:v>
                </c:pt>
                <c:pt idx="825">
                  <c:v>-38597.583946466621</c:v>
                </c:pt>
                <c:pt idx="826">
                  <c:v>-37529.217169007447</c:v>
                </c:pt>
                <c:pt idx="827">
                  <c:v>-36362.621366749634</c:v>
                </c:pt>
                <c:pt idx="828">
                  <c:v>-35098.574602265209</c:v>
                </c:pt>
                <c:pt idx="829">
                  <c:v>-33737.71221619835</c:v>
                </c:pt>
                <c:pt idx="830">
                  <c:v>-32280.542333140427</c:v>
                </c:pt>
                <c:pt idx="831">
                  <c:v>-30727.463432379904</c:v>
                </c:pt>
                <c:pt idx="832">
                  <c:v>-29078.785622142754</c:v>
                </c:pt>
                <c:pt idx="833">
                  <c:v>-27334.757863202216</c:v>
                </c:pt>
                <c:pt idx="834">
                  <c:v>-25495.604319348444</c:v>
                </c:pt>
                <c:pt idx="835">
                  <c:v>-23561.574435795617</c:v>
                </c:pt>
                <c:pt idx="836">
                  <c:v>-21533.013530105502</c:v>
                </c:pt>
                <c:pt idx="837">
                  <c:v>-19410.46405440363</c:v>
                </c:pt>
                <c:pt idx="838">
                  <c:v>-17194.812949193238</c:v>
                </c:pt>
                <c:pt idx="839">
                  <c:v>-14887.508787766536</c:v>
                </c:pt>
                <c:pt idx="840">
                  <c:v>-12490.885531528253</c:v>
                </c:pt>
                <c:pt idx="841">
                  <c:v>-10008.650579375158</c:v>
                </c:pt>
                <c:pt idx="842">
                  <c:v>-7446.6277968357281</c:v>
                </c:pt>
                <c:pt idx="843">
                  <c:v>-4813.8972928371813</c:v>
                </c:pt>
                <c:pt idx="844">
                  <c:v>-2124.5483223295432</c:v>
                </c:pt>
                <c:pt idx="845">
                  <c:v>599.64492647733766</c:v>
                </c:pt>
                <c:pt idx="846">
                  <c:v>3325.2514806092458</c:v>
                </c:pt>
                <c:pt idx="847">
                  <c:v>6001.6988018903485</c:v>
                </c:pt>
                <c:pt idx="848">
                  <c:v>8554.9774618616957</c:v>
                </c:pt>
                <c:pt idx="849">
                  <c:v>10883.992125215575</c:v>
                </c:pt>
                <c:pt idx="850">
                  <c:v>12868.059276871483</c:v>
                </c:pt>
                <c:pt idx="851">
                  <c:v>14395.821464406261</c:v>
                </c:pt>
                <c:pt idx="852">
                  <c:v>15409.370051487749</c:v>
                </c:pt>
                <c:pt idx="853">
                  <c:v>15927.976304241291</c:v>
                </c:pt>
                <c:pt idx="854">
                  <c:v>16025.690948265035</c:v>
                </c:pt>
                <c:pt idx="855">
                  <c:v>15784.878889568234</c:v>
                </c:pt>
                <c:pt idx="856">
                  <c:v>15254.475396604152</c:v>
                </c:pt>
                <c:pt idx="857">
                  <c:v>14454.823094225418</c:v>
                </c:pt>
                <c:pt idx="858">
                  <c:v>13863.955779787735</c:v>
                </c:pt>
                <c:pt idx="859">
                  <c:v>13332.677982644973</c:v>
                </c:pt>
                <c:pt idx="860">
                  <c:v>12816.080195197794</c:v>
                </c:pt>
                <c:pt idx="861">
                  <c:v>12300.259670538027</c:v>
                </c:pt>
                <c:pt idx="862">
                  <c:v>11780.528751810498</c:v>
                </c:pt>
                <c:pt idx="863">
                  <c:v>11255.5571432613</c:v>
                </c:pt>
                <c:pt idx="864">
                  <c:v>10725.378222511015</c:v>
                </c:pt>
                <c:pt idx="865">
                  <c:v>10190.597733196719</c:v>
                </c:pt>
                <c:pt idx="866">
                  <c:v>9652.0493934223487</c:v>
                </c:pt>
                <c:pt idx="867">
                  <c:v>9110.6376488897604</c:v>
                </c:pt>
                <c:pt idx="868">
                  <c:v>8567.2652955652284</c:v>
                </c:pt>
                <c:pt idx="869">
                  <c:v>8022.8016386114514</c:v>
                </c:pt>
                <c:pt idx="870">
                  <c:v>7478.0706009879668</c:v>
                </c:pt>
                <c:pt idx="871">
                  <c:v>6933.848744402756</c:v>
                </c:pt>
                <c:pt idx="872">
                  <c:v>6390.8681458495503</c:v>
                </c:pt>
                <c:pt idx="873">
                  <c:v>5849.8215355235088</c:v>
                </c:pt>
                <c:pt idx="874">
                  <c:v>5311.3683626241727</c:v>
                </c:pt>
                <c:pt idx="875">
                  <c:v>4776.1411177554692</c:v>
                </c:pt>
                <c:pt idx="876">
                  <c:v>4244.751594781118</c:v>
                </c:pt>
                <c:pt idx="877">
                  <c:v>3717.7969666388067</c:v>
                </c:pt>
                <c:pt idx="878">
                  <c:v>3195.865654140051</c:v>
                </c:pt>
                <c:pt idx="879">
                  <c:v>2679.5430243267233</c:v>
                </c:pt>
                <c:pt idx="880">
                  <c:v>2169.4169874263689</c:v>
                </c:pt>
                <c:pt idx="881">
                  <c:v>1666.0835810951905</c:v>
                </c:pt>
                <c:pt idx="882">
                  <c:v>1170.152644514252</c:v>
                </c:pt>
                <c:pt idx="883">
                  <c:v>682.25369726368058</c:v>
                </c:pt>
                <c:pt idx="884">
                  <c:v>203.04215151662822</c:v>
                </c:pt>
                <c:pt idx="885">
                  <c:v>-266.79399696834992</c:v>
                </c:pt>
                <c:pt idx="886">
                  <c:v>-726.52683149941231</c:v>
                </c:pt>
                <c:pt idx="887">
                  <c:v>-1175.3803340631655</c:v>
                </c:pt>
                <c:pt idx="888">
                  <c:v>-1612.5211267724596</c:v>
                </c:pt>
                <c:pt idx="889">
                  <c:v>-2037.0478493982603</c:v>
                </c:pt>
                <c:pt idx="890">
                  <c:v>-2447.9788206162707</c:v>
                </c:pt>
                <c:pt idx="891">
                  <c:v>-2844.2375428924925</c:v>
                </c:pt>
                <c:pt idx="892">
                  <c:v>-3224.6354952368542</c:v>
                </c:pt>
                <c:pt idx="893">
                  <c:v>-3587.851505017054</c:v>
                </c:pt>
                <c:pt idx="894">
                  <c:v>-3932.406786997713</c:v>
                </c:pt>
                <c:pt idx="895">
                  <c:v>-4256.6344677945681</c:v>
                </c:pt>
                <c:pt idx="896">
                  <c:v>-4558.64205468417</c:v>
                </c:pt>
                <c:pt idx="897">
                  <c:v>-4836.2648308444186</c:v>
                </c:pt>
                <c:pt idx="898">
                  <c:v>-5087.0075312419858</c:v>
                </c:pt>
                <c:pt idx="899">
                  <c:v>-5307.9708417626316</c:v>
                </c:pt>
                <c:pt idx="900">
                  <c:v>-5495.7582541361298</c:v>
                </c:pt>
                <c:pt idx="901">
                  <c:v>-5646.3576497413978</c:v>
                </c:pt>
                <c:pt idx="902">
                  <c:v>-5754.9908973861411</c:v>
                </c:pt>
                <c:pt idx="903">
                  <c:v>-5815.9243625480713</c:v>
                </c:pt>
                <c:pt idx="904">
                  <c:v>-5822.2350221279939</c:v>
                </c:pt>
                <c:pt idx="905">
                  <c:v>-5765.5337444452953</c:v>
                </c:pt>
                <c:pt idx="906">
                  <c:v>-5635.6626064942138</c:v>
                </c:pt>
                <c:pt idx="907">
                  <c:v>-5420.3997704618314</c:v>
                </c:pt>
                <c:pt idx="908">
                  <c:v>-5105.1508894429971</c:v>
                </c:pt>
                <c:pt idx="909">
                  <c:v>-4672.1779217223957</c:v>
                </c:pt>
                <c:pt idx="910">
                  <c:v>-4097.6490892419151</c:v>
                </c:pt>
                <c:pt idx="911">
                  <c:v>-3345.2226425158528</c:v>
                </c:pt>
                <c:pt idx="912">
                  <c:v>-2367.2414894526928</c:v>
                </c:pt>
                <c:pt idx="913">
                  <c:v>-1132.7048905702106</c:v>
                </c:pt>
                <c:pt idx="914">
                  <c:v>337.18410958959942</c:v>
                </c:pt>
                <c:pt idx="915">
                  <c:v>1922.1264255129233</c:v>
                </c:pt>
                <c:pt idx="916">
                  <c:v>2954.1213546415702</c:v>
                </c:pt>
                <c:pt idx="917">
                  <c:v>2312.7257911718825</c:v>
                </c:pt>
                <c:pt idx="918">
                  <c:v>1316.5541650748671</c:v>
                </c:pt>
                <c:pt idx="919">
                  <c:v>256.3306225352311</c:v>
                </c:pt>
                <c:pt idx="920">
                  <c:v>-797.83132458774742</c:v>
                </c:pt>
                <c:pt idx="921">
                  <c:v>-1823.7328701476458</c:v>
                </c:pt>
                <c:pt idx="922">
                  <c:v>-2813.2055953427844</c:v>
                </c:pt>
                <c:pt idx="923">
                  <c:v>-3763.0449323398789</c:v>
                </c:pt>
                <c:pt idx="924">
                  <c:v>-4671.9940361435174</c:v>
                </c:pt>
                <c:pt idx="925">
                  <c:v>-5539.5801124104019</c:v>
                </c:pt>
                <c:pt idx="926">
                  <c:v>-6365.6156960503185</c:v>
                </c:pt>
                <c:pt idx="927">
                  <c:v>-7149.9670956182945</c:v>
                </c:pt>
                <c:pt idx="928">
                  <c:v>-7892.4389356527054</c:v>
                </c:pt>
                <c:pt idx="929">
                  <c:v>-8592.7115688642189</c:v>
                </c:pt>
                <c:pt idx="930">
                  <c:v>-9250.3026819712832</c:v>
                </c:pt>
                <c:pt idx="931">
                  <c:v>-9864.5390709568492</c:v>
                </c:pt>
                <c:pt idx="932">
                  <c:v>-10434.531094712404</c:v>
                </c:pt>
                <c:pt idx="933">
                  <c:v>-10959.145261419706</c:v>
                </c:pt>
                <c:pt idx="934">
                  <c:v>-11436.971615229828</c:v>
                </c:pt>
                <c:pt idx="935">
                  <c:v>-11866.282850751262</c:v>
                </c:pt>
                <c:pt idx="936">
                  <c:v>-12244.981688731825</c:v>
                </c:pt>
                <c:pt idx="937">
                  <c:v>-12570.532042846195</c:v>
                </c:pt>
                <c:pt idx="938">
                  <c:v>-12839.86775168193</c:v>
                </c:pt>
                <c:pt idx="939">
                  <c:v>-13049.269785943643</c:v>
                </c:pt>
                <c:pt idx="940">
                  <c:v>-13194.198182347285</c:v>
                </c:pt>
                <c:pt idx="941">
                  <c:v>-13269.057218445503</c:v>
                </c:pt>
                <c:pt idx="942">
                  <c:v>-13266.859070092147</c:v>
                </c:pt>
                <c:pt idx="943">
                  <c:v>-13178.727490197336</c:v>
                </c:pt>
                <c:pt idx="944">
                  <c:v>-12993.138640411367</c:v>
                </c:pt>
                <c:pt idx="945">
                  <c:v>-12694.708161479986</c:v>
                </c:pt>
                <c:pt idx="946">
                  <c:v>-12262.146795273937</c:v>
                </c:pt>
                <c:pt idx="947">
                  <c:v>-11664.577002888469</c:v>
                </c:pt>
                <c:pt idx="948">
                  <c:v>-10854.310026080084</c:v>
                </c:pt>
                <c:pt idx="949">
                  <c:v>-9751.04276631024</c:v>
                </c:pt>
                <c:pt idx="950">
                  <c:v>-8202.0172918333719</c:v>
                </c:pt>
                <c:pt idx="951">
                  <c:v>-5863.9638818904878</c:v>
                </c:pt>
                <c:pt idx="952">
                  <c:v>-1897.1966733869515</c:v>
                </c:pt>
                <c:pt idx="953">
                  <c:v>3121.8163451455594</c:v>
                </c:pt>
                <c:pt idx="954">
                  <c:v>7660.9267893200031</c:v>
                </c:pt>
                <c:pt idx="955">
                  <c:v>11844.812720261112</c:v>
                </c:pt>
                <c:pt idx="956">
                  <c:v>15800.165143102065</c:v>
                </c:pt>
                <c:pt idx="957">
                  <c:v>19461.135264071527</c:v>
                </c:pt>
                <c:pt idx="958">
                  <c:v>22492.691408366634</c:v>
                </c:pt>
                <c:pt idx="959">
                  <c:v>24476.312603230199</c:v>
                </c:pt>
                <c:pt idx="960">
                  <c:v>25358.281575087785</c:v>
                </c:pt>
                <c:pt idx="961">
                  <c:v>25388.120400886331</c:v>
                </c:pt>
                <c:pt idx="962">
                  <c:v>24828.376240786718</c:v>
                </c:pt>
                <c:pt idx="963">
                  <c:v>23866.647689326193</c:v>
                </c:pt>
                <c:pt idx="964">
                  <c:v>22626.590934140724</c:v>
                </c:pt>
                <c:pt idx="965">
                  <c:v>21190.212682554233</c:v>
                </c:pt>
                <c:pt idx="966">
                  <c:v>19613.691266080557</c:v>
                </c:pt>
                <c:pt idx="967">
                  <c:v>17937.062047549036</c:v>
                </c:pt>
                <c:pt idx="968">
                  <c:v>16190.032809723196</c:v>
                </c:pt>
                <c:pt idx="969">
                  <c:v>14395.537413891565</c:v>
                </c:pt>
                <c:pt idx="970">
                  <c:v>12571.972237305243</c:v>
                </c:pt>
                <c:pt idx="971">
                  <c:v>10734.650439268482</c:v>
                </c:pt>
                <c:pt idx="972">
                  <c:v>8896.778895519441</c:v>
                </c:pt>
                <c:pt idx="973">
                  <c:v>7070.1344783353879</c:v>
                </c:pt>
                <c:pt idx="974">
                  <c:v>5265.5434036094266</c:v>
                </c:pt>
                <c:pt idx="975">
                  <c:v>3493.2237890221531</c:v>
                </c:pt>
                <c:pt idx="976">
                  <c:v>1763.02302352115</c:v>
                </c:pt>
                <c:pt idx="977">
                  <c:v>84.559303045858485</c:v>
                </c:pt>
                <c:pt idx="978">
                  <c:v>-1532.7459541523783</c:v>
                </c:pt>
                <c:pt idx="979">
                  <c:v>-3079.7886165084233</c:v>
                </c:pt>
                <c:pt idx="980">
                  <c:v>-4548.1494029587866</c:v>
                </c:pt>
                <c:pt idx="981">
                  <c:v>-5930.8963685723556</c:v>
                </c:pt>
                <c:pt idx="982">
                  <c:v>-7224.1998396928093</c:v>
                </c:pt>
                <c:pt idx="983">
                  <c:v>-8430.5487552819341</c:v>
                </c:pt>
                <c:pt idx="984">
                  <c:v>-9565.3004091987223</c:v>
                </c:pt>
                <c:pt idx="985">
                  <c:v>-10670.433986359169</c:v>
                </c:pt>
                <c:pt idx="986">
                  <c:v>-11842.601589761844</c:v>
                </c:pt>
                <c:pt idx="987">
                  <c:v>-13267.862837738205</c:v>
                </c:pt>
                <c:pt idx="988">
                  <c:v>-15104.082586773347</c:v>
                </c:pt>
                <c:pt idx="989">
                  <c:v>-17122.275672111129</c:v>
                </c:pt>
                <c:pt idx="990">
                  <c:v>-19015.415061377815</c:v>
                </c:pt>
                <c:pt idx="991">
                  <c:v>-20655.37374747076</c:v>
                </c:pt>
                <c:pt idx="992">
                  <c:v>-22004.170915147159</c:v>
                </c:pt>
              </c:numCache>
            </c:numRef>
          </c:xVal>
          <c:yVal>
            <c:numRef>
              <c:f>Planets!$Z$4:$Z$996</c:f>
              <c:numCache>
                <c:formatCode>General</c:formatCode>
                <c:ptCount val="993"/>
                <c:pt idx="0">
                  <c:v>0</c:v>
                </c:pt>
                <c:pt idx="1">
                  <c:v>-258.09183341917804</c:v>
                </c:pt>
                <c:pt idx="2">
                  <c:v>-783.15414407576509</c:v>
                </c:pt>
                <c:pt idx="3">
                  <c:v>-1594.9397681717046</c:v>
                </c:pt>
                <c:pt idx="4">
                  <c:v>-2728.82151642795</c:v>
                </c:pt>
                <c:pt idx="5">
                  <c:v>-4244.729658087952</c:v>
                </c:pt>
                <c:pt idx="6">
                  <c:v>-6241.6665298100133</c:v>
                </c:pt>
                <c:pt idx="7">
                  <c:v>-8875.5064939091098</c:v>
                </c:pt>
                <c:pt idx="8">
                  <c:v>-12350.609713941503</c:v>
                </c:pt>
                <c:pt idx="9">
                  <c:v>-16606.5300334766</c:v>
                </c:pt>
                <c:pt idx="10">
                  <c:v>-19651.45190337559</c:v>
                </c:pt>
                <c:pt idx="11">
                  <c:v>-20686.129639447867</c:v>
                </c:pt>
                <c:pt idx="12">
                  <c:v>-20355.33028042435</c:v>
                </c:pt>
                <c:pt idx="13">
                  <c:v>-19051.071548413151</c:v>
                </c:pt>
                <c:pt idx="14">
                  <c:v>-17006.175048195808</c:v>
                </c:pt>
                <c:pt idx="15">
                  <c:v>-14454.064016657552</c:v>
                </c:pt>
                <c:pt idx="16">
                  <c:v>-11925.412736999098</c:v>
                </c:pt>
                <c:pt idx="17">
                  <c:v>-10760.037446309614</c:v>
                </c:pt>
                <c:pt idx="18">
                  <c:v>-11141.467026408003</c:v>
                </c:pt>
                <c:pt idx="19">
                  <c:v>-12128.117179056531</c:v>
                </c:pt>
                <c:pt idx="20">
                  <c:v>-13250.458080925042</c:v>
                </c:pt>
                <c:pt idx="21">
                  <c:v>-14311.364295333566</c:v>
                </c:pt>
                <c:pt idx="22">
                  <c:v>-15214.980114927828</c:v>
                </c:pt>
                <c:pt idx="23">
                  <c:v>-15896.355376009371</c:v>
                </c:pt>
                <c:pt idx="24">
                  <c:v>-16280.647127422275</c:v>
                </c:pt>
                <c:pt idx="25">
                  <c:v>-16217.646458297137</c:v>
                </c:pt>
                <c:pt idx="26">
                  <c:v>-15278.799130800458</c:v>
                </c:pt>
                <c:pt idx="27">
                  <c:v>-13968.163790583238</c:v>
                </c:pt>
                <c:pt idx="28">
                  <c:v>-12804.893814586234</c:v>
                </c:pt>
                <c:pt idx="29">
                  <c:v>-11834.703215491229</c:v>
                </c:pt>
                <c:pt idx="30">
                  <c:v>-11095.800837546331</c:v>
                </c:pt>
                <c:pt idx="31">
                  <c:v>-10678.927873421155</c:v>
                </c:pt>
                <c:pt idx="32">
                  <c:v>-10792.328058602207</c:v>
                </c:pt>
                <c:pt idx="33">
                  <c:v>-11937.562017991029</c:v>
                </c:pt>
                <c:pt idx="34">
                  <c:v>-14881.917508920427</c:v>
                </c:pt>
                <c:pt idx="35">
                  <c:v>-17710.978764133371</c:v>
                </c:pt>
                <c:pt idx="36">
                  <c:v>-19717.05839859206</c:v>
                </c:pt>
                <c:pt idx="37">
                  <c:v>-20846.799063000773</c:v>
                </c:pt>
                <c:pt idx="38">
                  <c:v>-21046.328097593443</c:v>
                </c:pt>
                <c:pt idx="39">
                  <c:v>-20144.4547216869</c:v>
                </c:pt>
                <c:pt idx="40">
                  <c:v>-17713.653620998026</c:v>
                </c:pt>
                <c:pt idx="41">
                  <c:v>-13226.652703888081</c:v>
                </c:pt>
                <c:pt idx="42">
                  <c:v>-9710.4515557253508</c:v>
                </c:pt>
                <c:pt idx="43">
                  <c:v>-7251.6953433197696</c:v>
                </c:pt>
                <c:pt idx="44">
                  <c:v>-5581.2107300924799</c:v>
                </c:pt>
                <c:pt idx="45">
                  <c:v>-4558.5988636515476</c:v>
                </c:pt>
                <c:pt idx="46">
                  <c:v>-4125.4787862696294</c:v>
                </c:pt>
                <c:pt idx="47">
                  <c:v>-4275.5191036702636</c:v>
                </c:pt>
                <c:pt idx="48">
                  <c:v>-5043.2266682537966</c:v>
                </c:pt>
                <c:pt idx="49">
                  <c:v>-6503.8695037545858</c:v>
                </c:pt>
                <c:pt idx="50">
                  <c:v>-8774.2471987087647</c:v>
                </c:pt>
                <c:pt idx="51">
                  <c:v>-11967.221274593945</c:v>
                </c:pt>
                <c:pt idx="52">
                  <c:v>-15893.253919619043</c:v>
                </c:pt>
                <c:pt idx="53">
                  <c:v>-19224.869769747511</c:v>
                </c:pt>
                <c:pt idx="54">
                  <c:v>-20612.035232546485</c:v>
                </c:pt>
                <c:pt idx="55">
                  <c:v>-20249.046252980916</c:v>
                </c:pt>
                <c:pt idx="56">
                  <c:v>-18596.809581844424</c:v>
                </c:pt>
                <c:pt idx="57">
                  <c:v>-16059.45867631693</c:v>
                </c:pt>
                <c:pt idx="58">
                  <c:v>-13128.469887589814</c:v>
                </c:pt>
                <c:pt idx="59">
                  <c:v>-10661.340252112483</c:v>
                </c:pt>
                <c:pt idx="60">
                  <c:v>-9700.8436267506477</c:v>
                </c:pt>
                <c:pt idx="61">
                  <c:v>-10186.787683860661</c:v>
                </c:pt>
                <c:pt idx="62">
                  <c:v>-11425.076493171029</c:v>
                </c:pt>
                <c:pt idx="63">
                  <c:v>-12934.838226556032</c:v>
                </c:pt>
                <c:pt idx="64">
                  <c:v>-14456.332632712894</c:v>
                </c:pt>
                <c:pt idx="65">
                  <c:v>-15829.231860328036</c:v>
                </c:pt>
                <c:pt idx="66">
                  <c:v>-16902.19504154742</c:v>
                </c:pt>
                <c:pt idx="67">
                  <c:v>-17420.070640772599</c:v>
                </c:pt>
                <c:pt idx="68">
                  <c:v>-16719.305989196826</c:v>
                </c:pt>
                <c:pt idx="69">
                  <c:v>-14427.188650918088</c:v>
                </c:pt>
                <c:pt idx="70">
                  <c:v>-12212.812895058456</c:v>
                </c:pt>
                <c:pt idx="71">
                  <c:v>-10378.248194406689</c:v>
                </c:pt>
                <c:pt idx="72">
                  <c:v>-8994.0188731229446</c:v>
                </c:pt>
                <c:pt idx="73">
                  <c:v>-8143.8062453671328</c:v>
                </c:pt>
                <c:pt idx="74">
                  <c:v>-7981.2396344901281</c:v>
                </c:pt>
                <c:pt idx="75">
                  <c:v>-8780.4760454554307</c:v>
                </c:pt>
                <c:pt idx="76">
                  <c:v>-10961.811333318945</c:v>
                </c:pt>
                <c:pt idx="77">
                  <c:v>-14605.915125443331</c:v>
                </c:pt>
                <c:pt idx="78">
                  <c:v>-18237.922334008574</c:v>
                </c:pt>
                <c:pt idx="79">
                  <c:v>-20735.218608586547</c:v>
                </c:pt>
                <c:pt idx="80">
                  <c:v>-21825.035272441266</c:v>
                </c:pt>
                <c:pt idx="81">
                  <c:v>-21394.886111278844</c:v>
                </c:pt>
                <c:pt idx="82">
                  <c:v>-19291.309851625858</c:v>
                </c:pt>
                <c:pt idx="83">
                  <c:v>-15484.176418164594</c:v>
                </c:pt>
                <c:pt idx="84">
                  <c:v>-11269.763215414723</c:v>
                </c:pt>
                <c:pt idx="85">
                  <c:v>-8454.9883021366677</c:v>
                </c:pt>
                <c:pt idx="86">
                  <c:v>-6962.4177913902486</c:v>
                </c:pt>
                <c:pt idx="87">
                  <c:v>-6393.1481405944296</c:v>
                </c:pt>
                <c:pt idx="88">
                  <c:v>-6436.1201413062217</c:v>
                </c:pt>
                <c:pt idx="89">
                  <c:v>-6871.7940566747739</c:v>
                </c:pt>
                <c:pt idx="90">
                  <c:v>-7554.4607718926272</c:v>
                </c:pt>
                <c:pt idx="91">
                  <c:v>-8398.9004812486583</c:v>
                </c:pt>
                <c:pt idx="92">
                  <c:v>-9368.6897440508656</c:v>
                </c:pt>
                <c:pt idx="93">
                  <c:v>-10468.809226166548</c:v>
                </c:pt>
                <c:pt idx="94">
                  <c:v>-11747.144532164199</c:v>
                </c:pt>
                <c:pt idx="95">
                  <c:v>-13309.894897823187</c:v>
                </c:pt>
                <c:pt idx="96">
                  <c:v>-15312.015539684633</c:v>
                </c:pt>
                <c:pt idx="97">
                  <c:v>-16832.377321064774</c:v>
                </c:pt>
                <c:pt idx="98">
                  <c:v>-17455.490077539409</c:v>
                </c:pt>
                <c:pt idx="99">
                  <c:v>-17508.058970870054</c:v>
                </c:pt>
                <c:pt idx="100">
                  <c:v>-17127.91096375815</c:v>
                </c:pt>
                <c:pt idx="101">
                  <c:v>-16378.244968887506</c:v>
                </c:pt>
                <c:pt idx="102">
                  <c:v>-15301.884465515172</c:v>
                </c:pt>
                <c:pt idx="103">
                  <c:v>-14011.545832844011</c:v>
                </c:pt>
                <c:pt idx="104">
                  <c:v>-13261.288244503112</c:v>
                </c:pt>
                <c:pt idx="105">
                  <c:v>-13357.614556501409</c:v>
                </c:pt>
                <c:pt idx="106">
                  <c:v>-13589.979822598458</c:v>
                </c:pt>
                <c:pt idx="107">
                  <c:v>-13760.43364205786</c:v>
                </c:pt>
                <c:pt idx="108">
                  <c:v>-13806.82415613764</c:v>
                </c:pt>
                <c:pt idx="109">
                  <c:v>-13712.594308120648</c:v>
                </c:pt>
                <c:pt idx="110">
                  <c:v>-13487.850115324783</c:v>
                </c:pt>
                <c:pt idx="111">
                  <c:v>-13178.386975852038</c:v>
                </c:pt>
                <c:pt idx="112">
                  <c:v>-12918.746326310087</c:v>
                </c:pt>
                <c:pt idx="113">
                  <c:v>-13154.470252522664</c:v>
                </c:pt>
                <c:pt idx="114">
                  <c:v>-14807.370379091069</c:v>
                </c:pt>
                <c:pt idx="115">
                  <c:v>-16398.220273665604</c:v>
                </c:pt>
                <c:pt idx="116">
                  <c:v>-17614.593374748747</c:v>
                </c:pt>
                <c:pt idx="117">
                  <c:v>-18418.545145116779</c:v>
                </c:pt>
                <c:pt idx="118">
                  <c:v>-18781.576284895302</c:v>
                </c:pt>
                <c:pt idx="119">
                  <c:v>-18638.797151895174</c:v>
                </c:pt>
                <c:pt idx="120">
                  <c:v>-17840.411203525775</c:v>
                </c:pt>
                <c:pt idx="121">
                  <c:v>-16020.246838215333</c:v>
                </c:pt>
                <c:pt idx="122">
                  <c:v>-13067.00693457641</c:v>
                </c:pt>
                <c:pt idx="123">
                  <c:v>-10726.689879112579</c:v>
                </c:pt>
                <c:pt idx="124">
                  <c:v>-8729.6699216038887</c:v>
                </c:pt>
                <c:pt idx="125">
                  <c:v>-6852.8904908285476</c:v>
                </c:pt>
                <c:pt idx="126">
                  <c:v>-4933.8057492352227</c:v>
                </c:pt>
                <c:pt idx="127">
                  <c:v>-2820.1762674189176</c:v>
                </c:pt>
                <c:pt idx="128">
                  <c:v>-327.72770464257013</c:v>
                </c:pt>
                <c:pt idx="129">
                  <c:v>2826.7322515308229</c:v>
                </c:pt>
                <c:pt idx="130">
                  <c:v>7181.526809793173</c:v>
                </c:pt>
                <c:pt idx="131">
                  <c:v>13325.796618305665</c:v>
                </c:pt>
                <c:pt idx="132">
                  <c:v>17354.526152678096</c:v>
                </c:pt>
                <c:pt idx="133">
                  <c:v>19932.297093487443</c:v>
                </c:pt>
                <c:pt idx="134">
                  <c:v>21487.619444800435</c:v>
                </c:pt>
                <c:pt idx="135">
                  <c:v>22203.057631950309</c:v>
                </c:pt>
                <c:pt idx="136">
                  <c:v>22146.444915575565</c:v>
                </c:pt>
                <c:pt idx="137">
                  <c:v>21310.440111998731</c:v>
                </c:pt>
                <c:pt idx="138">
                  <c:v>19609.172169694473</c:v>
                </c:pt>
                <c:pt idx="139">
                  <c:v>16828.312121306077</c:v>
                </c:pt>
                <c:pt idx="140">
                  <c:v>12474.486165256343</c:v>
                </c:pt>
                <c:pt idx="141">
                  <c:v>6183.5177059704984</c:v>
                </c:pt>
                <c:pt idx="142">
                  <c:v>1701.5045608245259</c:v>
                </c:pt>
                <c:pt idx="143">
                  <c:v>-1772.0851219899769</c:v>
                </c:pt>
                <c:pt idx="144">
                  <c:v>-4707.2971986571483</c:v>
                </c:pt>
                <c:pt idx="145">
                  <c:v>-7333.8015998407282</c:v>
                </c:pt>
                <c:pt idx="146">
                  <c:v>-9777.352051787364</c:v>
                </c:pt>
                <c:pt idx="147">
                  <c:v>-12107.510613800743</c:v>
                </c:pt>
                <c:pt idx="148">
                  <c:v>-14347.149736230505</c:v>
                </c:pt>
                <c:pt idx="149">
                  <c:v>-16437.734616230719</c:v>
                </c:pt>
                <c:pt idx="150">
                  <c:v>-18051.048873831201</c:v>
                </c:pt>
                <c:pt idx="151">
                  <c:v>-17954.153447294419</c:v>
                </c:pt>
                <c:pt idx="152">
                  <c:v>-16379.027515789954</c:v>
                </c:pt>
                <c:pt idx="153">
                  <c:v>-14420.464189568607</c:v>
                </c:pt>
                <c:pt idx="154">
                  <c:v>-12385.710586199482</c:v>
                </c:pt>
                <c:pt idx="155">
                  <c:v>-10368.960867895306</c:v>
                </c:pt>
                <c:pt idx="156">
                  <c:v>-8405.9037755293375</c:v>
                </c:pt>
                <c:pt idx="157">
                  <c:v>-6512.8025156867134</c:v>
                </c:pt>
                <c:pt idx="158">
                  <c:v>-4699.2739527288868</c:v>
                </c:pt>
                <c:pt idx="159">
                  <c:v>-2974.5043497813172</c:v>
                </c:pt>
                <c:pt idx="160">
                  <c:v>-1351.9871869471544</c:v>
                </c:pt>
                <c:pt idx="161">
                  <c:v>147.48424701760217</c:v>
                </c:pt>
                <c:pt idx="162">
                  <c:v>1497.7932359679626</c:v>
                </c:pt>
                <c:pt idx="163">
                  <c:v>2675.6130077110138</c:v>
                </c:pt>
                <c:pt idx="164">
                  <c:v>3670.5864086677097</c:v>
                </c:pt>
                <c:pt idx="165">
                  <c:v>4494.0037266239569</c:v>
                </c:pt>
                <c:pt idx="166">
                  <c:v>5188.8910101327074</c:v>
                </c:pt>
                <c:pt idx="167">
                  <c:v>5852.5770420198905</c:v>
                </c:pt>
                <c:pt idx="168">
                  <c:v>6706.7745878617907</c:v>
                </c:pt>
                <c:pt idx="169">
                  <c:v>8366.1787265473195</c:v>
                </c:pt>
                <c:pt idx="170">
                  <c:v>11330.872328837324</c:v>
                </c:pt>
                <c:pt idx="171">
                  <c:v>13770.658097797848</c:v>
                </c:pt>
                <c:pt idx="172">
                  <c:v>15670.323670879354</c:v>
                </c:pt>
                <c:pt idx="173">
                  <c:v>17109.250035586349</c:v>
                </c:pt>
                <c:pt idx="174">
                  <c:v>18132.354009430615</c:v>
                </c:pt>
                <c:pt idx="175">
                  <c:v>18755.395790632581</c:v>
                </c:pt>
                <c:pt idx="176">
                  <c:v>18969.349710616556</c:v>
                </c:pt>
                <c:pt idx="177">
                  <c:v>18737.53903940642</c:v>
                </c:pt>
                <c:pt idx="178">
                  <c:v>17981.95707830543</c:v>
                </c:pt>
                <c:pt idx="179">
                  <c:v>16544.708569276481</c:v>
                </c:pt>
                <c:pt idx="180">
                  <c:v>14072.641144604931</c:v>
                </c:pt>
                <c:pt idx="181">
                  <c:v>9740.4333939480312</c:v>
                </c:pt>
                <c:pt idx="182">
                  <c:v>5474.771490964803</c:v>
                </c:pt>
                <c:pt idx="183">
                  <c:v>2100.8005578609209</c:v>
                </c:pt>
                <c:pt idx="184">
                  <c:v>-793.89797188567218</c:v>
                </c:pt>
                <c:pt idx="185">
                  <c:v>-3520.2851212553928</c:v>
                </c:pt>
                <c:pt idx="186">
                  <c:v>-6349.2512947111973</c:v>
                </c:pt>
                <c:pt idx="187">
                  <c:v>-9597.6128053043303</c:v>
                </c:pt>
                <c:pt idx="188">
                  <c:v>-13744.012206782761</c:v>
                </c:pt>
                <c:pt idx="189">
                  <c:v>-18681.902166430391</c:v>
                </c:pt>
                <c:pt idx="190">
                  <c:v>-21703.067941391018</c:v>
                </c:pt>
                <c:pt idx="191">
                  <c:v>-23617.643399371609</c:v>
                </c:pt>
                <c:pt idx="192">
                  <c:v>-24795.074008747448</c:v>
                </c:pt>
                <c:pt idx="193">
                  <c:v>-25401.319526715833</c:v>
                </c:pt>
                <c:pt idx="194">
                  <c:v>-25519.556906224767</c:v>
                </c:pt>
                <c:pt idx="195">
                  <c:v>-25190.825580165096</c:v>
                </c:pt>
                <c:pt idx="196">
                  <c:v>-24429.068379156735</c:v>
                </c:pt>
                <c:pt idx="197">
                  <c:v>-23225.673255484577</c:v>
                </c:pt>
                <c:pt idx="198">
                  <c:v>-21547.50907810239</c:v>
                </c:pt>
                <c:pt idx="199">
                  <c:v>-19328.691110654694</c:v>
                </c:pt>
                <c:pt idx="200">
                  <c:v>-16463.017123649879</c:v>
                </c:pt>
                <c:pt idx="201">
                  <c:v>-12976.684433862602</c:v>
                </c:pt>
                <c:pt idx="202">
                  <c:v>-10959.03040211081</c:v>
                </c:pt>
                <c:pt idx="203">
                  <c:v>-9859.3662236655946</c:v>
                </c:pt>
                <c:pt idx="204">
                  <c:v>-8998.6465546648687</c:v>
                </c:pt>
                <c:pt idx="205">
                  <c:v>-8109.298053403214</c:v>
                </c:pt>
                <c:pt idx="206">
                  <c:v>-7056.4380023279728</c:v>
                </c:pt>
                <c:pt idx="207">
                  <c:v>-5756.3645288739908</c:v>
                </c:pt>
                <c:pt idx="208">
                  <c:v>-4145.0714516509433</c:v>
                </c:pt>
                <c:pt idx="209">
                  <c:v>-2160.5358621102441</c:v>
                </c:pt>
                <c:pt idx="210">
                  <c:v>271.99302945837144</c:v>
                </c:pt>
                <c:pt idx="211">
                  <c:v>3256.4780933178708</c:v>
                </c:pt>
                <c:pt idx="212">
                  <c:v>6937.2216549742698</c:v>
                </c:pt>
                <c:pt idx="213">
                  <c:v>11348.432538689542</c:v>
                </c:pt>
                <c:pt idx="214">
                  <c:v>14795.489210394404</c:v>
                </c:pt>
                <c:pt idx="215">
                  <c:v>16360.133158846942</c:v>
                </c:pt>
                <c:pt idx="216">
                  <c:v>16880.080580943562</c:v>
                </c:pt>
                <c:pt idx="217">
                  <c:v>16744.104142546352</c:v>
                </c:pt>
                <c:pt idx="218">
                  <c:v>16134.272303244714</c:v>
                </c:pt>
                <c:pt idx="219">
                  <c:v>15149.761980850104</c:v>
                </c:pt>
                <c:pt idx="220">
                  <c:v>13852.525443157785</c:v>
                </c:pt>
                <c:pt idx="221">
                  <c:v>12286.854086494724</c:v>
                </c:pt>
                <c:pt idx="222">
                  <c:v>10488.966592004761</c:v>
                </c:pt>
                <c:pt idx="223">
                  <c:v>8491.1799455897381</c:v>
                </c:pt>
                <c:pt idx="224">
                  <c:v>6320.9362741151617</c:v>
                </c:pt>
                <c:pt idx="225">
                  <c:v>3994.0054424769432</c:v>
                </c:pt>
                <c:pt idx="226">
                  <c:v>1502.84044293486</c:v>
                </c:pt>
                <c:pt idx="227">
                  <c:v>-1198.25461342371</c:v>
                </c:pt>
                <c:pt idx="228">
                  <c:v>-4215.2973060763434</c:v>
                </c:pt>
                <c:pt idx="229">
                  <c:v>-7765.0240541479043</c:v>
                </c:pt>
                <c:pt idx="230">
                  <c:v>-12315.402826278701</c:v>
                </c:pt>
                <c:pt idx="231">
                  <c:v>-18431.11338758107</c:v>
                </c:pt>
                <c:pt idx="232">
                  <c:v>-22464.110206832574</c:v>
                </c:pt>
                <c:pt idx="233">
                  <c:v>-25214.787964526498</c:v>
                </c:pt>
                <c:pt idx="234">
                  <c:v>-27120.124710895019</c:v>
                </c:pt>
                <c:pt idx="235">
                  <c:v>-28377.851636883574</c:v>
                </c:pt>
                <c:pt idx="236">
                  <c:v>-29089.099178004468</c:v>
                </c:pt>
                <c:pt idx="237">
                  <c:v>-29307.267847803185</c:v>
                </c:pt>
                <c:pt idx="238">
                  <c:v>-29056.787483037286</c:v>
                </c:pt>
                <c:pt idx="239">
                  <c:v>-28340.231616603032</c:v>
                </c:pt>
                <c:pt idx="240">
                  <c:v>-27139.2427402008</c:v>
                </c:pt>
                <c:pt idx="241">
                  <c:v>-25410.068824875776</c:v>
                </c:pt>
                <c:pt idx="242">
                  <c:v>-23071.265955965024</c:v>
                </c:pt>
                <c:pt idx="243">
                  <c:v>-19977.184223599656</c:v>
                </c:pt>
                <c:pt idx="244">
                  <c:v>-15889.177933178646</c:v>
                </c:pt>
                <c:pt idx="245">
                  <c:v>-11141.224217896244</c:v>
                </c:pt>
                <c:pt idx="246">
                  <c:v>-8181.7740422925799</c:v>
                </c:pt>
                <c:pt idx="247">
                  <c:v>-6066.7354688415426</c:v>
                </c:pt>
                <c:pt idx="248">
                  <c:v>-4346.5953470758213</c:v>
                </c:pt>
                <c:pt idx="249">
                  <c:v>-2816.2559101094989</c:v>
                </c:pt>
                <c:pt idx="250">
                  <c:v>-1349.2827560286751</c:v>
                </c:pt>
                <c:pt idx="251">
                  <c:v>159.15649625427628</c:v>
                </c:pt>
                <c:pt idx="252">
                  <c:v>1822.5972366474302</c:v>
                </c:pt>
                <c:pt idx="253">
                  <c:v>3797.7353744934089</c:v>
                </c:pt>
                <c:pt idx="254">
                  <c:v>6359.0803508820118</c:v>
                </c:pt>
                <c:pt idx="255">
                  <c:v>10061.519158547067</c:v>
                </c:pt>
                <c:pt idx="256">
                  <c:v>13610.187872287976</c:v>
                </c:pt>
                <c:pt idx="257">
                  <c:v>15879.474373081739</c:v>
                </c:pt>
                <c:pt idx="258">
                  <c:v>17260.737480099306</c:v>
                </c:pt>
                <c:pt idx="259">
                  <c:v>17933.357982392921</c:v>
                </c:pt>
                <c:pt idx="260">
                  <c:v>17964.927156881851</c:v>
                </c:pt>
                <c:pt idx="261">
                  <c:v>17359.10448736517</c:v>
                </c:pt>
                <c:pt idx="262">
                  <c:v>16066.711411993376</c:v>
                </c:pt>
                <c:pt idx="263">
                  <c:v>13983.358600724721</c:v>
                </c:pt>
                <c:pt idx="264">
                  <c:v>10998.718767347738</c:v>
                </c:pt>
                <c:pt idx="265">
                  <c:v>7527.3898128812734</c:v>
                </c:pt>
                <c:pt idx="266">
                  <c:v>4815.6749160484324</c:v>
                </c:pt>
                <c:pt idx="267">
                  <c:v>2899.6472181607314</c:v>
                </c:pt>
                <c:pt idx="268">
                  <c:v>1531.8730905503617</c:v>
                </c:pt>
                <c:pt idx="269">
                  <c:v>558.47620732103576</c:v>
                </c:pt>
                <c:pt idx="270">
                  <c:v>-104.4785319781156</c:v>
                </c:pt>
                <c:pt idx="271">
                  <c:v>-501.86204606474143</c:v>
                </c:pt>
                <c:pt idx="272">
                  <c:v>-655.25138916100866</c:v>
                </c:pt>
                <c:pt idx="273">
                  <c:v>-570.0077394025534</c:v>
                </c:pt>
                <c:pt idx="274">
                  <c:v>-237.58340966516556</c:v>
                </c:pt>
                <c:pt idx="275">
                  <c:v>365.32542681620941</c:v>
                </c:pt>
                <c:pt idx="276">
                  <c:v>1280.0034996898742</c:v>
                </c:pt>
                <c:pt idx="277">
                  <c:v>2569.0402800380448</c:v>
                </c:pt>
                <c:pt idx="278">
                  <c:v>4308.4924688178035</c:v>
                </c:pt>
                <c:pt idx="279">
                  <c:v>6531.5685865155738</c:v>
                </c:pt>
                <c:pt idx="280">
                  <c:v>9091.7034227887216</c:v>
                </c:pt>
                <c:pt idx="281">
                  <c:v>11639.925452332471</c:v>
                </c:pt>
                <c:pt idx="282">
                  <c:v>13878.886568573553</c:v>
                </c:pt>
                <c:pt idx="283">
                  <c:v>15679.147123263305</c:v>
                </c:pt>
                <c:pt idx="284">
                  <c:v>17007.554856658946</c:v>
                </c:pt>
                <c:pt idx="285">
                  <c:v>17861.738560039852</c:v>
                </c:pt>
                <c:pt idx="286">
                  <c:v>18240.679287745748</c:v>
                </c:pt>
                <c:pt idx="287">
                  <c:v>18131.471685246994</c:v>
                </c:pt>
                <c:pt idx="288">
                  <c:v>17498.63037339021</c:v>
                </c:pt>
                <c:pt idx="289">
                  <c:v>16265.814455345339</c:v>
                </c:pt>
                <c:pt idx="290">
                  <c:v>14271.099755453426</c:v>
                </c:pt>
                <c:pt idx="291">
                  <c:v>11149.619158995922</c:v>
                </c:pt>
                <c:pt idx="292">
                  <c:v>6922.6013846044825</c:v>
                </c:pt>
                <c:pt idx="293">
                  <c:v>3912.556701984849</c:v>
                </c:pt>
                <c:pt idx="294">
                  <c:v>1553.8364750608048</c:v>
                </c:pt>
                <c:pt idx="295">
                  <c:v>-418.38008922805926</c:v>
                </c:pt>
                <c:pt idx="296">
                  <c:v>-2129.2292305488645</c:v>
                </c:pt>
                <c:pt idx="297">
                  <c:v>-3648.7696221063566</c:v>
                </c:pt>
                <c:pt idx="298">
                  <c:v>-5022.400652670367</c:v>
                </c:pt>
                <c:pt idx="299">
                  <c:v>-6284.0485071371513</c:v>
                </c:pt>
                <c:pt idx="300">
                  <c:v>-7463.2274858018873</c:v>
                </c:pt>
                <c:pt idx="301">
                  <c:v>-8590.0386508379179</c:v>
                </c:pt>
                <c:pt idx="302">
                  <c:v>-9700.4893959635883</c:v>
                </c:pt>
                <c:pt idx="303">
                  <c:v>-10845.565500156448</c:v>
                </c:pt>
                <c:pt idx="304">
                  <c:v>-12114.142110828139</c:v>
                </c:pt>
                <c:pt idx="305">
                  <c:v>-13710.322166350459</c:v>
                </c:pt>
                <c:pt idx="306">
                  <c:v>-16055.975287053803</c:v>
                </c:pt>
                <c:pt idx="307">
                  <c:v>-17744.170139744874</c:v>
                </c:pt>
                <c:pt idx="308">
                  <c:v>-18952.987155038409</c:v>
                </c:pt>
                <c:pt idx="309">
                  <c:v>-19812.9051611822</c:v>
                </c:pt>
                <c:pt idx="310">
                  <c:v>-20393.461407224368</c:v>
                </c:pt>
                <c:pt idx="311">
                  <c:v>-20737.735740317647</c:v>
                </c:pt>
                <c:pt idx="312">
                  <c:v>-20875.310746467516</c:v>
                </c:pt>
                <c:pt idx="313">
                  <c:v>-20827.797089159641</c:v>
                </c:pt>
                <c:pt idx="314">
                  <c:v>-20611.573685379841</c:v>
                </c:pt>
                <c:pt idx="315">
                  <c:v>-20239.315720953902</c:v>
                </c:pt>
                <c:pt idx="316">
                  <c:v>-19720.919677999485</c:v>
                </c:pt>
                <c:pt idx="317">
                  <c:v>-19064.092170866432</c:v>
                </c:pt>
                <c:pt idx="318">
                  <c:v>-18274.731049541308</c:v>
                </c:pt>
                <c:pt idx="319">
                  <c:v>-17357.163819833997</c:v>
                </c:pt>
                <c:pt idx="320">
                  <c:v>-16314.27478293491</c:v>
                </c:pt>
                <c:pt idx="321">
                  <c:v>-15147.530152801668</c:v>
                </c:pt>
                <c:pt idx="322">
                  <c:v>-13856.890298089666</c:v>
                </c:pt>
                <c:pt idx="323">
                  <c:v>-12440.572233160476</c:v>
                </c:pt>
                <c:pt idx="324">
                  <c:v>-10894.581905152249</c:v>
                </c:pt>
                <c:pt idx="325">
                  <c:v>-9211.8509355706192</c:v>
                </c:pt>
                <c:pt idx="326">
                  <c:v>-7380.6297302786361</c:v>
                </c:pt>
                <c:pt idx="327">
                  <c:v>-5381.3586959766371</c:v>
                </c:pt>
                <c:pt idx="328">
                  <c:v>-3180.1200674156535</c:v>
                </c:pt>
                <c:pt idx="329">
                  <c:v>-713.47299050828337</c:v>
                </c:pt>
                <c:pt idx="330">
                  <c:v>2151.9590091332602</c:v>
                </c:pt>
                <c:pt idx="331">
                  <c:v>5748.9857431079663</c:v>
                </c:pt>
                <c:pt idx="332">
                  <c:v>10974.944594759469</c:v>
                </c:pt>
                <c:pt idx="333">
                  <c:v>15367.695484982578</c:v>
                </c:pt>
                <c:pt idx="334">
                  <c:v>18661.144461479653</c:v>
                </c:pt>
                <c:pt idx="335">
                  <c:v>21210.134629092969</c:v>
                </c:pt>
                <c:pt idx="336">
                  <c:v>23197.102346235974</c:v>
                </c:pt>
                <c:pt idx="337">
                  <c:v>24721.849679485316</c:v>
                </c:pt>
                <c:pt idx="338">
                  <c:v>25843.966319973191</c:v>
                </c:pt>
                <c:pt idx="339">
                  <c:v>26600.856632922652</c:v>
                </c:pt>
                <c:pt idx="340">
                  <c:v>27016.170206203115</c:v>
                </c:pt>
                <c:pt idx="341">
                  <c:v>27104.068471139628</c:v>
                </c:pt>
                <c:pt idx="342">
                  <c:v>26871.462155438578</c:v>
                </c:pt>
                <c:pt idx="343">
                  <c:v>26319.134409610961</c:v>
                </c:pt>
                <c:pt idx="344">
                  <c:v>25442.163608882569</c:v>
                </c:pt>
                <c:pt idx="345">
                  <c:v>24229.833014455446</c:v>
                </c:pt>
                <c:pt idx="346">
                  <c:v>22665.111873661899</c:v>
                </c:pt>
                <c:pt idx="347">
                  <c:v>20723.798735200704</c:v>
                </c:pt>
                <c:pt idx="348">
                  <c:v>18373.726448010999</c:v>
                </c:pt>
                <c:pt idx="349">
                  <c:v>15576.115615634983</c:v>
                </c:pt>
                <c:pt idx="350">
                  <c:v>12299.981209209005</c:v>
                </c:pt>
                <c:pt idx="351">
                  <c:v>8607.4776384800298</c:v>
                </c:pt>
                <c:pt idx="352">
                  <c:v>5046.2647355545987</c:v>
                </c:pt>
                <c:pt idx="353">
                  <c:v>2818.0637785574618</c:v>
                </c:pt>
                <c:pt idx="354">
                  <c:v>1763.2159330897803</c:v>
                </c:pt>
                <c:pt idx="355">
                  <c:v>1359.4831967330333</c:v>
                </c:pt>
                <c:pt idx="356">
                  <c:v>1333.4777410379247</c:v>
                </c:pt>
                <c:pt idx="357">
                  <c:v>1549.8027903615566</c:v>
                </c:pt>
                <c:pt idx="358">
                  <c:v>1935.067721661929</c:v>
                </c:pt>
                <c:pt idx="359">
                  <c:v>2445.6754250998742</c:v>
                </c:pt>
                <c:pt idx="360">
                  <c:v>3053.7044535726573</c:v>
                </c:pt>
                <c:pt idx="361">
                  <c:v>3740.1618057870455</c:v>
                </c:pt>
                <c:pt idx="362">
                  <c:v>4491.472617718855</c:v>
                </c:pt>
                <c:pt idx="363">
                  <c:v>5297.5040349981882</c:v>
                </c:pt>
                <c:pt idx="364">
                  <c:v>6150.3480859618521</c:v>
                </c:pt>
                <c:pt idx="365">
                  <c:v>7043.4373483111967</c:v>
                </c:pt>
                <c:pt idx="366">
                  <c:v>7970.5885900038766</c:v>
                </c:pt>
                <c:pt idx="367">
                  <c:v>8923.9959709459763</c:v>
                </c:pt>
                <c:pt idx="368">
                  <c:v>9886.6413860444063</c:v>
                </c:pt>
                <c:pt idx="369">
                  <c:v>10786.033359606741</c:v>
                </c:pt>
                <c:pt idx="370">
                  <c:v>11058.037921164281</c:v>
                </c:pt>
                <c:pt idx="371">
                  <c:v>10670.40710881809</c:v>
                </c:pt>
                <c:pt idx="372">
                  <c:v>10026.580313883414</c:v>
                </c:pt>
                <c:pt idx="373">
                  <c:v>9186.0922547848277</c:v>
                </c:pt>
                <c:pt idx="374">
                  <c:v>8162.7795256570816</c:v>
                </c:pt>
                <c:pt idx="375">
                  <c:v>6973.6410308866743</c:v>
                </c:pt>
                <c:pt idx="376">
                  <c:v>5662.79173423662</c:v>
                </c:pt>
                <c:pt idx="377">
                  <c:v>4334.6738987350363</c:v>
                </c:pt>
                <c:pt idx="378">
                  <c:v>3188.3953152015602</c:v>
                </c:pt>
                <c:pt idx="379">
                  <c:v>2456.675848054273</c:v>
                </c:pt>
                <c:pt idx="380">
                  <c:v>2218.3468490594651</c:v>
                </c:pt>
                <c:pt idx="381">
                  <c:v>2386.577681127369</c:v>
                </c:pt>
                <c:pt idx="382">
                  <c:v>2842.9716600594047</c:v>
                </c:pt>
                <c:pt idx="383">
                  <c:v>3496.6291334776042</c:v>
                </c:pt>
                <c:pt idx="384">
                  <c:v>4285.8344144264493</c:v>
                </c:pt>
                <c:pt idx="385">
                  <c:v>5168.6762483503881</c:v>
                </c:pt>
                <c:pt idx="386">
                  <c:v>6115.3077461266757</c:v>
                </c:pt>
                <c:pt idx="387">
                  <c:v>7102.7764574479197</c:v>
                </c:pt>
                <c:pt idx="388">
                  <c:v>8111.3882423850582</c:v>
                </c:pt>
                <c:pt idx="389">
                  <c:v>9121.4459850368767</c:v>
                </c:pt>
                <c:pt idx="390">
                  <c:v>10108.803180313345</c:v>
                </c:pt>
                <c:pt idx="391">
                  <c:v>11035.510640730967</c:v>
                </c:pt>
                <c:pt idx="392">
                  <c:v>11821.979438198367</c:v>
                </c:pt>
                <c:pt idx="393">
                  <c:v>12233.574121408898</c:v>
                </c:pt>
                <c:pt idx="394">
                  <c:v>11435.149022575339</c:v>
                </c:pt>
                <c:pt idx="395">
                  <c:v>9906.925110978902</c:v>
                </c:pt>
                <c:pt idx="396">
                  <c:v>8255.3699449831984</c:v>
                </c:pt>
                <c:pt idx="397">
                  <c:v>6525.4795468906768</c:v>
                </c:pt>
                <c:pt idx="398">
                  <c:v>4685.8571261548695</c:v>
                </c:pt>
                <c:pt idx="399">
                  <c:v>2694.9538836914949</c:v>
                </c:pt>
                <c:pt idx="400">
                  <c:v>514.76548420381062</c:v>
                </c:pt>
                <c:pt idx="401">
                  <c:v>-1874.2453513096048</c:v>
                </c:pt>
                <c:pt idx="402">
                  <c:v>-4442.8503213085169</c:v>
                </c:pt>
                <c:pt idx="403">
                  <c:v>-7088.3215967019123</c:v>
                </c:pt>
                <c:pt idx="404">
                  <c:v>-9678.3232727439208</c:v>
                </c:pt>
                <c:pt idx="405">
                  <c:v>-12120.896820714128</c:v>
                </c:pt>
                <c:pt idx="406">
                  <c:v>-14374.515115978866</c:v>
                </c:pt>
                <c:pt idx="407">
                  <c:v>-16427.186628760071</c:v>
                </c:pt>
                <c:pt idx="408">
                  <c:v>-18279.729408592546</c:v>
                </c:pt>
                <c:pt idx="409">
                  <c:v>-19937.331115519242</c:v>
                </c:pt>
                <c:pt idx="410">
                  <c:v>-21405.8631902942</c:v>
                </c:pt>
                <c:pt idx="411">
                  <c:v>-22690.363691309067</c:v>
                </c:pt>
                <c:pt idx="412">
                  <c:v>-23794.432922770236</c:v>
                </c:pt>
                <c:pt idx="413">
                  <c:v>-24719.9862907569</c:v>
                </c:pt>
                <c:pt idx="414">
                  <c:v>-25467.11895686842</c:v>
                </c:pt>
                <c:pt idx="415">
                  <c:v>-26033.965974843875</c:v>
                </c:pt>
                <c:pt idx="416">
                  <c:v>-26416.490077866521</c:v>
                </c:pt>
                <c:pt idx="417">
                  <c:v>-26608.138196625441</c:v>
                </c:pt>
                <c:pt idx="418">
                  <c:v>-26599.289672524777</c:v>
                </c:pt>
                <c:pt idx="419">
                  <c:v>-26376.368754318781</c:v>
                </c:pt>
                <c:pt idx="420">
                  <c:v>-25920.384167907203</c:v>
                </c:pt>
                <c:pt idx="421">
                  <c:v>-25204.413366786466</c:v>
                </c:pt>
                <c:pt idx="422">
                  <c:v>-24188.95132863085</c:v>
                </c:pt>
                <c:pt idx="423">
                  <c:v>-22812.397186627273</c:v>
                </c:pt>
                <c:pt idx="424">
                  <c:v>-20968.660400757661</c:v>
                </c:pt>
                <c:pt idx="425">
                  <c:v>-18443.850189770819</c:v>
                </c:pt>
                <c:pt idx="426">
                  <c:v>-14734.565737021601</c:v>
                </c:pt>
                <c:pt idx="427">
                  <c:v>-11139.048768923161</c:v>
                </c:pt>
                <c:pt idx="428">
                  <c:v>-8365.2573289523334</c:v>
                </c:pt>
                <c:pt idx="429">
                  <c:v>-5982.4055158530045</c:v>
                </c:pt>
                <c:pt idx="430">
                  <c:v>-3789.0884867533055</c:v>
                </c:pt>
                <c:pt idx="431">
                  <c:v>-1661.830840534054</c:v>
                </c:pt>
                <c:pt idx="432">
                  <c:v>506.04082256027641</c:v>
                </c:pt>
                <c:pt idx="433">
                  <c:v>2841.9013855433523</c:v>
                </c:pt>
                <c:pt idx="434">
                  <c:v>5548.6060533524033</c:v>
                </c:pt>
                <c:pt idx="435">
                  <c:v>9035.7088671299898</c:v>
                </c:pt>
                <c:pt idx="436">
                  <c:v>13265.189080807817</c:v>
                </c:pt>
                <c:pt idx="437">
                  <c:v>16167.971429722105</c:v>
                </c:pt>
                <c:pt idx="438">
                  <c:v>18329.193480772232</c:v>
                </c:pt>
                <c:pt idx="439">
                  <c:v>19992.243815785696</c:v>
                </c:pt>
                <c:pt idx="440">
                  <c:v>21267.552585278787</c:v>
                </c:pt>
                <c:pt idx="441">
                  <c:v>22212.703906401584</c:v>
                </c:pt>
                <c:pt idx="442">
                  <c:v>22859.355963403235</c:v>
                </c:pt>
                <c:pt idx="443">
                  <c:v>23223.886801907207</c:v>
                </c:pt>
                <c:pt idx="444">
                  <c:v>23311.925238422427</c:v>
                </c:pt>
                <c:pt idx="445">
                  <c:v>23119.98828063584</c:v>
                </c:pt>
                <c:pt idx="446">
                  <c:v>22635.241388013477</c:v>
                </c:pt>
                <c:pt idx="447">
                  <c:v>21833.393316533282</c:v>
                </c:pt>
                <c:pt idx="448">
                  <c:v>20673.854011220596</c:v>
                </c:pt>
                <c:pt idx="449">
                  <c:v>19089.843955985547</c:v>
                </c:pt>
                <c:pt idx="450">
                  <c:v>16968.558923853634</c:v>
                </c:pt>
                <c:pt idx="451">
                  <c:v>14118.610922193955</c:v>
                </c:pt>
                <c:pt idx="452">
                  <c:v>10335.803311544541</c:v>
                </c:pt>
                <c:pt idx="453">
                  <c:v>6322.5363738057731</c:v>
                </c:pt>
                <c:pt idx="454">
                  <c:v>2871.2523504942737</c:v>
                </c:pt>
                <c:pt idx="455">
                  <c:v>-182.23022949000779</c:v>
                </c:pt>
                <c:pt idx="456">
                  <c:v>-3015.7418303623044</c:v>
                </c:pt>
                <c:pt idx="457">
                  <c:v>-5729.1593523977572</c:v>
                </c:pt>
                <c:pt idx="458">
                  <c:v>-8373.3857560998204</c:v>
                </c:pt>
                <c:pt idx="459">
                  <c:v>-10968.361784174649</c:v>
                </c:pt>
                <c:pt idx="460">
                  <c:v>-13509.641863019506</c:v>
                </c:pt>
                <c:pt idx="461">
                  <c:v>-15966.562747393175</c:v>
                </c:pt>
                <c:pt idx="462">
                  <c:v>-18270.822201056024</c:v>
                </c:pt>
                <c:pt idx="463">
                  <c:v>-20289.055896698941</c:v>
                </c:pt>
                <c:pt idx="464">
                  <c:v>-21767.912613715656</c:v>
                </c:pt>
                <c:pt idx="465">
                  <c:v>-22265.496278421397</c:v>
                </c:pt>
                <c:pt idx="466">
                  <c:v>-21292.851441290855</c:v>
                </c:pt>
                <c:pt idx="467">
                  <c:v>-18975.672956939627</c:v>
                </c:pt>
                <c:pt idx="468">
                  <c:v>-15961.095362986913</c:v>
                </c:pt>
                <c:pt idx="469">
                  <c:v>-12673.014134833182</c:v>
                </c:pt>
                <c:pt idx="470">
                  <c:v>-9252.7149221410746</c:v>
                </c:pt>
                <c:pt idx="471">
                  <c:v>-5682.7414725173639</c:v>
                </c:pt>
                <c:pt idx="472">
                  <c:v>-1835.3841467463731</c:v>
                </c:pt>
                <c:pt idx="473">
                  <c:v>2565.8212196682998</c:v>
                </c:pt>
                <c:pt idx="474">
                  <c:v>8136.3591890874677</c:v>
                </c:pt>
                <c:pt idx="475">
                  <c:v>15084.313801400935</c:v>
                </c:pt>
                <c:pt idx="476">
                  <c:v>20092.281968025058</c:v>
                </c:pt>
                <c:pt idx="477">
                  <c:v>24094.609813248397</c:v>
                </c:pt>
                <c:pt idx="478">
                  <c:v>27476.945967603406</c:v>
                </c:pt>
                <c:pt idx="479">
                  <c:v>30416.236650734387</c:v>
                </c:pt>
                <c:pt idx="480">
                  <c:v>33009.632980287417</c:v>
                </c:pt>
                <c:pt idx="481">
                  <c:v>35317.354911738032</c:v>
                </c:pt>
                <c:pt idx="482">
                  <c:v>37379.959856158472</c:v>
                </c:pt>
                <c:pt idx="483">
                  <c:v>39226.422213136335</c:v>
                </c:pt>
                <c:pt idx="484">
                  <c:v>40878.355124148467</c:v>
                </c:pt>
                <c:pt idx="485">
                  <c:v>42352.409088201282</c:v>
                </c:pt>
                <c:pt idx="486">
                  <c:v>43661.726777951204</c:v>
                </c:pt>
                <c:pt idx="487">
                  <c:v>44816.872702142602</c:v>
                </c:pt>
                <c:pt idx="488">
                  <c:v>45826.452980567854</c:v>
                </c:pt>
                <c:pt idx="489">
                  <c:v>46697.543077657625</c:v>
                </c:pt>
                <c:pt idx="490">
                  <c:v>47435.991448265355</c:v>
                </c:pt>
                <c:pt idx="491">
                  <c:v>48046.640027232883</c:v>
                </c:pt>
                <c:pt idx="492">
                  <c:v>48533.487143904807</c:v>
                </c:pt>
                <c:pt idx="493">
                  <c:v>48899.809352877804</c:v>
                </c:pt>
                <c:pt idx="494">
                  <c:v>49148.253086608325</c:v>
                </c:pt>
                <c:pt idx="495">
                  <c:v>49280.903483999711</c:v>
                </c:pt>
                <c:pt idx="496">
                  <c:v>49299.335415013178</c:v>
                </c:pt>
                <c:pt idx="497">
                  <c:v>49204.650133522598</c:v>
                </c:pt>
                <c:pt idx="498">
                  <c:v>48997.499866987346</c:v>
                </c:pt>
                <c:pt idx="499">
                  <c:v>48678.101816148883</c:v>
                </c:pt>
                <c:pt idx="500">
                  <c:v>48246.24237527106</c:v>
                </c:pt>
                <c:pt idx="501">
                  <c:v>47701.271811393904</c:v>
                </c:pt>
                <c:pt idx="502">
                  <c:v>47042.089094195646</c:v>
                </c:pt>
                <c:pt idx="503">
                  <c:v>46267.115985045915</c:v>
                </c:pt>
                <c:pt idx="504">
                  <c:v>45374.258806081409</c:v>
                </c:pt>
                <c:pt idx="505">
                  <c:v>44360.855428119074</c:v>
                </c:pt>
                <c:pt idx="506">
                  <c:v>43223.60380961265</c:v>
                </c:pt>
                <c:pt idx="507">
                  <c:v>41958.466683799103</c:v>
                </c:pt>
                <c:pt idx="508">
                  <c:v>40560.544392671749</c:v>
                </c:pt>
                <c:pt idx="509">
                  <c:v>39023.903832602584</c:v>
                </c:pt>
                <c:pt idx="510">
                  <c:v>37341.344999010449</c:v>
                </c:pt>
                <c:pt idx="511">
                  <c:v>35504.075867837841</c:v>
                </c:pt>
                <c:pt idx="512">
                  <c:v>33501.247942241826</c:v>
                </c:pt>
                <c:pt idx="513">
                  <c:v>31319.272415890919</c:v>
                </c:pt>
                <c:pt idx="514">
                  <c:v>28940.779266487563</c:v>
                </c:pt>
                <c:pt idx="515">
                  <c:v>26342.98219764544</c:v>
                </c:pt>
                <c:pt idx="516">
                  <c:v>23495.072523968327</c:v>
                </c:pt>
                <c:pt idx="517">
                  <c:v>20354.2952787574</c:v>
                </c:pt>
                <c:pt idx="518">
                  <c:v>16862.286039410606</c:v>
                </c:pt>
                <c:pt idx="519">
                  <c:v>12958.13942201863</c:v>
                </c:pt>
                <c:pt idx="520">
                  <c:v>8691.1775412492589</c:v>
                </c:pt>
                <c:pt idx="521">
                  <c:v>4410.4393278350781</c:v>
                </c:pt>
                <c:pt idx="522">
                  <c:v>325.47209239517372</c:v>
                </c:pt>
                <c:pt idx="523">
                  <c:v>-3636.0276608140784</c:v>
                </c:pt>
                <c:pt idx="524">
                  <c:v>-7559.9549836985461</c:v>
                </c:pt>
                <c:pt idx="525">
                  <c:v>-11476.378449260379</c:v>
                </c:pt>
                <c:pt idx="526">
                  <c:v>-15353.177284165104</c:v>
                </c:pt>
                <c:pt idx="527">
                  <c:v>-19099.910545961568</c:v>
                </c:pt>
                <c:pt idx="528">
                  <c:v>-22587.528807515642</c:v>
                </c:pt>
                <c:pt idx="529">
                  <c:v>-25686.54502202792</c:v>
                </c:pt>
                <c:pt idx="530">
                  <c:v>-28305.390286218302</c:v>
                </c:pt>
                <c:pt idx="531">
                  <c:v>-30406.279433016713</c:v>
                </c:pt>
                <c:pt idx="532">
                  <c:v>-31996.765372222602</c:v>
                </c:pt>
                <c:pt idx="533">
                  <c:v>-33111.522378794449</c:v>
                </c:pt>
                <c:pt idx="534">
                  <c:v>-33796.48980243846</c:v>
                </c:pt>
                <c:pt idx="535">
                  <c:v>-34099.045164640862</c:v>
                </c:pt>
                <c:pt idx="536">
                  <c:v>-34063.175514633447</c:v>
                </c:pt>
                <c:pt idx="537">
                  <c:v>-33727.67993111477</c:v>
                </c:pt>
                <c:pt idx="538">
                  <c:v>-33125.912774346696</c:v>
                </c:pt>
                <c:pt idx="539">
                  <c:v>-32286.196164808982</c:v>
                </c:pt>
                <c:pt idx="540">
                  <c:v>-31232.45634102957</c:v>
                </c:pt>
                <c:pt idx="541">
                  <c:v>-29984.878515323904</c:v>
                </c:pt>
                <c:pt idx="542">
                  <c:v>-28560.496774945426</c:v>
                </c:pt>
                <c:pt idx="543">
                  <c:v>-26973.693195262236</c:v>
                </c:pt>
                <c:pt idx="544">
                  <c:v>-25236.60554311255</c:v>
                </c:pt>
                <c:pt idx="545">
                  <c:v>-23359.452714342828</c:v>
                </c:pt>
                <c:pt idx="546">
                  <c:v>-21350.789937249163</c:v>
                </c:pt>
                <c:pt idx="547">
                  <c:v>-19217.70605780217</c:v>
                </c:pt>
                <c:pt idx="548">
                  <c:v>-16965.975176206208</c:v>
                </c:pt>
                <c:pt idx="549">
                  <c:v>-14600.176109592061</c:v>
                </c:pt>
                <c:pt idx="550">
                  <c:v>-12123.797458761226</c:v>
                </c:pt>
                <c:pt idx="551">
                  <c:v>-9539.3567237618627</c:v>
                </c:pt>
                <c:pt idx="552">
                  <c:v>-6848.5857999556956</c:v>
                </c:pt>
                <c:pt idx="553">
                  <c:v>-4052.7877052316385</c:v>
                </c:pt>
                <c:pt idx="554">
                  <c:v>-1153.5868175257076</c:v>
                </c:pt>
                <c:pt idx="555">
                  <c:v>1845.4336669918255</c:v>
                </c:pt>
                <c:pt idx="556">
                  <c:v>4935.0610842058777</c:v>
                </c:pt>
                <c:pt idx="557">
                  <c:v>8091.9869203397084</c:v>
                </c:pt>
                <c:pt idx="558">
                  <c:v>11258.822384065936</c:v>
                </c:pt>
                <c:pt idx="559">
                  <c:v>14297.864773916252</c:v>
                </c:pt>
                <c:pt idx="560">
                  <c:v>16904.374431108678</c:v>
                </c:pt>
                <c:pt idx="561">
                  <c:v>18582.203811128595</c:v>
                </c:pt>
                <c:pt idx="562">
                  <c:v>19038.446686640247</c:v>
                </c:pt>
                <c:pt idx="563">
                  <c:v>18509.727038008532</c:v>
                </c:pt>
                <c:pt idx="564">
                  <c:v>17349.123506425934</c:v>
                </c:pt>
                <c:pt idx="565">
                  <c:v>15780.715676621005</c:v>
                </c:pt>
                <c:pt idx="566">
                  <c:v>13917.335284367949</c:v>
                </c:pt>
                <c:pt idx="567">
                  <c:v>11810.685419476324</c:v>
                </c:pt>
                <c:pt idx="568">
                  <c:v>9492.4631593761351</c:v>
                </c:pt>
                <c:pt idx="569">
                  <c:v>7052.5982445626842</c:v>
                </c:pt>
                <c:pt idx="570">
                  <c:v>4914.7610741056324</c:v>
                </c:pt>
                <c:pt idx="571">
                  <c:v>3616.2663683513651</c:v>
                </c:pt>
                <c:pt idx="572">
                  <c:v>2818.4835705980768</c:v>
                </c:pt>
                <c:pt idx="573">
                  <c:v>2251.0425070448819</c:v>
                </c:pt>
                <c:pt idx="574">
                  <c:v>1800.9231755808826</c:v>
                </c:pt>
                <c:pt idx="575">
                  <c:v>1418.3205713319826</c:v>
                </c:pt>
                <c:pt idx="576">
                  <c:v>1078.6943297171979</c:v>
                </c:pt>
                <c:pt idx="577">
                  <c:v>768.74532719396893</c:v>
                </c:pt>
                <c:pt idx="578">
                  <c:v>480.71163058404642</c:v>
                </c:pt>
                <c:pt idx="579">
                  <c:v>209.7971782303446</c:v>
                </c:pt>
                <c:pt idx="580">
                  <c:v>-47.09331931455602</c:v>
                </c:pt>
                <c:pt idx="581">
                  <c:v>-292.02312671419588</c:v>
                </c:pt>
                <c:pt idx="582">
                  <c:v>-526.3983781138129</c:v>
                </c:pt>
                <c:pt idx="583">
                  <c:v>-751.1886194658091</c:v>
                </c:pt>
                <c:pt idx="584">
                  <c:v>-967.06176759663299</c:v>
                </c:pt>
                <c:pt idx="585">
                  <c:v>-1174.4693490297202</c:v>
                </c:pt>
                <c:pt idx="586">
                  <c:v>-1373.7016327589645</c:v>
                </c:pt>
                <c:pt idx="587">
                  <c:v>-1564.9238223611496</c:v>
                </c:pt>
                <c:pt idx="588">
                  <c:v>-1748.1998751201079</c:v>
                </c:pt>
                <c:pt idx="589">
                  <c:v>-1923.5079077985913</c:v>
                </c:pt>
                <c:pt idx="590">
                  <c:v>-2090.749608579199</c:v>
                </c:pt>
                <c:pt idx="591">
                  <c:v>-2249.7551250211563</c:v>
                </c:pt>
                <c:pt idx="592">
                  <c:v>-2400.2842801348324</c:v>
                </c:pt>
                <c:pt idx="593">
                  <c:v>-2542.0245357469585</c:v>
                </c:pt>
                <c:pt idx="594">
                  <c:v>-2674.5857845150194</c:v>
                </c:pt>
                <c:pt idx="595">
                  <c:v>-2797.4917480995728</c:v>
                </c:pt>
                <c:pt idx="596">
                  <c:v>-2910.1674393686058</c:v>
                </c:pt>
                <c:pt idx="597">
                  <c:v>-3011.9217603371617</c:v>
                </c:pt>
                <c:pt idx="598">
                  <c:v>-3101.9237910330799</c:v>
                </c:pt>
                <c:pt idx="599">
                  <c:v>-3179.1705850914732</c:v>
                </c:pt>
                <c:pt idx="600">
                  <c:v>-3242.4431797937555</c:v>
                </c:pt>
                <c:pt idx="601">
                  <c:v>-3290.2458101383781</c:v>
                </c:pt>
                <c:pt idx="602">
                  <c:v>-3320.7205754313554</c:v>
                </c:pt>
                <c:pt idx="603">
                  <c:v>-3331.5253177138416</c:v>
                </c:pt>
                <c:pt idx="604">
                  <c:v>-3319.6549335653458</c:v>
                </c:pt>
                <c:pt idx="605">
                  <c:v>-3281.1733873732064</c:v>
                </c:pt>
                <c:pt idx="606">
                  <c:v>-3210.8010119124592</c:v>
                </c:pt>
                <c:pt idx="607">
                  <c:v>-3101.2616574920289</c:v>
                </c:pt>
                <c:pt idx="608">
                  <c:v>-2942.2250886332854</c:v>
                </c:pt>
                <c:pt idx="609">
                  <c:v>-2718.5725803697046</c:v>
                </c:pt>
                <c:pt idx="610">
                  <c:v>-2407.6154721599605</c:v>
                </c:pt>
                <c:pt idx="611">
                  <c:v>-1975.1985384817162</c:v>
                </c:pt>
                <c:pt idx="612">
                  <c:v>-1373.2373719945213</c:v>
                </c:pt>
                <c:pt idx="613">
                  <c:v>-551.82402364758252</c:v>
                </c:pt>
                <c:pt idx="614">
                  <c:v>487.39216458418707</c:v>
                </c:pt>
                <c:pt idx="615">
                  <c:v>1632.6389883457848</c:v>
                </c:pt>
                <c:pt idx="616">
                  <c:v>2722.4158886318592</c:v>
                </c:pt>
                <c:pt idx="617">
                  <c:v>3650.5196131767707</c:v>
                </c:pt>
                <c:pt idx="618">
                  <c:v>4411.5752645611665</c:v>
                </c:pt>
                <c:pt idx="619">
                  <c:v>5143.1703463114372</c:v>
                </c:pt>
                <c:pt idx="620">
                  <c:v>6308.9073858310121</c:v>
                </c:pt>
                <c:pt idx="621">
                  <c:v>9237.9563879958223</c:v>
                </c:pt>
                <c:pt idx="622">
                  <c:v>12333.359274880044</c:v>
                </c:pt>
                <c:pt idx="623">
                  <c:v>15130.785007852348</c:v>
                </c:pt>
                <c:pt idx="624">
                  <c:v>17663.261000083909</c:v>
                </c:pt>
                <c:pt idx="625">
                  <c:v>19980.249277053605</c:v>
                </c:pt>
                <c:pt idx="626">
                  <c:v>22118.470905896251</c:v>
                </c:pt>
                <c:pt idx="627">
                  <c:v>24104.276863159186</c:v>
                </c:pt>
                <c:pt idx="628">
                  <c:v>25957.019805370324</c:v>
                </c:pt>
                <c:pt idx="629">
                  <c:v>27691.332232403664</c:v>
                </c:pt>
                <c:pt idx="630">
                  <c:v>29318.572131994941</c:v>
                </c:pt>
                <c:pt idx="631">
                  <c:v>30847.752896802118</c:v>
                </c:pt>
                <c:pt idx="632">
                  <c:v>32286.158894406068</c:v>
                </c:pt>
                <c:pt idx="633">
                  <c:v>33639.765413015353</c:v>
                </c:pt>
                <c:pt idx="634">
                  <c:v>34913.533270611006</c:v>
                </c:pt>
                <c:pt idx="635">
                  <c:v>36111.620705229579</c:v>
                </c:pt>
                <c:pt idx="636">
                  <c:v>37237.539131260397</c:v>
                </c:pt>
                <c:pt idx="637">
                  <c:v>38294.269818921006</c:v>
                </c:pt>
                <c:pt idx="638">
                  <c:v>39284.352732691332</c:v>
                </c:pt>
                <c:pt idx="639">
                  <c:v>40209.955109385563</c:v>
                </c:pt>
                <c:pt idx="640">
                  <c:v>41072.925001836913</c:v>
                </c:pt>
                <c:pt idx="641">
                  <c:v>41874.833460513793</c:v>
                </c:pt>
                <c:pt idx="642">
                  <c:v>42617.007977257199</c:v>
                </c:pt>
                <c:pt idx="643">
                  <c:v>43300.559093403281</c:v>
                </c:pt>
                <c:pt idx="644">
                  <c:v>43926.401567395049</c:v>
                </c:pt>
                <c:pt idx="645">
                  <c:v>44495.271133768052</c:v>
                </c:pt>
                <c:pt idx="646">
                  <c:v>45007.737620124637</c:v>
                </c:pt>
                <c:pt idx="647">
                  <c:v>45464.21499088977</c:v>
                </c:pt>
                <c:pt idx="648">
                  <c:v>45864.968735599112</c:v>
                </c:pt>
                <c:pt idx="649">
                  <c:v>46210.120900868016</c:v>
                </c:pt>
                <c:pt idx="650">
                  <c:v>46499.652968790448</c:v>
                </c:pt>
                <c:pt idx="651">
                  <c:v>46733.406702739543</c:v>
                </c:pt>
                <c:pt idx="652">
                  <c:v>46911.083008480295</c:v>
                </c:pt>
                <c:pt idx="653">
                  <c:v>47032.238789232411</c:v>
                </c:pt>
                <c:pt idx="654">
                  <c:v>47096.281703348388</c:v>
                </c:pt>
                <c:pt idx="655">
                  <c:v>47102.462658081444</c:v>
                </c:pt>
                <c:pt idx="656">
                  <c:v>47049.865787496426</c:v>
                </c:pt>
                <c:pt idx="657">
                  <c:v>46937.395560876728</c:v>
                </c:pt>
                <c:pt idx="658">
                  <c:v>46763.760542225675</c:v>
                </c:pt>
                <c:pt idx="659">
                  <c:v>46527.453161175683</c:v>
                </c:pt>
                <c:pt idx="660">
                  <c:v>46226.724646206225</c:v>
                </c:pt>
                <c:pt idx="661">
                  <c:v>45859.553991643515</c:v>
                </c:pt>
                <c:pt idx="662">
                  <c:v>45423.609449905533</c:v>
                </c:pt>
                <c:pt idx="663">
                  <c:v>44916.200514196164</c:v>
                </c:pt>
                <c:pt idx="664">
                  <c:v>44334.217614682588</c:v>
                </c:pt>
                <c:pt idx="665">
                  <c:v>43674.055684545361</c:v>
                </c:pt>
                <c:pt idx="666">
                  <c:v>42931.516188024936</c:v>
                </c:pt>
                <c:pt idx="667">
                  <c:v>42101.679857523748</c:v>
                </c:pt>
                <c:pt idx="668">
                  <c:v>41178.73878479212</c:v>
                </c:pt>
                <c:pt idx="669">
                  <c:v>40155.77082640383</c:v>
                </c:pt>
                <c:pt idx="670">
                  <c:v>39024.430033292643</c:v>
                </c:pt>
                <c:pt idx="671">
                  <c:v>37774.511228948126</c:v>
                </c:pt>
                <c:pt idx="672">
                  <c:v>36393.319532841182</c:v>
                </c:pt>
                <c:pt idx="673">
                  <c:v>34864.725434246473</c:v>
                </c:pt>
                <c:pt idx="674">
                  <c:v>33167.688690423871</c:v>
                </c:pt>
                <c:pt idx="675">
                  <c:v>31273.833006577112</c:v>
                </c:pt>
                <c:pt idx="676">
                  <c:v>29143.203545583521</c:v>
                </c:pt>
                <c:pt idx="677">
                  <c:v>26716.235036336016</c:v>
                </c:pt>
                <c:pt idx="678">
                  <c:v>23896.924033174088</c:v>
                </c:pt>
                <c:pt idx="679">
                  <c:v>20512.742795727834</c:v>
                </c:pt>
                <c:pt idx="680">
                  <c:v>16205.613705461508</c:v>
                </c:pt>
                <c:pt idx="681">
                  <c:v>10221.370404986934</c:v>
                </c:pt>
                <c:pt idx="682">
                  <c:v>3964.4152793394669</c:v>
                </c:pt>
                <c:pt idx="683">
                  <c:v>-1406.8203737102863</c:v>
                </c:pt>
                <c:pt idx="684">
                  <c:v>-6427.9284915294284</c:v>
                </c:pt>
                <c:pt idx="685">
                  <c:v>-11427.051083139742</c:v>
                </c:pt>
                <c:pt idx="686">
                  <c:v>-16462.415860021116</c:v>
                </c:pt>
                <c:pt idx="687">
                  <c:v>-21123.06228715854</c:v>
                </c:pt>
                <c:pt idx="688">
                  <c:v>-24842.333376322065</c:v>
                </c:pt>
                <c:pt idx="689">
                  <c:v>-27584.77660565832</c:v>
                </c:pt>
                <c:pt idx="690">
                  <c:v>-29572.035073504972</c:v>
                </c:pt>
                <c:pt idx="691">
                  <c:v>-31002.76693940433</c:v>
                </c:pt>
                <c:pt idx="692">
                  <c:v>-32014.096071052612</c:v>
                </c:pt>
                <c:pt idx="693">
                  <c:v>-32697.971817378377</c:v>
                </c:pt>
                <c:pt idx="694">
                  <c:v>-33117.505918950446</c:v>
                </c:pt>
                <c:pt idx="695">
                  <c:v>-33317.524718040731</c:v>
                </c:pt>
                <c:pt idx="696">
                  <c:v>-33330.962785231743</c:v>
                </c:pt>
                <c:pt idx="697">
                  <c:v>-33182.766472326992</c:v>
                </c:pt>
                <c:pt idx="698">
                  <c:v>-32892.34178824861</c:v>
                </c:pt>
                <c:pt idx="699">
                  <c:v>-32475.137802878246</c:v>
                </c:pt>
                <c:pt idx="700">
                  <c:v>-31943.702520151339</c:v>
                </c:pt>
                <c:pt idx="701">
                  <c:v>-31308.40716542878</c:v>
                </c:pt>
                <c:pt idx="702">
                  <c:v>-30577.955969034447</c:v>
                </c:pt>
                <c:pt idx="703">
                  <c:v>-29759.753414871397</c:v>
                </c:pt>
                <c:pt idx="704">
                  <c:v>-28860.174418332837</c:v>
                </c:pt>
                <c:pt idx="705">
                  <c:v>-27884.76689616061</c:v>
                </c:pt>
                <c:pt idx="706">
                  <c:v>-26838.406273132914</c:v>
                </c:pt>
                <c:pt idx="707">
                  <c:v>-25725.415168568921</c:v>
                </c:pt>
                <c:pt idx="708">
                  <c:v>-24549.657405886355</c:v>
                </c:pt>
                <c:pt idx="709">
                  <c:v>-23314.61276002257</c:v>
                </c:pt>
                <c:pt idx="710">
                  <c:v>-22023.436999616817</c:v>
                </c:pt>
                <c:pt idx="711">
                  <c:v>-20679.010483576287</c:v>
                </c:pt>
                <c:pt idx="712">
                  <c:v>-19283.977637568332</c:v>
                </c:pt>
                <c:pt idx="713">
                  <c:v>-17840.778934407164</c:v>
                </c:pt>
                <c:pt idx="714">
                  <c:v>-16351.676441624444</c:v>
                </c:pt>
                <c:pt idx="715">
                  <c:v>-14818.773509297645</c:v>
                </c:pt>
                <c:pt idx="716">
                  <c:v>-13244.028689234505</c:v>
                </c:pt>
                <c:pt idx="717">
                  <c:v>-11629.263437646496</c:v>
                </c:pt>
                <c:pt idx="718">
                  <c:v>-9976.1624774063675</c:v>
                </c:pt>
                <c:pt idx="719">
                  <c:v>-8286.264773652154</c:v>
                </c:pt>
                <c:pt idx="720">
                  <c:v>-6560.9417527500009</c:v>
                </c:pt>
                <c:pt idx="721">
                  <c:v>-4801.3574569213697</c:v>
                </c:pt>
                <c:pt idx="722">
                  <c:v>-3008.4025383490612</c:v>
                </c:pt>
                <c:pt idx="723">
                  <c:v>-1182.5903398767225</c:v>
                </c:pt>
                <c:pt idx="724">
                  <c:v>676.09987363835432</c:v>
                </c:pt>
                <c:pt idx="725">
                  <c:v>2568.4424714138922</c:v>
                </c:pt>
                <c:pt idx="726">
                  <c:v>4496.2075059730641</c:v>
                </c:pt>
                <c:pt idx="727">
                  <c:v>6462.1053467544807</c:v>
                </c:pt>
                <c:pt idx="728">
                  <c:v>8467.5565715359935</c:v>
                </c:pt>
                <c:pt idx="729">
                  <c:v>10496.074776769754</c:v>
                </c:pt>
                <c:pt idx="730">
                  <c:v>12379.377706194467</c:v>
                </c:pt>
                <c:pt idx="731">
                  <c:v>13000.800722465641</c:v>
                </c:pt>
                <c:pt idx="732">
                  <c:v>12811.918740449591</c:v>
                </c:pt>
                <c:pt idx="733">
                  <c:v>12311.928466607118</c:v>
                </c:pt>
                <c:pt idx="734">
                  <c:v>11590.518104696694</c:v>
                </c:pt>
                <c:pt idx="735">
                  <c:v>10654.979902009394</c:v>
                </c:pt>
                <c:pt idx="736">
                  <c:v>9504.3239813367218</c:v>
                </c:pt>
                <c:pt idx="737">
                  <c:v>8213.3423874973341</c:v>
                </c:pt>
                <c:pt idx="738">
                  <c:v>7546.8972910969687</c:v>
                </c:pt>
                <c:pt idx="739">
                  <c:v>7955.7880302390295</c:v>
                </c:pt>
                <c:pt idx="740">
                  <c:v>8524.711884456834</c:v>
                </c:pt>
                <c:pt idx="741">
                  <c:v>9100.2193542320256</c:v>
                </c:pt>
                <c:pt idx="742">
                  <c:v>9649.1105776962486</c:v>
                </c:pt>
                <c:pt idx="743">
                  <c:v>10163.5760646955</c:v>
                </c:pt>
                <c:pt idx="744">
                  <c:v>10642.749107938369</c:v>
                </c:pt>
                <c:pt idx="745">
                  <c:v>11087.86453354128</c:v>
                </c:pt>
                <c:pt idx="746">
                  <c:v>11500.739897498244</c:v>
                </c:pt>
                <c:pt idx="747">
                  <c:v>11883.253190099627</c:v>
                </c:pt>
                <c:pt idx="748">
                  <c:v>12237.161533985796</c:v>
                </c:pt>
                <c:pt idx="749">
                  <c:v>12564.046181746509</c:v>
                </c:pt>
                <c:pt idx="750">
                  <c:v>12865.305808642643</c:v>
                </c:pt>
                <c:pt idx="751">
                  <c:v>13142.167728046616</c:v>
                </c:pt>
                <c:pt idx="752">
                  <c:v>13395.70473395167</c:v>
                </c:pt>
                <c:pt idx="753">
                  <c:v>13626.852567196107</c:v>
                </c:pt>
                <c:pt idx="754">
                  <c:v>13836.426063414976</c:v>
                </c:pt>
                <c:pt idx="755">
                  <c:v>14025.133348995816</c:v>
                </c:pt>
                <c:pt idx="756">
                  <c:v>14193.588004203253</c:v>
                </c:pt>
                <c:pt idx="757">
                  <c:v>14342.319332205974</c:v>
                </c:pt>
                <c:pt idx="758">
                  <c:v>14471.780944316697</c:v>
                </c:pt>
                <c:pt idx="759">
                  <c:v>14582.357878841131</c:v>
                </c:pt>
                <c:pt idx="760">
                  <c:v>14674.372451636324</c:v>
                </c:pt>
                <c:pt idx="761">
                  <c:v>14748.089008132329</c:v>
                </c:pt>
                <c:pt idx="762">
                  <c:v>14803.71771681819</c:v>
                </c:pt>
                <c:pt idx="763">
                  <c:v>14841.417516128731</c:v>
                </c:pt>
                <c:pt idx="764">
                  <c:v>14861.298301259529</c:v>
                </c:pt>
                <c:pt idx="765">
                  <c:v>14863.42241467746</c:v>
                </c:pt>
                <c:pt idx="766">
                  <c:v>14847.805483551316</c:v>
                </c:pt>
                <c:pt idx="767">
                  <c:v>14814.41662840093</c:v>
                </c:pt>
                <c:pt idx="768">
                  <c:v>14763.178049298484</c:v>
                </c:pt>
                <c:pt idx="769">
                  <c:v>14693.963978289343</c:v>
                </c:pt>
                <c:pt idx="770">
                  <c:v>14606.598968680775</c:v>
                </c:pt>
                <c:pt idx="771">
                  <c:v>14500.85547285262</c:v>
                </c:pt>
                <c:pt idx="772">
                  <c:v>14376.450639717028</c:v>
                </c:pt>
                <c:pt idx="773">
                  <c:v>14233.042240490848</c:v>
                </c:pt>
                <c:pt idx="774">
                  <c:v>14070.223606991804</c:v>
                </c:pt>
                <c:pt idx="775">
                  <c:v>13887.517440946704</c:v>
                </c:pt>
                <c:pt idx="776">
                  <c:v>13684.36832816668</c:v>
                </c:pt>
                <c:pt idx="777">
                  <c:v>13460.133773700152</c:v>
                </c:pt>
                <c:pt idx="778">
                  <c:v>13214.073576203766</c:v>
                </c:pt>
                <c:pt idx="779">
                  <c:v>12945.337409880349</c:v>
                </c:pt>
                <c:pt idx="780">
                  <c:v>12652.950640869587</c:v>
                </c:pt>
                <c:pt idx="781">
                  <c:v>12335.79880328997</c:v>
                </c:pt>
                <c:pt idx="782">
                  <c:v>11992.612090139204</c:v>
                </c:pt>
                <c:pt idx="783">
                  <c:v>11621.953346819821</c:v>
                </c:pt>
                <c:pt idx="784">
                  <c:v>11222.218001858319</c:v>
                </c:pt>
                <c:pt idx="785">
                  <c:v>10791.666227927339</c:v>
                </c:pt>
                <c:pt idx="786">
                  <c:v>10328.537582867591</c:v>
                </c:pt>
                <c:pt idx="787">
                  <c:v>9831.3798436487778</c:v>
                </c:pt>
                <c:pt idx="788">
                  <c:v>9299.968621623364</c:v>
                </c:pt>
                <c:pt idx="789">
                  <c:v>8738.0380560945614</c:v>
                </c:pt>
                <c:pt idx="790">
                  <c:v>8162.5580813053266</c:v>
                </c:pt>
                <c:pt idx="791">
                  <c:v>7643.5096487145865</c:v>
                </c:pt>
                <c:pt idx="792">
                  <c:v>7546.8209911561335</c:v>
                </c:pt>
                <c:pt idx="793">
                  <c:v>9169.383704620659</c:v>
                </c:pt>
                <c:pt idx="794">
                  <c:v>10805.874493747111</c:v>
                </c:pt>
                <c:pt idx="795">
                  <c:v>12206.846691184743</c:v>
                </c:pt>
                <c:pt idx="796">
                  <c:v>13367.986185618869</c:v>
                </c:pt>
                <c:pt idx="797">
                  <c:v>14294.177741936286</c:v>
                </c:pt>
                <c:pt idx="798">
                  <c:v>14947.098489800803</c:v>
                </c:pt>
                <c:pt idx="799">
                  <c:v>15156.788794338332</c:v>
                </c:pt>
                <c:pt idx="800">
                  <c:v>14468.538772806152</c:v>
                </c:pt>
                <c:pt idx="801">
                  <c:v>12801.608448528345</c:v>
                </c:pt>
                <c:pt idx="802">
                  <c:v>10772.399489751593</c:v>
                </c:pt>
                <c:pt idx="803">
                  <c:v>8650.1054424206395</c:v>
                </c:pt>
                <c:pt idx="804">
                  <c:v>6513.1045954633573</c:v>
                </c:pt>
                <c:pt idx="805">
                  <c:v>4386.1557108021825</c:v>
                </c:pt>
                <c:pt idx="806">
                  <c:v>2278.36795309737</c:v>
                </c:pt>
                <c:pt idx="807">
                  <c:v>193.84677293948343</c:v>
                </c:pt>
                <c:pt idx="808">
                  <c:v>-1864.984696714755</c:v>
                </c:pt>
                <c:pt idx="809">
                  <c:v>-3896.2573340451595</c:v>
                </c:pt>
                <c:pt idx="810">
                  <c:v>-5898.2542450510864</c:v>
                </c:pt>
                <c:pt idx="811">
                  <c:v>-7869.2672420865074</c:v>
                </c:pt>
                <c:pt idx="812">
                  <c:v>-9807.548346262829</c:v>
                </c:pt>
                <c:pt idx="813">
                  <c:v>-11711.295759579654</c:v>
                </c:pt>
                <c:pt idx="814">
                  <c:v>-13578.651022260525</c:v>
                </c:pt>
                <c:pt idx="815">
                  <c:v>-15407.698349142533</c:v>
                </c:pt>
                <c:pt idx="816">
                  <c:v>-17196.46278754712</c:v>
                </c:pt>
                <c:pt idx="817">
                  <c:v>-18942.906084694008</c:v>
                </c:pt>
                <c:pt idx="818">
                  <c:v>-20644.920010680213</c:v>
                </c:pt>
                <c:pt idx="819">
                  <c:v>-22300.31716519492</c:v>
                </c:pt>
                <c:pt idx="820">
                  <c:v>-23906.819339358954</c:v>
                </c:pt>
                <c:pt idx="821">
                  <c:v>-25462.043449807592</c:v>
                </c:pt>
                <c:pt idx="822">
                  <c:v>-26963.484968745048</c:v>
                </c:pt>
                <c:pt idx="823">
                  <c:v>-28408.498663310998</c:v>
                </c:pt>
                <c:pt idx="824">
                  <c:v>-29794.276336099243</c:v>
                </c:pt>
                <c:pt idx="825">
                  <c:v>-31117.821124302671</c:v>
                </c:pt>
                <c:pt idx="826">
                  <c:v>-32375.917761913763</c:v>
                </c:pt>
                <c:pt idx="827">
                  <c:v>-33565.098029079018</c:v>
                </c:pt>
                <c:pt idx="828">
                  <c:v>-34681.600393816523</c:v>
                </c:pt>
                <c:pt idx="829">
                  <c:v>-35721.322579409825</c:v>
                </c:pt>
                <c:pt idx="830">
                  <c:v>-36679.765447309604</c:v>
                </c:pt>
                <c:pt idx="831">
                  <c:v>-37551.966146291408</c:v>
                </c:pt>
                <c:pt idx="832">
                  <c:v>-38332.417912883953</c:v>
                </c:pt>
                <c:pt idx="833">
                  <c:v>-39014.973175941923</c:v>
                </c:pt>
                <c:pt idx="834">
                  <c:v>-39592.725670026695</c:v>
                </c:pt>
                <c:pt idx="835">
                  <c:v>-40057.866039128516</c:v>
                </c:pt>
                <c:pt idx="836">
                  <c:v>-40401.503852248912</c:v>
                </c:pt>
                <c:pt idx="837">
                  <c:v>-40613.447009741067</c:v>
                </c:pt>
                <c:pt idx="838">
                  <c:v>-40681.927215261217</c:v>
                </c:pt>
                <c:pt idx="839">
                  <c:v>-40593.257733298575</c:v>
                </c:pt>
                <c:pt idx="840">
                  <c:v>-40331.407731587307</c:v>
                </c:pt>
                <c:pt idx="841">
                  <c:v>-39877.477930307294</c:v>
                </c:pt>
                <c:pt idx="842">
                  <c:v>-39209.06943469651</c:v>
                </c:pt>
                <c:pt idx="843">
                  <c:v>-38299.56167713405</c:v>
                </c:pt>
                <c:pt idx="844">
                  <c:v>-37117.378998230117</c:v>
                </c:pt>
                <c:pt idx="845">
                  <c:v>-35625.476580188661</c:v>
                </c:pt>
                <c:pt idx="846">
                  <c:v>-33781.607440438405</c:v>
                </c:pt>
                <c:pt idx="847">
                  <c:v>-31540.580357160448</c:v>
                </c:pt>
                <c:pt idx="848">
                  <c:v>-28860.72243300085</c:v>
                </c:pt>
                <c:pt idx="849">
                  <c:v>-25717.37055894532</c:v>
                </c:pt>
                <c:pt idx="850">
                  <c:v>-22123.267763039061</c:v>
                </c:pt>
                <c:pt idx="851">
                  <c:v>-18144.124916710571</c:v>
                </c:pt>
                <c:pt idx="852">
                  <c:v>-13883.854167305692</c:v>
                </c:pt>
                <c:pt idx="853">
                  <c:v>-9428.995879514192</c:v>
                </c:pt>
                <c:pt idx="854">
                  <c:v>-4781.2957883681202</c:v>
                </c:pt>
                <c:pt idx="855">
                  <c:v>207.27061927974398</c:v>
                </c:pt>
                <c:pt idx="856">
                  <c:v>5986.1292052531371</c:v>
                </c:pt>
                <c:pt idx="857">
                  <c:v>13608.587683099609</c:v>
                </c:pt>
                <c:pt idx="858">
                  <c:v>19126.145264088711</c:v>
                </c:pt>
                <c:pt idx="859">
                  <c:v>23505.908959394994</c:v>
                </c:pt>
                <c:pt idx="860">
                  <c:v>27219.820346124961</c:v>
                </c:pt>
                <c:pt idx="861">
                  <c:v>30473.186487813964</c:v>
                </c:pt>
                <c:pt idx="862">
                  <c:v>33374.930268219585</c:v>
                </c:pt>
                <c:pt idx="863">
                  <c:v>35991.179151035176</c:v>
                </c:pt>
                <c:pt idx="864">
                  <c:v>38365.890855056437</c:v>
                </c:pt>
                <c:pt idx="865">
                  <c:v>40530.206268176014</c:v>
                </c:pt>
                <c:pt idx="866">
                  <c:v>42507.232890183535</c:v>
                </c:pt>
                <c:pt idx="867">
                  <c:v>44314.722608142925</c:v>
                </c:pt>
                <c:pt idx="868">
                  <c:v>45966.67927386368</c:v>
                </c:pt>
                <c:pt idx="869">
                  <c:v>47474.378845916872</c:v>
                </c:pt>
                <c:pt idx="870">
                  <c:v>48847.04645965575</c:v>
                </c:pt>
                <c:pt idx="871">
                  <c:v>50092.322643951215</c:v>
                </c:pt>
                <c:pt idx="872">
                  <c:v>51216.594279159974</c:v>
                </c:pt>
                <c:pt idx="873">
                  <c:v>52225.235564595816</c:v>
                </c:pt>
                <c:pt idx="874">
                  <c:v>53122.787191307681</c:v>
                </c:pt>
                <c:pt idx="875">
                  <c:v>53913.091884292131</c:v>
                </c:pt>
                <c:pt idx="876">
                  <c:v>54599.398359932333</c:v>
                </c:pt>
                <c:pt idx="877">
                  <c:v>55184.441888262852</c:v>
                </c:pt>
                <c:pt idx="878">
                  <c:v>55670.507146736934</c:v>
                </c:pt>
                <c:pt idx="879">
                  <c:v>56059.477383485275</c:v>
                </c:pt>
                <c:pt idx="880">
                  <c:v>56352.872767277084</c:v>
                </c:pt>
                <c:pt idx="881">
                  <c:v>56551.880002245947</c:v>
                </c:pt>
                <c:pt idx="882">
                  <c:v>56657.374711452379</c:v>
                </c:pt>
                <c:pt idx="883">
                  <c:v>56669.937669710278</c:v>
                </c:pt>
                <c:pt idx="884">
                  <c:v>56589.865643407742</c:v>
                </c:pt>
                <c:pt idx="885">
                  <c:v>56417.177339660775</c:v>
                </c:pt>
                <c:pt idx="886">
                  <c:v>56151.614755250972</c:v>
                </c:pt>
                <c:pt idx="887">
                  <c:v>55792.640029710485</c:v>
                </c:pt>
                <c:pt idx="888">
                  <c:v>55339.427732540433</c:v>
                </c:pt>
                <c:pt idx="889">
                  <c:v>54790.852339666279</c:v>
                </c:pt>
                <c:pt idx="890">
                  <c:v>54145.470467167099</c:v>
                </c:pt>
                <c:pt idx="891">
                  <c:v>53401.497218798002</c:v>
                </c:pt>
                <c:pt idx="892">
                  <c:v>52556.775753944457</c:v>
                </c:pt>
                <c:pt idx="893">
                  <c:v>51608.738877814227</c:v>
                </c:pt>
                <c:pt idx="894">
                  <c:v>50554.361075642752</c:v>
                </c:pt>
                <c:pt idx="895">
                  <c:v>49390.098932912078</c:v>
                </c:pt>
                <c:pt idx="896">
                  <c:v>48111.81727561952</c:v>
                </c:pt>
                <c:pt idx="897">
                  <c:v>46714.697599518418</c:v>
                </c:pt>
                <c:pt idx="898">
                  <c:v>45193.124416399987</c:v>
                </c:pt>
                <c:pt idx="899">
                  <c:v>43540.544050023665</c:v>
                </c:pt>
                <c:pt idx="900">
                  <c:v>41749.28929910333</c:v>
                </c:pt>
                <c:pt idx="901">
                  <c:v>39810.362680609665</c:v>
                </c:pt>
                <c:pt idx="902">
                  <c:v>37713.17184640521</c:v>
                </c:pt>
                <c:pt idx="903">
                  <c:v>35445.216241245376</c:v>
                </c:pt>
                <c:pt idx="904">
                  <c:v>32991.741695787721</c:v>
                </c:pt>
                <c:pt idx="905">
                  <c:v>30335.428149292093</c:v>
                </c:pt>
                <c:pt idx="906">
                  <c:v>27456.300475804972</c:v>
                </c:pt>
                <c:pt idx="907">
                  <c:v>24332.356243081573</c:v>
                </c:pt>
                <c:pt idx="908">
                  <c:v>20942.070878345898</c:v>
                </c:pt>
                <c:pt idx="909">
                  <c:v>17271.004673461186</c:v>
                </c:pt>
                <c:pt idx="910">
                  <c:v>13324.500587365776</c:v>
                </c:pt>
                <c:pt idx="911">
                  <c:v>9140.0423728614605</c:v>
                </c:pt>
                <c:pt idx="912">
                  <c:v>4774.4954666296926</c:v>
                </c:pt>
                <c:pt idx="913">
                  <c:v>248.45886670530615</c:v>
                </c:pt>
                <c:pt idx="914">
                  <c:v>-4541.0237453181089</c:v>
                </c:pt>
                <c:pt idx="915">
                  <c:v>-9969.1419436807337</c:v>
                </c:pt>
                <c:pt idx="916">
                  <c:v>-16842.746732123462</c:v>
                </c:pt>
                <c:pt idx="917">
                  <c:v>-22490.73203350768</c:v>
                </c:pt>
                <c:pt idx="918">
                  <c:v>-26798.291876437983</c:v>
                </c:pt>
                <c:pt idx="919">
                  <c:v>-30284.349338332693</c:v>
                </c:pt>
                <c:pt idx="920">
                  <c:v>-33204.499556409522</c:v>
                </c:pt>
                <c:pt idx="921">
                  <c:v>-35696.148536617526</c:v>
                </c:pt>
                <c:pt idx="922">
                  <c:v>-37842.065837135371</c:v>
                </c:pt>
                <c:pt idx="923">
                  <c:v>-39696.462237542684</c:v>
                </c:pt>
                <c:pt idx="924">
                  <c:v>-41297.028310437774</c:v>
                </c:pt>
                <c:pt idx="925">
                  <c:v>-42671.117107729304</c:v>
                </c:pt>
                <c:pt idx="926">
                  <c:v>-43839.199335754129</c:v>
                </c:pt>
                <c:pt idx="927">
                  <c:v>-44816.926194703366</c:v>
                </c:pt>
                <c:pt idx="928">
                  <c:v>-45616.426319847349</c:v>
                </c:pt>
                <c:pt idx="929">
                  <c:v>-46247.154520826654</c:v>
                </c:pt>
                <c:pt idx="930">
                  <c:v>-46716.464003823261</c:v>
                </c:pt>
                <c:pt idx="931">
                  <c:v>-47029.999753006829</c:v>
                </c:pt>
                <c:pt idx="932">
                  <c:v>-47191.9709262346</c:v>
                </c:pt>
                <c:pt idx="933">
                  <c:v>-47205.337507830503</c:v>
                </c:pt>
                <c:pt idx="934">
                  <c:v>-47071.932924260771</c:v>
                </c:pt>
                <c:pt idx="935">
                  <c:v>-46792.535728627881</c:v>
                </c:pt>
                <c:pt idx="936">
                  <c:v>-46366.897555252304</c:v>
                </c:pt>
                <c:pt idx="937">
                  <c:v>-45793.730017095484</c:v>
                </c:pt>
                <c:pt idx="938">
                  <c:v>-45070.649179650187</c:v>
                </c:pt>
                <c:pt idx="939">
                  <c:v>-44194.071955545558</c:v>
                </c:pt>
                <c:pt idx="940">
                  <c:v>-43159.053413208458</c:v>
                </c:pt>
                <c:pt idx="941">
                  <c:v>-41959.046449498172</c:v>
                </c:pt>
                <c:pt idx="942">
                  <c:v>-40585.553700440003</c:v>
                </c:pt>
                <c:pt idx="943">
                  <c:v>-39027.622680754328</c:v>
                </c:pt>
                <c:pt idx="944">
                  <c:v>-37271.102764014082</c:v>
                </c:pt>
                <c:pt idx="945">
                  <c:v>-35297.524486416907</c:v>
                </c:pt>
                <c:pt idx="946">
                  <c:v>-33082.352537805527</c:v>
                </c:pt>
                <c:pt idx="947">
                  <c:v>-30592.150567422133</c:v>
                </c:pt>
                <c:pt idx="948">
                  <c:v>-27779.771558053664</c:v>
                </c:pt>
                <c:pt idx="949">
                  <c:v>-24575.913750755117</c:v>
                </c:pt>
                <c:pt idx="950">
                  <c:v>-20875.037715565944</c:v>
                </c:pt>
                <c:pt idx="951">
                  <c:v>-16529.304346737928</c:v>
                </c:pt>
                <c:pt idx="952">
                  <c:v>-11640.362132279915</c:v>
                </c:pt>
                <c:pt idx="953">
                  <c:v>-8324.5955592840182</c:v>
                </c:pt>
                <c:pt idx="954">
                  <c:v>-6001.3465657808338</c:v>
                </c:pt>
                <c:pt idx="955">
                  <c:v>-3872.1762982099394</c:v>
                </c:pt>
                <c:pt idx="956">
                  <c:v>-1495.0906384581783</c:v>
                </c:pt>
                <c:pt idx="957">
                  <c:v>1469.8951450219083</c:v>
                </c:pt>
                <c:pt idx="958">
                  <c:v>5192.5328910227627</c:v>
                </c:pt>
                <c:pt idx="959">
                  <c:v>9417.1825987420598</c:v>
                </c:pt>
                <c:pt idx="960">
                  <c:v>13628.896925655179</c:v>
                </c:pt>
                <c:pt idx="961">
                  <c:v>17502.825409981961</c:v>
                </c:pt>
                <c:pt idx="962">
                  <c:v>20936.623713546</c:v>
                </c:pt>
                <c:pt idx="963">
                  <c:v>23927.95731041265</c:v>
                </c:pt>
                <c:pt idx="964">
                  <c:v>26505.245773285438</c:v>
                </c:pt>
                <c:pt idx="965">
                  <c:v>28702.052085952841</c:v>
                </c:pt>
                <c:pt idx="966">
                  <c:v>30549.133289704841</c:v>
                </c:pt>
                <c:pt idx="967">
                  <c:v>32072.567403969122</c:v>
                </c:pt>
                <c:pt idx="968">
                  <c:v>33293.808670806204</c:v>
                </c:pt>
                <c:pt idx="969">
                  <c:v>34230.26359610034</c:v>
                </c:pt>
                <c:pt idx="970">
                  <c:v>34895.92690078781</c:v>
                </c:pt>
                <c:pt idx="971">
                  <c:v>35301.940450325899</c:v>
                </c:pt>
                <c:pt idx="972">
                  <c:v>35457.047421766772</c:v>
                </c:pt>
                <c:pt idx="973">
                  <c:v>35367.948301345859</c:v>
                </c:pt>
                <c:pt idx="974">
                  <c:v>35039.573492937598</c:v>
                </c:pt>
                <c:pt idx="975">
                  <c:v>34475.286504063319</c:v>
                </c:pt>
                <c:pt idx="976">
                  <c:v>33677.027698967722</c:v>
                </c:pt>
                <c:pt idx="977">
                  <c:v>32645.402987266556</c:v>
                </c:pt>
                <c:pt idx="978">
                  <c:v>31379.714084611365</c:v>
                </c:pt>
                <c:pt idx="979">
                  <c:v>29877.915237193673</c:v>
                </c:pt>
                <c:pt idx="980">
                  <c:v>28136.462033021882</c:v>
                </c:pt>
                <c:pt idx="981">
                  <c:v>26149.986047992734</c:v>
                </c:pt>
                <c:pt idx="982">
                  <c:v>23910.681757950151</c:v>
                </c:pt>
                <c:pt idx="983">
                  <c:v>21407.253863463899</c:v>
                </c:pt>
                <c:pt idx="984">
                  <c:v>18623.429614786412</c:v>
                </c:pt>
                <c:pt idx="985">
                  <c:v>15537.429835781042</c:v>
                </c:pt>
                <c:pt idx="986">
                  <c:v>12131.677817468531</c:v>
                </c:pt>
                <c:pt idx="987">
                  <c:v>8455.3007863379808</c:v>
                </c:pt>
                <c:pt idx="988">
                  <c:v>4787.6923636046304</c:v>
                </c:pt>
                <c:pt idx="989">
                  <c:v>1448.555083158562</c:v>
                </c:pt>
                <c:pt idx="990">
                  <c:v>-1588.245122991173</c:v>
                </c:pt>
                <c:pt idx="991">
                  <c:v>-4433.0770351115989</c:v>
                </c:pt>
                <c:pt idx="992">
                  <c:v>-7151.7450286166522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2F-4B01-BF08-30C5BDFF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05519"/>
        <c:axId val="1244306047"/>
      </c:scatterChart>
      <c:valAx>
        <c:axId val="121720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06047"/>
        <c:crosses val="autoZero"/>
        <c:crossBetween val="midCat"/>
      </c:valAx>
      <c:valAx>
        <c:axId val="124430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20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464456</xdr:colOff>
      <xdr:row>3</xdr:row>
      <xdr:rowOff>11795</xdr:rowOff>
    </xdr:from>
    <xdr:to>
      <xdr:col>7</xdr:col>
      <xdr:colOff>8383814</xdr:colOff>
      <xdr:row>33</xdr:row>
      <xdr:rowOff>158750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42"/>
  <sheetViews>
    <sheetView tabSelected="1" zoomScaleNormal="100" workbookViewId="0">
      <selection activeCell="J8" sqref="J8"/>
    </sheetView>
  </sheetViews>
  <sheetFormatPr defaultColWidth="10.90625" defaultRowHeight="14.5" x14ac:dyDescent="0.35"/>
  <cols>
    <col min="2" max="2" width="30.1796875" customWidth="1"/>
    <col min="3" max="3" width="19.6328125" customWidth="1"/>
    <col min="4" max="4" width="13.26953125" customWidth="1"/>
    <col min="5" max="5" width="13.54296875" customWidth="1"/>
    <col min="6" max="6" width="22.26953125" customWidth="1"/>
    <col min="7" max="7" width="18.54296875" customWidth="1"/>
    <col min="8" max="8" width="128" customWidth="1"/>
    <col min="9" max="9" width="10.81640625" customWidth="1"/>
    <col min="10" max="10" width="17.81640625" customWidth="1"/>
    <col min="11" max="11" width="18.6328125" customWidth="1"/>
    <col min="12" max="13" width="17.81640625" customWidth="1"/>
    <col min="14" max="14" width="20.6328125" customWidth="1"/>
    <col min="15" max="15" width="15.453125" customWidth="1"/>
    <col min="16" max="16" width="13.6328125" customWidth="1"/>
    <col min="17" max="17" width="13.26953125" customWidth="1"/>
  </cols>
  <sheetData>
    <row r="2" spans="2:19" ht="35.25" customHeight="1" x14ac:dyDescent="0.35">
      <c r="B2" s="85" t="s">
        <v>0</v>
      </c>
      <c r="C2" s="85"/>
      <c r="D2" s="85"/>
      <c r="E2" s="85"/>
      <c r="F2" s="85"/>
      <c r="G2" s="60"/>
      <c r="H2" s="68" t="s">
        <v>22</v>
      </c>
      <c r="I2" s="68"/>
    </row>
    <row r="3" spans="2:19" ht="15" thickBot="1" x14ac:dyDescent="0.4">
      <c r="Q3" s="67"/>
      <c r="R3" s="67"/>
      <c r="S3" s="67"/>
    </row>
    <row r="4" spans="2:19" x14ac:dyDescent="0.35">
      <c r="B4" s="1" t="s">
        <v>1</v>
      </c>
      <c r="C4" s="30"/>
      <c r="D4" s="19"/>
      <c r="E4" s="31"/>
      <c r="F4" s="1"/>
    </row>
    <row r="5" spans="2:19" x14ac:dyDescent="0.35">
      <c r="B5" s="8" t="s">
        <v>2</v>
      </c>
      <c r="C5" s="28" t="s">
        <v>23</v>
      </c>
      <c r="D5" s="108">
        <v>0.5</v>
      </c>
      <c r="E5" s="109"/>
      <c r="F5" s="45" t="s">
        <v>50</v>
      </c>
    </row>
    <row r="6" spans="2:19" x14ac:dyDescent="0.35">
      <c r="B6" s="8" t="s">
        <v>3</v>
      </c>
      <c r="C6" s="66" t="s">
        <v>24</v>
      </c>
      <c r="D6" s="108">
        <v>0</v>
      </c>
      <c r="E6" s="109"/>
      <c r="F6" s="45" t="s">
        <v>31</v>
      </c>
    </row>
    <row r="7" spans="2:19" ht="15" thickBot="1" x14ac:dyDescent="0.4">
      <c r="B7" s="9" t="s">
        <v>4</v>
      </c>
      <c r="C7" s="29" t="s">
        <v>25</v>
      </c>
      <c r="D7" s="106">
        <v>1</v>
      </c>
      <c r="E7" s="107"/>
      <c r="F7" s="46" t="s">
        <v>32</v>
      </c>
    </row>
    <row r="8" spans="2:19" ht="15" thickBot="1" x14ac:dyDescent="0.4">
      <c r="C8" s="79"/>
      <c r="F8" s="42"/>
    </row>
    <row r="9" spans="2:19" x14ac:dyDescent="0.35">
      <c r="B9" s="5" t="s">
        <v>5</v>
      </c>
      <c r="C9" s="15"/>
      <c r="D9" s="15" t="s">
        <v>43</v>
      </c>
      <c r="E9" s="24" t="s">
        <v>40</v>
      </c>
      <c r="F9" s="47"/>
    </row>
    <row r="10" spans="2:19" x14ac:dyDescent="0.35">
      <c r="B10" s="6" t="s">
        <v>6</v>
      </c>
      <c r="C10" s="76" t="s">
        <v>26</v>
      </c>
      <c r="D10" s="104">
        <v>1</v>
      </c>
      <c r="E10" s="105"/>
      <c r="F10" s="59" t="s">
        <v>33</v>
      </c>
    </row>
    <row r="11" spans="2:19" x14ac:dyDescent="0.35">
      <c r="B11" s="6" t="s">
        <v>7</v>
      </c>
      <c r="C11" s="76" t="s">
        <v>27</v>
      </c>
      <c r="D11" s="76">
        <v>0</v>
      </c>
      <c r="E11" s="77">
        <v>0</v>
      </c>
      <c r="F11" s="43" t="s">
        <v>34</v>
      </c>
    </row>
    <row r="12" spans="2:19" x14ac:dyDescent="0.35">
      <c r="B12" s="6" t="s">
        <v>8</v>
      </c>
      <c r="C12" s="76" t="s">
        <v>28</v>
      </c>
      <c r="D12" s="76">
        <v>0</v>
      </c>
      <c r="E12" s="77">
        <v>0</v>
      </c>
      <c r="F12" s="43" t="s">
        <v>31</v>
      </c>
    </row>
    <row r="13" spans="2:19" x14ac:dyDescent="0.35">
      <c r="B13" s="6" t="s">
        <v>9</v>
      </c>
      <c r="C13" s="76" t="s">
        <v>29</v>
      </c>
      <c r="D13" s="76">
        <v>0</v>
      </c>
      <c r="E13" s="77">
        <v>0</v>
      </c>
      <c r="F13" s="43" t="s">
        <v>31</v>
      </c>
    </row>
    <row r="14" spans="2:19" ht="15" thickBot="1" x14ac:dyDescent="0.4">
      <c r="B14" s="7" t="s">
        <v>10</v>
      </c>
      <c r="C14" s="78" t="s">
        <v>30</v>
      </c>
      <c r="D14" s="102">
        <v>2500</v>
      </c>
      <c r="E14" s="103"/>
      <c r="F14" s="44" t="s">
        <v>34</v>
      </c>
    </row>
    <row r="15" spans="2:19" ht="15" thickBot="1" x14ac:dyDescent="0.4">
      <c r="C15" s="79"/>
      <c r="F15" s="42"/>
    </row>
    <row r="16" spans="2:19" ht="15" thickBot="1" x14ac:dyDescent="0.4">
      <c r="B16" s="26" t="s">
        <v>11</v>
      </c>
      <c r="C16" s="27"/>
      <c r="D16" s="27"/>
      <c r="E16" s="27"/>
      <c r="F16" s="48"/>
    </row>
    <row r="17" spans="2:6" x14ac:dyDescent="0.35">
      <c r="B17" s="20" t="s">
        <v>12</v>
      </c>
      <c r="C17" s="10"/>
      <c r="D17" s="63" t="s">
        <v>43</v>
      </c>
      <c r="E17" s="63" t="s">
        <v>40</v>
      </c>
      <c r="F17" s="49"/>
    </row>
    <row r="18" spans="2:6" x14ac:dyDescent="0.35">
      <c r="B18" s="21" t="s">
        <v>13</v>
      </c>
      <c r="C18" s="64" t="s">
        <v>42</v>
      </c>
      <c r="D18" s="74">
        <v>15000</v>
      </c>
      <c r="E18" s="75">
        <v>10000</v>
      </c>
      <c r="F18" s="62" t="s">
        <v>34</v>
      </c>
    </row>
    <row r="19" spans="2:6" x14ac:dyDescent="0.35">
      <c r="B19" s="21" t="s">
        <v>14</v>
      </c>
      <c r="C19" s="64" t="s">
        <v>37</v>
      </c>
      <c r="D19" s="98">
        <v>5000</v>
      </c>
      <c r="E19" s="99"/>
      <c r="F19" s="62" t="s">
        <v>34</v>
      </c>
    </row>
    <row r="20" spans="2:6" x14ac:dyDescent="0.35">
      <c r="B20" s="21" t="s">
        <v>15</v>
      </c>
      <c r="C20" s="64" t="s">
        <v>38</v>
      </c>
      <c r="D20" s="98">
        <v>1</v>
      </c>
      <c r="E20" s="99"/>
      <c r="F20" s="62" t="s">
        <v>35</v>
      </c>
    </row>
    <row r="21" spans="2:6" x14ac:dyDescent="0.35">
      <c r="B21" s="21" t="s">
        <v>16</v>
      </c>
      <c r="C21" s="64" t="s">
        <v>39</v>
      </c>
      <c r="D21" s="100">
        <f>(4*PI()*POWER(D19,3))/3</f>
        <v>523598775598.29883</v>
      </c>
      <c r="E21" s="101"/>
      <c r="F21" s="62" t="s">
        <v>36</v>
      </c>
    </row>
    <row r="22" spans="2:6" x14ac:dyDescent="0.35">
      <c r="B22" s="21" t="s">
        <v>17</v>
      </c>
      <c r="C22" s="64" t="s">
        <v>26</v>
      </c>
      <c r="D22" s="100">
        <f>D21*D20</f>
        <v>523598775598.29883</v>
      </c>
      <c r="E22" s="101"/>
      <c r="F22" s="62" t="s">
        <v>33</v>
      </c>
    </row>
    <row r="23" spans="2:6" x14ac:dyDescent="0.35">
      <c r="B23" s="21" t="s">
        <v>18</v>
      </c>
      <c r="C23" s="64" t="s">
        <v>40</v>
      </c>
      <c r="D23" s="98">
        <f>D19*D7</f>
        <v>5000</v>
      </c>
      <c r="E23" s="99"/>
      <c r="F23" s="62" t="s">
        <v>34</v>
      </c>
    </row>
    <row r="24" spans="2:6" ht="15" thickBot="1" x14ac:dyDescent="0.4">
      <c r="B24" s="25" t="s">
        <v>19</v>
      </c>
      <c r="C24" s="65" t="s">
        <v>41</v>
      </c>
      <c r="D24" s="96">
        <v>1</v>
      </c>
      <c r="E24" s="97"/>
      <c r="F24" s="61" t="s">
        <v>32</v>
      </c>
    </row>
    <row r="25" spans="2:6" ht="15" thickBot="1" x14ac:dyDescent="0.4">
      <c r="B25" s="22"/>
      <c r="C25" s="23"/>
      <c r="D25" s="23"/>
      <c r="E25" s="23"/>
      <c r="F25" s="50"/>
    </row>
    <row r="26" spans="2:6" x14ac:dyDescent="0.35">
      <c r="B26" s="32" t="s">
        <v>20</v>
      </c>
      <c r="C26" s="34"/>
      <c r="D26" s="36"/>
      <c r="E26" s="37"/>
      <c r="F26" s="51"/>
    </row>
    <row r="27" spans="2:6" x14ac:dyDescent="0.35">
      <c r="B27" s="2" t="s">
        <v>13</v>
      </c>
      <c r="C27" s="11" t="s">
        <v>42</v>
      </c>
      <c r="D27" s="16">
        <v>-20000</v>
      </c>
      <c r="E27" s="17">
        <v>10000</v>
      </c>
      <c r="F27" s="52" t="s">
        <v>34</v>
      </c>
    </row>
    <row r="28" spans="2:6" x14ac:dyDescent="0.35">
      <c r="B28" s="2" t="s">
        <v>14</v>
      </c>
      <c r="C28" s="12" t="s">
        <v>37</v>
      </c>
      <c r="D28" s="88">
        <v>3500</v>
      </c>
      <c r="E28" s="89"/>
      <c r="F28" s="53" t="s">
        <v>34</v>
      </c>
    </row>
    <row r="29" spans="2:6" x14ac:dyDescent="0.35">
      <c r="B29" s="2" t="s">
        <v>15</v>
      </c>
      <c r="C29" s="12" t="s">
        <v>38</v>
      </c>
      <c r="D29" s="88">
        <v>1</v>
      </c>
      <c r="E29" s="89"/>
      <c r="F29" s="53" t="s">
        <v>35</v>
      </c>
    </row>
    <row r="30" spans="2:6" x14ac:dyDescent="0.35">
      <c r="B30" s="2" t="s">
        <v>16</v>
      </c>
      <c r="C30" s="12" t="s">
        <v>39</v>
      </c>
      <c r="D30" s="88">
        <f>(4*PI()*POWER(D28,3))/3</f>
        <v>179594380030.21652</v>
      </c>
      <c r="E30" s="89"/>
      <c r="F30" s="53" t="s">
        <v>36</v>
      </c>
    </row>
    <row r="31" spans="2:6" x14ac:dyDescent="0.35">
      <c r="B31" s="2" t="s">
        <v>17</v>
      </c>
      <c r="C31" s="12" t="s">
        <v>26</v>
      </c>
      <c r="D31" s="88">
        <f>D29*D30</f>
        <v>179594380030.21652</v>
      </c>
      <c r="E31" s="89"/>
      <c r="F31" s="53" t="s">
        <v>33</v>
      </c>
    </row>
    <row r="32" spans="2:6" x14ac:dyDescent="0.35">
      <c r="B32" s="2" t="s">
        <v>18</v>
      </c>
      <c r="C32" s="12" t="s">
        <v>40</v>
      </c>
      <c r="D32" s="88">
        <f>D28*D7</f>
        <v>3500</v>
      </c>
      <c r="E32" s="89"/>
      <c r="F32" s="53" t="s">
        <v>34</v>
      </c>
    </row>
    <row r="33" spans="2:6" ht="15" thickBot="1" x14ac:dyDescent="0.4">
      <c r="B33" s="33" t="s">
        <v>19</v>
      </c>
      <c r="C33" s="35" t="s">
        <v>41</v>
      </c>
      <c r="D33" s="90">
        <v>1</v>
      </c>
      <c r="E33" s="91"/>
      <c r="F33" s="54" t="s">
        <v>32</v>
      </c>
    </row>
    <row r="34" spans="2:6" ht="15" thickBot="1" x14ac:dyDescent="0.4">
      <c r="B34" s="22"/>
      <c r="C34" s="23"/>
      <c r="D34" s="23"/>
      <c r="E34" s="23"/>
      <c r="F34" s="55"/>
    </row>
    <row r="35" spans="2:6" x14ac:dyDescent="0.35">
      <c r="B35" s="38" t="s">
        <v>21</v>
      </c>
      <c r="C35" s="39"/>
      <c r="D35" s="40"/>
      <c r="E35" s="41"/>
      <c r="F35" s="56"/>
    </row>
    <row r="36" spans="2:6" x14ac:dyDescent="0.35">
      <c r="B36" s="3" t="s">
        <v>13</v>
      </c>
      <c r="C36" s="13" t="s">
        <v>42</v>
      </c>
      <c r="D36" s="73">
        <v>0</v>
      </c>
      <c r="E36" s="18">
        <v>-15000</v>
      </c>
      <c r="F36" s="57" t="s">
        <v>34</v>
      </c>
    </row>
    <row r="37" spans="2:6" x14ac:dyDescent="0.35">
      <c r="B37" s="3" t="s">
        <v>14</v>
      </c>
      <c r="C37" s="13" t="s">
        <v>37</v>
      </c>
      <c r="D37" s="92">
        <v>5000</v>
      </c>
      <c r="E37" s="93"/>
      <c r="F37" s="57" t="s">
        <v>34</v>
      </c>
    </row>
    <row r="38" spans="2:6" x14ac:dyDescent="0.35">
      <c r="B38" s="3" t="s">
        <v>15</v>
      </c>
      <c r="C38" s="13" t="s">
        <v>38</v>
      </c>
      <c r="D38" s="92">
        <v>1</v>
      </c>
      <c r="E38" s="93"/>
      <c r="F38" s="57" t="s">
        <v>35</v>
      </c>
    </row>
    <row r="39" spans="2:6" x14ac:dyDescent="0.35">
      <c r="B39" s="3" t="s">
        <v>16</v>
      </c>
      <c r="C39" s="13" t="s">
        <v>39</v>
      </c>
      <c r="D39" s="92">
        <f>(4*PI()*POWER(D37,3))/3</f>
        <v>523598775598.29883</v>
      </c>
      <c r="E39" s="93"/>
      <c r="F39" s="57" t="s">
        <v>36</v>
      </c>
    </row>
    <row r="40" spans="2:6" x14ac:dyDescent="0.35">
      <c r="B40" s="3" t="s">
        <v>17</v>
      </c>
      <c r="C40" s="13" t="s">
        <v>26</v>
      </c>
      <c r="D40" s="92">
        <f>D39*D38</f>
        <v>523598775598.29883</v>
      </c>
      <c r="E40" s="93"/>
      <c r="F40" s="57" t="s">
        <v>33</v>
      </c>
    </row>
    <row r="41" spans="2:6" x14ac:dyDescent="0.35">
      <c r="B41" s="3" t="s">
        <v>18</v>
      </c>
      <c r="C41" s="13" t="s">
        <v>40</v>
      </c>
      <c r="D41" s="92">
        <f>D37*D7</f>
        <v>5000</v>
      </c>
      <c r="E41" s="93"/>
      <c r="F41" s="57" t="s">
        <v>34</v>
      </c>
    </row>
    <row r="42" spans="2:6" ht="15" thickBot="1" x14ac:dyDescent="0.4">
      <c r="B42" s="4" t="s">
        <v>19</v>
      </c>
      <c r="C42" s="14" t="s">
        <v>41</v>
      </c>
      <c r="D42" s="94">
        <v>1</v>
      </c>
      <c r="E42" s="95"/>
      <c r="F42" s="58" t="s">
        <v>32</v>
      </c>
    </row>
  </sheetData>
  <mergeCells count="24">
    <mergeCell ref="D40:E40"/>
    <mergeCell ref="D41:E41"/>
    <mergeCell ref="D42:E42"/>
    <mergeCell ref="D24:E24"/>
    <mergeCell ref="D23:E23"/>
    <mergeCell ref="D32:E32"/>
    <mergeCell ref="D33:E33"/>
    <mergeCell ref="D37:E37"/>
    <mergeCell ref="D38:E38"/>
    <mergeCell ref="D39:E39"/>
    <mergeCell ref="B2:F2"/>
    <mergeCell ref="D28:E28"/>
    <mergeCell ref="D29:E29"/>
    <mergeCell ref="D30:E30"/>
    <mergeCell ref="D31:E31"/>
    <mergeCell ref="D22:E22"/>
    <mergeCell ref="D21:E21"/>
    <mergeCell ref="D20:E20"/>
    <mergeCell ref="D19:E19"/>
    <mergeCell ref="D14:E14"/>
    <mergeCell ref="D10:E10"/>
    <mergeCell ref="D7:E7"/>
    <mergeCell ref="D6:E6"/>
    <mergeCell ref="D5:E5"/>
  </mergeCells>
  <dataValidations count="1">
    <dataValidation type="list" allowBlank="1" showInputMessage="1" showErrorMessage="1" sqref="D42 D33 D24" xr:uid="{CDE69C61-5C15-47F6-9833-57CB86D6BDF4}">
      <formula1>"1,-1"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Z1003"/>
  <sheetViews>
    <sheetView workbookViewId="0">
      <selection activeCell="AB7" sqref="AB7"/>
    </sheetView>
  </sheetViews>
  <sheetFormatPr defaultColWidth="10.90625" defaultRowHeight="14.5" x14ac:dyDescent="0.35"/>
  <sheetData>
    <row r="2" spans="2:26" x14ac:dyDescent="0.35">
      <c r="E2" s="86" t="s">
        <v>44</v>
      </c>
      <c r="F2" s="86"/>
      <c r="H2" s="86" t="s">
        <v>46</v>
      </c>
      <c r="I2" s="86"/>
      <c r="K2" s="86" t="s">
        <v>47</v>
      </c>
      <c r="L2" s="86"/>
      <c r="N2" t="s">
        <v>48</v>
      </c>
      <c r="O2" t="s">
        <v>51</v>
      </c>
      <c r="Q2" t="s">
        <v>52</v>
      </c>
      <c r="S2" t="s">
        <v>53</v>
      </c>
      <c r="U2" s="80" t="s">
        <v>54</v>
      </c>
      <c r="V2" s="80"/>
      <c r="W2" s="82" t="s">
        <v>49</v>
      </c>
      <c r="X2" s="82"/>
      <c r="Y2" s="83" t="s">
        <v>13</v>
      </c>
      <c r="Z2" s="83"/>
    </row>
    <row r="3" spans="2:26" x14ac:dyDescent="0.35">
      <c r="C3" t="s">
        <v>45</v>
      </c>
      <c r="E3" t="s">
        <v>43</v>
      </c>
      <c r="F3" t="s">
        <v>40</v>
      </c>
      <c r="O3" t="s">
        <v>43</v>
      </c>
      <c r="P3" t="s">
        <v>40</v>
      </c>
      <c r="Q3" t="s">
        <v>43</v>
      </c>
      <c r="R3" t="s">
        <v>40</v>
      </c>
      <c r="S3" t="s">
        <v>43</v>
      </c>
      <c r="T3" t="s">
        <v>40</v>
      </c>
      <c r="U3" s="80" t="s">
        <v>43</v>
      </c>
      <c r="V3" s="80" t="s">
        <v>40</v>
      </c>
      <c r="W3" s="82" t="s">
        <v>43</v>
      </c>
      <c r="X3" s="82" t="s">
        <v>40</v>
      </c>
      <c r="Y3" s="83" t="s">
        <v>43</v>
      </c>
      <c r="Z3" s="83" t="s">
        <v>40</v>
      </c>
    </row>
    <row r="4" spans="2:26" x14ac:dyDescent="0.35">
      <c r="B4">
        <v>0</v>
      </c>
      <c r="C4">
        <f t="shared" ref="C4:C16" si="0">B4*(2*PI())/12</f>
        <v>0</v>
      </c>
      <c r="E4">
        <f>(COS(C4)*Graph!$D$19)+Graph!$D$18</f>
        <v>20000</v>
      </c>
      <c r="F4">
        <f>(SIN(C4)*Graph!$D$19)+Graph!$E$18</f>
        <v>10000</v>
      </c>
      <c r="H4">
        <f>(COS(C4)*Graph!$D$28)+Graph!$D$27</f>
        <v>-16500</v>
      </c>
      <c r="I4">
        <f>(SIN(C4)*Graph!$D$28)+Graph!$E$27</f>
        <v>10000</v>
      </c>
      <c r="K4">
        <f>(COS(C4)*Graph!$D$37)+Graph!$D$36</f>
        <v>5000</v>
      </c>
      <c r="L4">
        <f>(SIN(C4)*Graph!$D$37)+Graph!$E$36</f>
        <v>-15000</v>
      </c>
      <c r="N4">
        <v>1</v>
      </c>
      <c r="O4">
        <f>Graph!$D$22*((Graph!$D$18-Graph!$D$11)/POWER((((Graph!$D$18-Graph!$D$11)^2)+((Graph!$E$18-Graph!$E$11)^2))+(Graph!$D$23^2),3/2))</f>
        <v>1199.4656488305152</v>
      </c>
      <c r="P4">
        <f>Graph!$D$22*((Graph!$E$18-Graph!$E$11)/POWER((((Graph!$D$18-Graph!$D$11)^2)+((Graph!$E$18-Graph!$E$11)^2))+(Graph!$D$23^2),3/2))</f>
        <v>799.6437658870102</v>
      </c>
      <c r="Q4">
        <f>Graph!$D$31*((Graph!$D$27-Graph!$D$11)/POWER((((Graph!$D$27-Graph!$D$11)^2)+((Graph!$E$27-Graph!$E$11)^2))+(Graph!$D$32^2),3/2))</f>
        <v>-309.81310719099378</v>
      </c>
      <c r="R4">
        <f>Graph!$D$31*((Graph!$E$27-Graph!$E$11)/POWER((((Graph!$D$27-Graph!$D$11)^2)+((Graph!$E$27-Graph!$E$11)^2))+(Graph!$D$32^2),3/2))</f>
        <v>154.90655359549689</v>
      </c>
      <c r="S4">
        <f>Graph!$D$40*((Graph!$D$36-Graph!$D$11)/POWER((((Graph!$D$36-Graph!$D$11)^2)+((Graph!$E$36-Graph!$E$11)^2))+(Graph!$D$41^2),3/2))</f>
        <v>0</v>
      </c>
      <c r="T4">
        <f>Graph!$D$40*((Graph!$E$36-Graph!$E$11)/POWER((((Graph!$D$36-Graph!$D$11)^2)+((Graph!$E$36-Graph!$E$11)^2))+(Graph!$D$41^2),3/2))</f>
        <v>-1986.9176531592193</v>
      </c>
      <c r="U4">
        <f>O4+Q4+S4</f>
        <v>889.65254163952136</v>
      </c>
      <c r="V4">
        <f>P4+R4+T4</f>
        <v>-1032.3673336767122</v>
      </c>
      <c r="W4">
        <f>Graph!D12</f>
        <v>0</v>
      </c>
      <c r="X4">
        <f>Graph!E12</f>
        <v>0</v>
      </c>
      <c r="Y4">
        <f>Graph!D11</f>
        <v>0</v>
      </c>
      <c r="Z4">
        <f>Graph!E11</f>
        <v>0</v>
      </c>
    </row>
    <row r="5" spans="2:26" x14ac:dyDescent="0.35">
      <c r="B5">
        <f t="shared" ref="B5:B16" si="1">B4+1</f>
        <v>1</v>
      </c>
      <c r="C5">
        <f t="shared" si="0"/>
        <v>0.52359877559829882</v>
      </c>
      <c r="E5">
        <f>(COS(C5)*Graph!$D$19)+Graph!$D$18</f>
        <v>19330.127018922194</v>
      </c>
      <c r="F5">
        <f>(SIN(C5)*Graph!$D$19)+Graph!$E$18</f>
        <v>12500</v>
      </c>
      <c r="H5">
        <f>(COS(C5)*Graph!$D$28)+Graph!$D$27</f>
        <v>-16968.911086754466</v>
      </c>
      <c r="I5">
        <f>(SIN(C5)*Graph!$D$28)+Graph!$E$27</f>
        <v>11750</v>
      </c>
      <c r="K5">
        <f>(COS(C5)*Graph!$D$37)+Graph!$D$36</f>
        <v>4330.1270189221932</v>
      </c>
      <c r="L5">
        <f>(SIN(C5)*Graph!$D$37)+Graph!$E$36</f>
        <v>-12500</v>
      </c>
      <c r="N5">
        <f>N4+1</f>
        <v>2</v>
      </c>
      <c r="O5">
        <f>Graph!$D$22*((Graph!$D$18-Y5)/POWER((((Graph!$D$18-$Y5)^2)+((Graph!$E$18-$Z5)^2))+(Graph!$D$23^2),(3/2)))</f>
        <v>1188.7779764896673</v>
      </c>
      <c r="P5" s="84">
        <f>Graph!$D$22*((Graph!$E$18-Z5)/POWER((((Graph!$D$18-$Y5)^2)+((Graph!$E$18-$Z5)^2))+(Graph!$D$23^2),3/2))</f>
        <v>825.20872752220271</v>
      </c>
      <c r="Q5">
        <f>Graph!$D$31*((Graph!$D$27-Y5)/POWER((((Graph!$D$27-$Y5)^2)+((Graph!$E$27-$Z5)^2))+(Graph!$D$32^2),3/2))</f>
        <v>-300.69184780051251</v>
      </c>
      <c r="R5">
        <f>Graph!$D$31*((Graph!$E$27-Z5)/POWER((((Graph!$D$27-$Y5)^2)+((Graph!$E$27-$Z5)^2))+(Graph!$D$32^2),3/2))</f>
        <v>152.52999568568259</v>
      </c>
      <c r="S5">
        <f>Graph!$D$40*((Graph!$D$36-Y5)/POWER((((Graph!$D$36-$Y5)^2)+((Graph!$E$36-$Z5)^2))+(Graph!$D$41^2),3/2))</f>
        <v>-30.862551408961888</v>
      </c>
      <c r="T5">
        <f>Graph!$D$40*((Graph!$E$36-Z5)/POWER((((Graph!$D$36-$Y5)^2)+((Graph!$E$36-$Z5)^2))+(Graph!$D$41^2),3/2))</f>
        <v>-2045.6206321575212</v>
      </c>
      <c r="U5">
        <f>O5+Q5+S5</f>
        <v>857.2235772801929</v>
      </c>
      <c r="V5">
        <f>P5+R5+T5</f>
        <v>-1067.881908949636</v>
      </c>
      <c r="W5">
        <f>W4+(U4*Graph!$D$5)</f>
        <v>444.82627081976068</v>
      </c>
      <c r="X5">
        <f>X4+(V4*Graph!$D$5)</f>
        <v>-516.18366683835609</v>
      </c>
      <c r="Y5">
        <f>Y4+(W4*Graph!$D$5)+(U4*Graph!$D$5^2)</f>
        <v>222.41313540988034</v>
      </c>
      <c r="Z5">
        <f>Z4+(X4*Graph!$D$5)+(V4*Graph!$D$5^2)</f>
        <v>-258.09183341917804</v>
      </c>
    </row>
    <row r="6" spans="2:26" x14ac:dyDescent="0.35">
      <c r="B6">
        <f t="shared" si="1"/>
        <v>2</v>
      </c>
      <c r="C6">
        <f t="shared" si="0"/>
        <v>1.0471975511965976</v>
      </c>
      <c r="E6">
        <f>(COS(C6)*Graph!$D$19)+Graph!$D$18</f>
        <v>17500</v>
      </c>
      <c r="F6">
        <f>(SIN(C6)*Graph!$D$19)+Graph!$E$18</f>
        <v>14330.127018922194</v>
      </c>
      <c r="H6">
        <f>(COS(C6)*Graph!$D$28)+Graph!$D$27</f>
        <v>-18250</v>
      </c>
      <c r="I6">
        <f>(SIN(C6)*Graph!$D$28)+Graph!$E$27</f>
        <v>13031.088913245534</v>
      </c>
      <c r="K6">
        <f>(COS(C6)*Graph!$D$37)+Graph!$D$36</f>
        <v>2500.0000000000005</v>
      </c>
      <c r="L6">
        <f>(SIN(C6)*Graph!$D$37)+Graph!$E$36</f>
        <v>-10669.872981077806</v>
      </c>
      <c r="N6">
        <f>N5+1</f>
        <v>3</v>
      </c>
      <c r="O6">
        <f>Graph!$D$22*((Graph!$D$18-Y6)/POWER((((Graph!$D$18-$Y6)^2)+((Graph!$E$18-$Z6)^2))+(Graph!$D$23^2),(3/2)))</f>
        <v>1161.9790784729851</v>
      </c>
      <c r="P6" s="84">
        <f>Graph!$D$22*((Graph!$E$18-Z6)/POWER((((Graph!$D$18-$Y6)^2)+((Graph!$E$18-$Z6)^2))+(Graph!$D$23^2),3/2))</f>
        <v>873.71278081982689</v>
      </c>
      <c r="Q6">
        <f>Graph!$D$31*((Graph!$D$27-Y6)/POWER((((Graph!$D$27-$Y6)^2)+((Graph!$E$27-$Z6)^2))+(Graph!$D$32^2),3/2))</f>
        <v>-283.51929703965885</v>
      </c>
      <c r="R6">
        <f>Graph!$D$31*((Graph!$E$27-Z6)/POWER((((Graph!$D$27-$Y6)^2)+((Graph!$E$27-$Z6)^2))+(Graph!$D$32^2),3/2))</f>
        <v>147.98454544752923</v>
      </c>
      <c r="S6">
        <f>Graph!$D$40*((Graph!$D$36-Y6)/POWER((((Graph!$D$36-$Y6)^2)+((Graph!$E$36-$Z6)^2))+(Graph!$D$41^2),3/2))</f>
        <v>-100.54183739481741</v>
      </c>
      <c r="T6">
        <f>Graph!$D$40*((Graph!$E$36-Z6)/POWER((((Graph!$D$36-$Y6)^2)+((Graph!$E$36-$Z6)^2))+(Graph!$D$41^2),3/2))</f>
        <v>-2168.590580024766</v>
      </c>
      <c r="U6">
        <f>O6+Q6+S6</f>
        <v>777.91794403850884</v>
      </c>
      <c r="V6">
        <f>P6+R6+T6</f>
        <v>-1146.8932537574099</v>
      </c>
      <c r="W6">
        <f>W5+(U5*Graph!$D$5)</f>
        <v>873.43805945985719</v>
      </c>
      <c r="X6">
        <f>X5+(V5*Graph!$D$5)</f>
        <v>-1050.124621313174</v>
      </c>
      <c r="Y6">
        <f>Y5+(W5*Graph!$D$5)+(U5*Graph!$D$5^2)</f>
        <v>659.13216513980888</v>
      </c>
      <c r="Z6">
        <f>Z5+(X5*Graph!$D$5)+(V5*Graph!$D$5^2)</f>
        <v>-783.15414407576509</v>
      </c>
    </row>
    <row r="7" spans="2:26" x14ac:dyDescent="0.35">
      <c r="B7">
        <f t="shared" si="1"/>
        <v>3</v>
      </c>
      <c r="C7">
        <f t="shared" si="0"/>
        <v>1.5707963267948966</v>
      </c>
      <c r="E7">
        <f>(COS(C7)*Graph!$D$19)+Graph!$D$18</f>
        <v>15000</v>
      </c>
      <c r="F7">
        <f>(SIN(C7)*Graph!$D$19)+Graph!$E$18</f>
        <v>15000</v>
      </c>
      <c r="H7">
        <f>(COS(C7)*Graph!$D$28)+Graph!$D$27</f>
        <v>-20000</v>
      </c>
      <c r="I7">
        <f>(SIN(C7)*Graph!$D$28)+Graph!$E$27</f>
        <v>13500</v>
      </c>
      <c r="K7">
        <f>(COS(C7)*Graph!$D$37)+Graph!$D$36</f>
        <v>3.06287113727155E-13</v>
      </c>
      <c r="L7">
        <f>(SIN(C7)*Graph!$D$37)+Graph!$E$36</f>
        <v>-10000</v>
      </c>
      <c r="N7">
        <f>N6+1</f>
        <v>4</v>
      </c>
      <c r="O7">
        <f>Graph!$D$22*((Graph!$D$18-Y7)/POWER((((Graph!$D$18-$Y7)^2)+((Graph!$E$18-$Z7)^2))+(Graph!$D$23^2),(3/2)))</f>
        <v>1108.62652860659</v>
      </c>
      <c r="P7" s="84">
        <f>Graph!$D$22*((Graph!$E$18-Z7)/POWER((((Graph!$D$18-$Y7)^2)+((Graph!$E$18-$Z7)^2))+(Graph!$D$23^2),3/2))</f>
        <v>937.61983060107866</v>
      </c>
      <c r="Q7">
        <f>Graph!$D$31*((Graph!$D$27-Y7)/POWER((((Graph!$D$27-$Y7)^2)+((Graph!$E$27-$Z7)^2))+(Graph!$D$32^2),3/2))</f>
        <v>-260.18362998542204</v>
      </c>
      <c r="R7">
        <f>Graph!$D$31*((Graph!$E$27-Z7)/POWER((((Graph!$D$27-$Y7)^2)+((Graph!$E$27-$Z7)^2))+(Graph!$D$32^2),3/2))</f>
        <v>141.69876285926421</v>
      </c>
      <c r="S7">
        <f>Graph!$D$40*((Graph!$D$36-Y7)/POWER((((Graph!$D$36-$Y7)^2)+((Graph!$E$36-$Z7)^2))+(Graph!$D$41^2),3/2))</f>
        <v>-227.90796069062102</v>
      </c>
      <c r="T7">
        <f>Graph!$D$40*((Graph!$E$36-Z7)/POWER((((Graph!$D$36-$Y7)^2)+((Graph!$E$36-$Z7)^2))+(Graph!$D$41^2),3/2))</f>
        <v>-2367.7030901015669</v>
      </c>
      <c r="U7">
        <f>O7+Q7+S7</f>
        <v>620.5349379305469</v>
      </c>
      <c r="V7">
        <f>P7+R7+T7</f>
        <v>-1288.3844966412239</v>
      </c>
      <c r="W7">
        <f>W6+(U6*Graph!$D$5)</f>
        <v>1262.3970314791115</v>
      </c>
      <c r="X7">
        <f>X6+(V6*Graph!$D$5)</f>
        <v>-1623.571248191879</v>
      </c>
      <c r="Y7">
        <f>Y6+(W6*Graph!$D$5)+(U6*Graph!$D$5^2)</f>
        <v>1290.3306808793645</v>
      </c>
      <c r="Z7">
        <f>Z6+(X6*Graph!$D$5)+(V6*Graph!$D$5^2)</f>
        <v>-1594.9397681717046</v>
      </c>
    </row>
    <row r="8" spans="2:26" x14ac:dyDescent="0.35">
      <c r="B8">
        <f t="shared" si="1"/>
        <v>4</v>
      </c>
      <c r="C8">
        <f t="shared" si="0"/>
        <v>2.0943951023931953</v>
      </c>
      <c r="E8">
        <f>(COS(C8)*Graph!$D$19)+Graph!$D$18</f>
        <v>12500</v>
      </c>
      <c r="F8">
        <f>(SIN(C8)*Graph!$D$19)+Graph!$E$18</f>
        <v>14330.127018922194</v>
      </c>
      <c r="H8">
        <f>(COS(C8)*Graph!$D$28)+Graph!$D$27</f>
        <v>-21750</v>
      </c>
      <c r="I8">
        <f>(SIN(C8)*Graph!$D$28)+Graph!$E$27</f>
        <v>13031.088913245536</v>
      </c>
      <c r="K8">
        <f>(COS(C8)*Graph!$D$37)+Graph!$D$36</f>
        <v>-2499.9999999999991</v>
      </c>
      <c r="L8">
        <f>(SIN(C8)*Graph!$D$37)+Graph!$E$36</f>
        <v>-10669.872981077806</v>
      </c>
      <c r="N8">
        <f>N7+1</f>
        <v>5</v>
      </c>
      <c r="O8">
        <f>Graph!$D$22*((Graph!$D$18-Y8)/POWER((((Graph!$D$18-$Y8)^2)+((Graph!$E$18-$Z8)^2))+(Graph!$D$23^2),(3/2)))</f>
        <v>1015.7878313791407</v>
      </c>
      <c r="P8" s="84">
        <f>Graph!$D$22*((Graph!$E$18-Z8)/POWER((((Graph!$D$18-$Y8)^2)+((Graph!$E$18-$Z8)^2))+(Graph!$D$23^2),3/2))</f>
        <v>1000.4987051913674</v>
      </c>
      <c r="Q8">
        <f>Graph!$D$31*((Graph!$D$27-Y8)/POWER((((Graph!$D$27-$Y8)^2)+((Graph!$E$27-$Z8)^2))+(Graph!$D$32^2),3/2))</f>
        <v>-232.96022686170426</v>
      </c>
      <c r="R8">
        <f>Graph!$D$31*((Graph!$E$27-Z8)/POWER((((Graph!$D$27-$Y8)^2)+((Graph!$E$27-$Z8)^2))+(Graph!$D$32^2),3/2))</f>
        <v>134.31872187402365</v>
      </c>
      <c r="S8">
        <f>Graph!$D$40*((Graph!$D$36-Y8)/POWER((((Graph!$D$36-$Y8)^2)+((Graph!$E$36-$Z8)^2))+(Graph!$D$41^2),3/2))</f>
        <v>-450.64893247979296</v>
      </c>
      <c r="T8">
        <f>Graph!$D$40*((Graph!$E$36-Z8)/POWER((((Graph!$D$36-$Y8)^2)+((Graph!$E$36-$Z8)^2))+(Graph!$D$41^2),3/2))</f>
        <v>-2662.9230006804178</v>
      </c>
      <c r="U8">
        <f>O8+Q8+S8</f>
        <v>332.17867203764342</v>
      </c>
      <c r="V8">
        <f>P8+R8+T8</f>
        <v>-1528.1055736150267</v>
      </c>
      <c r="W8">
        <f>W7+(U7*Graph!$D$5)</f>
        <v>1572.6645004443849</v>
      </c>
      <c r="X8">
        <f>X7+(V7*Graph!$D$5)</f>
        <v>-2267.7634965124907</v>
      </c>
      <c r="Y8">
        <f>Y7+(W7*Graph!$D$5)+(U7*Graph!$D$5^2)</f>
        <v>2076.6629311015568</v>
      </c>
      <c r="Z8">
        <f>Z7+(X7*Graph!$D$5)+(V7*Graph!$D$5^2)</f>
        <v>-2728.82151642795</v>
      </c>
    </row>
    <row r="9" spans="2:26" x14ac:dyDescent="0.35">
      <c r="B9">
        <f t="shared" si="1"/>
        <v>5</v>
      </c>
      <c r="C9">
        <f t="shared" si="0"/>
        <v>2.6179938779914944</v>
      </c>
      <c r="E9">
        <f>(COS(C9)*Graph!$D$19)+Graph!$D$18</f>
        <v>10669.872981077806</v>
      </c>
      <c r="F9">
        <f>(SIN(C9)*Graph!$D$19)+Graph!$E$18</f>
        <v>12500</v>
      </c>
      <c r="H9">
        <f>(COS(C9)*Graph!$D$28)+Graph!$D$27</f>
        <v>-23031.088913245534</v>
      </c>
      <c r="I9">
        <f>(SIN(C9)*Graph!$D$28)+Graph!$E$27</f>
        <v>11750</v>
      </c>
      <c r="K9">
        <f>(COS(C9)*Graph!$D$37)+Graph!$D$36</f>
        <v>-4330.1270189221932</v>
      </c>
      <c r="L9">
        <f>(SIN(C9)*Graph!$D$37)+Graph!$E$36</f>
        <v>-12500</v>
      </c>
      <c r="N9">
        <f>N8+1</f>
        <v>6</v>
      </c>
      <c r="O9">
        <f>Graph!$D$22*((Graph!$D$18-Y9)/POWER((((Graph!$D$18-$Y9)^2)+((Graph!$E$18-$Z9)^2))+(Graph!$D$23^2),(3/2)))</f>
        <v>875.38274114486887</v>
      </c>
      <c r="P9" s="84">
        <f>Graph!$D$22*((Graph!$E$18-Z9)/POWER((((Graph!$D$18-$Y9)^2)+((Graph!$E$18-$Z9)^2))+(Graph!$D$23^2),3/2))</f>
        <v>1034.4808128700183</v>
      </c>
      <c r="Q9">
        <f>Graph!$D$31*((Graph!$D$27-Y9)/POWER((((Graph!$D$27-$Y9)^2)+((Graph!$E$27-$Z9)^2))+(Graph!$D$32^2),3/2))</f>
        <v>-204.02009205101808</v>
      </c>
      <c r="R9">
        <f>Graph!$D$31*((Graph!$E$27-Z9)/POWER((((Graph!$D$27-$Y9)^2)+((Graph!$E$27-$Z9)^2))+(Graph!$D$32^2),3/2))</f>
        <v>126.65414490550664</v>
      </c>
      <c r="S9">
        <f>Graph!$D$40*((Graph!$D$36-Y9)/POWER((((Graph!$D$36-$Y9)^2)+((Graph!$E$36-$Z9)^2))+(Graph!$D$41^2),3/2))</f>
        <v>-845.09908136743411</v>
      </c>
      <c r="T9">
        <f>Graph!$D$40*((Graph!$E$36-Z9)/POWER((((Graph!$D$36-$Y9)^2)+((Graph!$E$36-$Z9)^2))+(Graph!$D$41^2),3/2))</f>
        <v>-3085.2498780237634</v>
      </c>
      <c r="U9">
        <f>O9+Q9+S9</f>
        <v>-173.73643227358332</v>
      </c>
      <c r="V9">
        <f>P9+R9+T9</f>
        <v>-1924.1149202482384</v>
      </c>
      <c r="W9">
        <f>W8+(U8*Graph!$D$5)</f>
        <v>1738.7538364632067</v>
      </c>
      <c r="X9">
        <f>X8+(V8*Graph!$D$5)</f>
        <v>-3031.816283320004</v>
      </c>
      <c r="Y9">
        <f>Y8+(W8*Graph!$D$5)+(U8*Graph!$D$5^2)</f>
        <v>2946.0398493331604</v>
      </c>
      <c r="Z9">
        <f>Z8+(X8*Graph!$D$5)+(V8*Graph!$D$5^2)</f>
        <v>-4244.729658087952</v>
      </c>
    </row>
    <row r="10" spans="2:26" x14ac:dyDescent="0.35">
      <c r="B10">
        <f t="shared" si="1"/>
        <v>6</v>
      </c>
      <c r="C10">
        <f t="shared" si="0"/>
        <v>3.1415926535897931</v>
      </c>
      <c r="E10">
        <f>(COS(C10)*Graph!$D$19)+Graph!$D$18</f>
        <v>10000</v>
      </c>
      <c r="F10">
        <f>(SIN(C10)*Graph!$D$19)+Graph!$E$18</f>
        <v>10000</v>
      </c>
      <c r="H10">
        <f>(COS(C10)*Graph!$D$28)+Graph!$D$27</f>
        <v>-23500</v>
      </c>
      <c r="I10">
        <f>(SIN(C10)*Graph!$D$28)+Graph!$E$27</f>
        <v>10000</v>
      </c>
      <c r="K10">
        <f>(COS(C10)*Graph!$D$37)+Graph!$D$36</f>
        <v>-5000</v>
      </c>
      <c r="L10">
        <f>(SIN(C10)*Graph!$D$37)+Graph!$E$36</f>
        <v>-15000</v>
      </c>
      <c r="N10">
        <f>N9+1</f>
        <v>7</v>
      </c>
      <c r="O10">
        <f>Graph!$D$22*((Graph!$D$18-Y10)/POWER((((Graph!$D$18-$Y10)^2)+((Graph!$E$18-$Z10)^2))+(Graph!$D$23^2),(3/2)))</f>
        <v>695.74354786781919</v>
      </c>
      <c r="P10" s="84">
        <f>Graph!$D$22*((Graph!$E$18-Z10)/POWER((((Graph!$D$18-$Y10)^2)+((Graph!$E$18-$Z10)^2))+(Graph!$D$23^2),3/2))</f>
        <v>1006.4140757934709</v>
      </c>
      <c r="Q10">
        <f>Graph!$D$31*((Graph!$D$27-Y10)/POWER((((Graph!$D$27-$Y10)^2)+((Graph!$E$27-$Z10)^2))+(Graph!$D$32^2),3/2))</f>
        <v>-175.00434519793046</v>
      </c>
      <c r="R10">
        <f>Graph!$D$31*((Graph!$E$27-Z10)/POWER((((Graph!$D$27-$Y10)^2)+((Graph!$E$27-$Z10)^2))+(Graph!$D$32^2),3/2))</f>
        <v>119.56773890868902</v>
      </c>
      <c r="S10">
        <f>Graph!$D$40*((Graph!$D$36-Y10)/POWER((((Graph!$D$36-$Y10)^2)+((Graph!$E$36-$Z10)^2))+(Graph!$D$41^2),3/2))</f>
        <v>-1582.1198870802259</v>
      </c>
      <c r="T10">
        <f>Graph!$D$40*((Graph!$E$36-Z10)/POWER((((Graph!$D$36-$Y10)^2)+((Graph!$E$36-$Z10)^2))+(Graph!$D$41^2),3/2))</f>
        <v>-3673.594184210297</v>
      </c>
      <c r="U10">
        <f>O10+Q10+S10</f>
        <v>-1061.3806844103372</v>
      </c>
      <c r="V10">
        <f>P10+R10+T10</f>
        <v>-2547.6123695081369</v>
      </c>
      <c r="W10">
        <f>W9+(U9*Graph!$D$5)</f>
        <v>1651.8856203264149</v>
      </c>
      <c r="X10">
        <f>X9+(V9*Graph!$D$5)</f>
        <v>-3993.8737434441232</v>
      </c>
      <c r="Y10">
        <f>Y9+(W9*Graph!$D$5)+(U9*Graph!$D$5^2)</f>
        <v>3771.9826594963679</v>
      </c>
      <c r="Z10">
        <f>Z9+(X9*Graph!$D$5)+(V9*Graph!$D$5^2)</f>
        <v>-6241.6665298100133</v>
      </c>
    </row>
    <row r="11" spans="2:26" x14ac:dyDescent="0.35">
      <c r="B11">
        <f t="shared" si="1"/>
        <v>7</v>
      </c>
      <c r="C11">
        <f t="shared" si="0"/>
        <v>3.6651914291880918</v>
      </c>
      <c r="E11">
        <f>(COS(C11)*Graph!$D$19)+Graph!$D$18</f>
        <v>10669.872981077806</v>
      </c>
      <c r="F11">
        <f>(SIN(C11)*Graph!$D$19)+Graph!$E$18</f>
        <v>7500.0000000000018</v>
      </c>
      <c r="H11">
        <f>(COS(C11)*Graph!$D$28)+Graph!$D$27</f>
        <v>-23031.088913245534</v>
      </c>
      <c r="I11">
        <f>(SIN(C11)*Graph!$D$28)+Graph!$E$27</f>
        <v>8250</v>
      </c>
      <c r="K11">
        <f>(COS(C11)*Graph!$D$37)+Graph!$D$36</f>
        <v>-4330.1270189221941</v>
      </c>
      <c r="L11">
        <f>(SIN(C11)*Graph!$D$37)+Graph!$E$36</f>
        <v>-17500</v>
      </c>
      <c r="N11">
        <f>N10+1</f>
        <v>8</v>
      </c>
      <c r="O11">
        <f>Graph!$D$22*((Graph!$D$18-Y11)/POWER((((Graph!$D$18-$Y11)^2)+((Graph!$E$18-$Z11)^2))+(Graph!$D$23^2),(3/2)))</f>
        <v>507.04533176066417</v>
      </c>
      <c r="P11" s="84">
        <f>Graph!$D$22*((Graph!$E$18-Z11)/POWER((((Graph!$D$18-$Y11)^2)+((Graph!$E$18-$Z11)^2))+(Graph!$D$23^2),3/2))</f>
        <v>897.19329699384173</v>
      </c>
      <c r="Q11">
        <f>Graph!$D$31*((Graph!$D$27-Y11)/POWER((((Graph!$D$27-$Y11)^2)+((Graph!$E$27-$Z11)^2))+(Graph!$D$32^2),3/2))</f>
        <v>-146.77794018647546</v>
      </c>
      <c r="R11">
        <f>Graph!$D$31*((Graph!$E$27-Z11)/POWER((((Graph!$D$27-$Y11)^2)+((Graph!$E$27-$Z11)^2))+(Graph!$D$32^2),3/2))</f>
        <v>113.86001522069247</v>
      </c>
      <c r="S11">
        <f>Graph!$D$40*((Graph!$D$36-Y11)/POWER((((Graph!$D$36-$Y11)^2)+((Graph!$E$36-$Z11)^2))+(Graph!$D$41^2),3/2))</f>
        <v>-3095.7387866705626</v>
      </c>
      <c r="T11">
        <f>Graph!$D$40*((Graph!$E$36-Z11)/POWER((((Graph!$D$36-$Y11)^2)+((Graph!$E$36-$Z11)^2))+(Graph!$D$41^2),3/2))</f>
        <v>-4376.1063359477293</v>
      </c>
      <c r="U11">
        <f>O11+Q11+S11</f>
        <v>-2735.4713950963737</v>
      </c>
      <c r="V11">
        <f>P11+R11+T11</f>
        <v>-3365.053023733195</v>
      </c>
      <c r="W11">
        <f>W10+(U10*Graph!$D$5)</f>
        <v>1121.1952781212462</v>
      </c>
      <c r="X11">
        <f>X10+(V10*Graph!$D$5)</f>
        <v>-5267.6799281981912</v>
      </c>
      <c r="Y11">
        <f>Y10+(W10*Graph!$D$5)+(U10*Graph!$D$5^2)</f>
        <v>4332.5802985569908</v>
      </c>
      <c r="Z11">
        <f>Z10+(X10*Graph!$D$5)+(V10*Graph!$D$5^2)</f>
        <v>-8875.5064939091098</v>
      </c>
    </row>
    <row r="12" spans="2:26" x14ac:dyDescent="0.35">
      <c r="B12">
        <f t="shared" si="1"/>
        <v>8</v>
      </c>
      <c r="C12">
        <f t="shared" si="0"/>
        <v>4.1887902047863905</v>
      </c>
      <c r="E12">
        <f>(COS(C12)*Graph!$D$19)+Graph!$D$18</f>
        <v>12499.999999999998</v>
      </c>
      <c r="F12">
        <f>(SIN(C12)*Graph!$D$19)+Graph!$E$18</f>
        <v>5669.8729810778077</v>
      </c>
      <c r="H12">
        <f>(COS(C12)*Graph!$D$28)+Graph!$D$27</f>
        <v>-21750</v>
      </c>
      <c r="I12">
        <f>(SIN(C12)*Graph!$D$28)+Graph!$E$27</f>
        <v>6968.9110867544659</v>
      </c>
      <c r="K12">
        <f>(COS(C12)*Graph!$D$37)+Graph!$D$36</f>
        <v>-2500.0000000000023</v>
      </c>
      <c r="L12">
        <f>(SIN(C12)*Graph!$D$37)+Graph!$E$36</f>
        <v>-19330.12701892219</v>
      </c>
      <c r="N12">
        <f>N11+1</f>
        <v>9</v>
      </c>
      <c r="O12">
        <f>Graph!$D$22*((Graph!$D$18-Y12)/POWER((((Graph!$D$18-$Y12)^2)+((Graph!$E$18-$Z12)^2))+(Graph!$D$23^2),(3/2)))</f>
        <v>348.15467456101896</v>
      </c>
      <c r="P12" s="84">
        <f>Graph!$D$22*((Graph!$E$18-Z12)/POWER((((Graph!$D$18-$Y12)^2)+((Graph!$E$18-$Z12)^2))+(Graph!$D$23^2),3/2))</f>
        <v>721.12805717384231</v>
      </c>
      <c r="Q12">
        <f>Graph!$D$31*((Graph!$D$27-Y12)/POWER((((Graph!$D$27-$Y12)^2)+((Graph!$E$27-$Z12)^2))+(Graph!$D$32^2),3/2))</f>
        <v>-119.51891576830381</v>
      </c>
      <c r="R12">
        <f>Graph!$D$31*((Graph!$E$27-Z12)/POWER((((Graph!$D$27-$Y12)^2)+((Graph!$E$27-$Z12)^2))+(Graph!$D$32^2),3/2))</f>
        <v>110.34269997647903</v>
      </c>
      <c r="S12">
        <f>Graph!$D$40*((Graph!$D$36-Y12)/POWER((((Graph!$D$36-$Y12)^2)+((Graph!$E$36-$Z12)^2))+(Graph!$D$41^2),3/2))</f>
        <v>-6283.2280740825154</v>
      </c>
      <c r="T12">
        <f>Graph!$D$40*((Graph!$E$36-Z12)/POWER((((Graph!$D$36-$Y12)^2)+((Graph!$E$36-$Z12)^2))+(Graph!$D$41^2),3/2))</f>
        <v>-3954.7391551611327</v>
      </c>
      <c r="U12">
        <f>O12+Q12+S12</f>
        <v>-6054.5923152898004</v>
      </c>
      <c r="V12">
        <f>P12+R12+T12</f>
        <v>-3123.2683980108113</v>
      </c>
      <c r="W12">
        <f>W11+(U11*Graph!$D$5)</f>
        <v>-246.54041942694062</v>
      </c>
      <c r="X12">
        <f>X11+(V11*Graph!$D$5)</f>
        <v>-6950.2064400647887</v>
      </c>
      <c r="Y12">
        <f>Y11+(W11*Graph!$D$5)+(U11*Graph!$D$5^2)</f>
        <v>4209.3100888435201</v>
      </c>
      <c r="Z12">
        <f>Z11+(X11*Graph!$D$5)+(V11*Graph!$D$5^2)</f>
        <v>-12350.609713941503</v>
      </c>
    </row>
    <row r="13" spans="2:26" x14ac:dyDescent="0.35">
      <c r="B13">
        <f t="shared" si="1"/>
        <v>9</v>
      </c>
      <c r="C13">
        <f t="shared" si="0"/>
        <v>4.7123889803846897</v>
      </c>
      <c r="E13">
        <f>(COS(C13)*Graph!$D$19)+Graph!$D$18</f>
        <v>14999.999999999998</v>
      </c>
      <c r="F13">
        <f>(SIN(C13)*Graph!$D$19)+Graph!$E$18</f>
        <v>5000</v>
      </c>
      <c r="H13">
        <f>(COS(C13)*Graph!$D$28)+Graph!$D$27</f>
        <v>-20000</v>
      </c>
      <c r="I13">
        <f>(SIN(C13)*Graph!$D$28)+Graph!$E$27</f>
        <v>6500</v>
      </c>
      <c r="K13">
        <f>(COS(C13)*Graph!$D$37)+Graph!$D$36</f>
        <v>-9.1886134118146501E-13</v>
      </c>
      <c r="L13">
        <f>(SIN(C13)*Graph!$D$37)+Graph!$E$36</f>
        <v>-20000</v>
      </c>
      <c r="N13">
        <f>N12+1</f>
        <v>10</v>
      </c>
      <c r="O13">
        <f>Graph!$D$22*((Graph!$D$18-Y13)/POWER((((Graph!$D$18-$Y13)^2)+((Graph!$E$18-$Z13)^2))+(Graph!$D$23^2),(3/2)))</f>
        <v>246.173684656246</v>
      </c>
      <c r="P13" s="84">
        <f>Graph!$D$22*((Graph!$E$18-Z13)/POWER((((Graph!$D$18-$Y13)^2)+((Graph!$E$18-$Z13)^2))+(Graph!$D$23^2),3/2))</f>
        <v>527.03846379869981</v>
      </c>
      <c r="Q13">
        <f>Graph!$D$31*((Graph!$D$27-Y13)/POWER((((Graph!$D$27-$Y13)^2)+((Graph!$E$27-$Z13)^2))+(Graph!$D$32^2),3/2))</f>
        <v>-94.012865544302272</v>
      </c>
      <c r="R13">
        <f>Graph!$D$31*((Graph!$E$27-Z13)/POWER((((Graph!$D$27-$Y13)^2)+((Graph!$E$27-$Z13)^2))+(Graph!$D$32^2),3/2))</f>
        <v>110.81484641798524</v>
      </c>
      <c r="S13">
        <f>Graph!$D$40*((Graph!$D$36-Y13)/POWER((((Graph!$D$36-$Y13)^2)+((Graph!$E$36-$Z13)^2))+(Graph!$D$41^2),3/2))</f>
        <v>-6734.9138065607676</v>
      </c>
      <c r="T13">
        <f>Graph!$D$40*((Graph!$E$36-Z13)/POWER((((Graph!$D$36-$Y13)^2)+((Graph!$E$36-$Z13)^2))+(Graph!$D$41^2),3/2))</f>
        <v>4206.140488327741</v>
      </c>
      <c r="U13">
        <f>O13+Q13+S13</f>
        <v>-6582.7529874488237</v>
      </c>
      <c r="V13">
        <f>P13+R13+T13</f>
        <v>4843.9937985444258</v>
      </c>
      <c r="W13">
        <f>W12+(U12*Graph!$D$5)</f>
        <v>-3273.836577071841</v>
      </c>
      <c r="X13">
        <f>X12+(V12*Graph!$D$5)</f>
        <v>-8511.8406390701948</v>
      </c>
      <c r="Y13">
        <f>Y12+(W12*Graph!$D$5)+(U12*Graph!$D$5^2)</f>
        <v>2572.3918003075996</v>
      </c>
      <c r="Z13">
        <f>Z12+(X12*Graph!$D$5)+(V12*Graph!$D$5^2)</f>
        <v>-16606.5300334766</v>
      </c>
    </row>
    <row r="14" spans="2:26" x14ac:dyDescent="0.35">
      <c r="B14">
        <f t="shared" si="1"/>
        <v>10</v>
      </c>
      <c r="C14">
        <f t="shared" si="0"/>
        <v>5.2359877559829888</v>
      </c>
      <c r="E14">
        <f>(COS(C14)*Graph!$D$19)+Graph!$D$18</f>
        <v>17500</v>
      </c>
      <c r="F14">
        <f>(SIN(C14)*Graph!$D$19)+Graph!$E$18</f>
        <v>5669.8729810778068</v>
      </c>
      <c r="H14">
        <f>(COS(C14)*Graph!$D$28)+Graph!$D$27</f>
        <v>-18250</v>
      </c>
      <c r="I14">
        <f>(SIN(C14)*Graph!$D$28)+Graph!$E$27</f>
        <v>6968.911086754465</v>
      </c>
      <c r="K14">
        <f>(COS(C14)*Graph!$D$37)+Graph!$D$36</f>
        <v>2500.0000000000005</v>
      </c>
      <c r="L14">
        <f>(SIN(C14)*Graph!$D$37)+Graph!$E$36</f>
        <v>-19330.127018922194</v>
      </c>
      <c r="N14">
        <f>N13+1</f>
        <v>11</v>
      </c>
      <c r="O14">
        <f>Graph!$D$22*((Graph!$D$18-Y14)/POWER((((Graph!$D$18-$Y14)^2)+((Graph!$E$18-$Z14)^2))+(Graph!$D$23^2),(3/2)))</f>
        <v>210.64771457338634</v>
      </c>
      <c r="P14" s="84">
        <f>Graph!$D$22*((Graph!$E$18-Z14)/POWER((((Graph!$D$18-$Y14)^2)+((Graph!$E$18-$Z14)^2))+(Graph!$D$23^2),3/2))</f>
        <v>397.57639742998475</v>
      </c>
      <c r="Q14">
        <f>Graph!$D$31*((Graph!$D$27-Y14)/POWER((((Graph!$D$27-$Y14)^2)+((Graph!$E$27-$Z14)^2))+(Graph!$D$32^2),3/2))</f>
        <v>-77.131044187340279</v>
      </c>
      <c r="R14">
        <f>Graph!$D$31*((Graph!$E$27-Z14)/POWER((((Graph!$D$27-$Y14)^2)+((Graph!$E$27-$Z14)^2))+(Graph!$D$32^2),3/2))</f>
        <v>118.5626182754083</v>
      </c>
      <c r="S14">
        <f>Graph!$D$40*((Graph!$D$36-Y14)/POWER((((Graph!$D$36-$Y14)^2)+((Graph!$E$36-$Z14)^2))+(Graph!$D$41^2),3/2))</f>
        <v>1148.9424370280271</v>
      </c>
      <c r="T14">
        <f>Graph!$D$40*((Graph!$E$36-Z14)/POWER((((Graph!$D$36-$Y14)^2)+((Graph!$E$36-$Z14)^2))+(Graph!$D$41^2),3/2))</f>
        <v>7524.8375196014558</v>
      </c>
      <c r="U14">
        <f>O14+Q14+S14</f>
        <v>1282.4591074140733</v>
      </c>
      <c r="V14">
        <f>P14+R14+T14</f>
        <v>8040.9765353068487</v>
      </c>
      <c r="W14">
        <f>W13+(U13*Graph!$D$5)</f>
        <v>-6565.2130707962533</v>
      </c>
      <c r="X14">
        <f>X13+(V13*Graph!$D$5)</f>
        <v>-6089.8437397979815</v>
      </c>
      <c r="Y14">
        <f>Y13+(W13*Graph!$D$5)+(U13*Graph!$D$5^2)</f>
        <v>-710.2147350905268</v>
      </c>
      <c r="Z14">
        <f>Z13+(X13*Graph!$D$5)+(V13*Graph!$D$5^2)</f>
        <v>-19651.45190337559</v>
      </c>
    </row>
    <row r="15" spans="2:26" x14ac:dyDescent="0.35">
      <c r="B15">
        <f t="shared" si="1"/>
        <v>11</v>
      </c>
      <c r="C15">
        <f t="shared" si="0"/>
        <v>5.7595865315812871</v>
      </c>
      <c r="E15">
        <f>(COS(C15)*Graph!$D$19)+Graph!$D$18</f>
        <v>19330.12701892219</v>
      </c>
      <c r="F15">
        <f>(SIN(C15)*Graph!$D$19)+Graph!$E$18</f>
        <v>7499.9999999999982</v>
      </c>
      <c r="H15">
        <f>(COS(C15)*Graph!$D$28)+Graph!$D$27</f>
        <v>-16968.911086754466</v>
      </c>
      <c r="I15">
        <f>(SIN(C15)*Graph!$D$28)+Graph!$E$27</f>
        <v>8249.9999999999982</v>
      </c>
      <c r="K15">
        <f>(COS(C15)*Graph!$D$37)+Graph!$D$36</f>
        <v>4330.1270189221923</v>
      </c>
      <c r="L15">
        <f>(SIN(C15)*Graph!$D$37)+Graph!$E$36</f>
        <v>-17500.000000000004</v>
      </c>
      <c r="N15">
        <f>N14+1</f>
        <v>12</v>
      </c>
      <c r="O15">
        <f>Graph!$D$22*((Graph!$D$18-Y15)/POWER((((Graph!$D$18-$Y15)^2)+((Graph!$E$18-$Z15)^2))+(Graph!$D$23^2),(3/2)))</f>
        <v>204.95667266673595</v>
      </c>
      <c r="P15" s="84">
        <f>Graph!$D$22*((Graph!$E$18-Z15)/POWER((((Graph!$D$18-$Y15)^2)+((Graph!$E$18-$Z15)^2))+(Graph!$D$23^2),3/2))</f>
        <v>336.82827094190537</v>
      </c>
      <c r="Q15">
        <f>Graph!$D$31*((Graph!$D$27-Y15)/POWER((((Graph!$D$27-$Y15)^2)+((Graph!$E$27-$Z15)^2))+(Graph!$D$32^2),3/2))</f>
        <v>-68.773537320718134</v>
      </c>
      <c r="R15">
        <f>Graph!$D$31*((Graph!$E$27-Z15)/POWER((((Graph!$D$27-$Y15)^2)+((Graph!$E$27-$Z15)^2))+(Graph!$D$32^2),3/2))</f>
        <v>129.25161511653693</v>
      </c>
      <c r="S15">
        <f>Graph!$D$40*((Graph!$D$36-Y15)/POWER((((Graph!$D$36-$Y15)^2)+((Graph!$E$36-$Z15)^2))+(Graph!$D$41^2),3/2))</f>
        <v>3226.3973917640265</v>
      </c>
      <c r="T15">
        <f>Graph!$D$40*((Graph!$E$36-Z15)/POWER((((Graph!$D$36-$Y15)^2)+((Graph!$E$36-$Z15)^2))+(Graph!$D$41^2),3/2))</f>
        <v>4995.8284943247318</v>
      </c>
      <c r="U15">
        <f>O15+Q15+S15</f>
        <v>3362.5805271100444</v>
      </c>
      <c r="V15">
        <f>P15+R15+T15</f>
        <v>5461.9083803831745</v>
      </c>
      <c r="W15">
        <f>W14+(U14*Graph!$D$5)</f>
        <v>-5923.9835170892165</v>
      </c>
      <c r="X15">
        <f>X14+(V14*Graph!$D$5)</f>
        <v>-2069.3554721445571</v>
      </c>
      <c r="Y15">
        <f>Y14+(W14*Graph!$D$5)+(U14*Graph!$D$5^2)</f>
        <v>-3672.2064936351353</v>
      </c>
      <c r="Z15">
        <f>Z14+(X14*Graph!$D$5)+(V14*Graph!$D$5^2)</f>
        <v>-20686.129639447867</v>
      </c>
    </row>
    <row r="16" spans="2:26" x14ac:dyDescent="0.35">
      <c r="B16">
        <f t="shared" si="1"/>
        <v>12</v>
      </c>
      <c r="C16">
        <f t="shared" si="0"/>
        <v>6.2831853071795862</v>
      </c>
      <c r="E16">
        <f>(COS(C16)*Graph!$D$19)+Graph!$D$18</f>
        <v>20000</v>
      </c>
      <c r="F16">
        <f>(SIN(C16)*Graph!$D$19)+Graph!$E$18</f>
        <v>9999.9999999999982</v>
      </c>
      <c r="H16">
        <f>(COS(C16)*Graph!$D$28)+Graph!$D$27</f>
        <v>-16500</v>
      </c>
      <c r="I16">
        <f>(SIN(C16)*Graph!$D$28)+Graph!$E$27</f>
        <v>10000</v>
      </c>
      <c r="K16">
        <f>(COS(C16)*Graph!$D$37)+Graph!$D$36</f>
        <v>5000</v>
      </c>
      <c r="L16">
        <f>(SIN(C16)*Graph!$D$37)+Graph!$E$36</f>
        <v>-15000.000000000002</v>
      </c>
      <c r="N16">
        <f>N15+1</f>
        <v>13</v>
      </c>
      <c r="O16">
        <f>Graph!$D$22*((Graph!$D$18-Y16)/POWER((((Graph!$D$18-$Y16)^2)+((Graph!$E$18-$Z16)^2))+(Graph!$D$23^2),(3/2)))</f>
        <v>212.65076338814634</v>
      </c>
      <c r="P16" s="84">
        <f>Graph!$D$22*((Graph!$E$18-Z16)/POWER((((Graph!$D$18-$Y16)^2)+((Graph!$E$18-$Z16)^2))+(Graph!$D$23^2),3/2))</f>
        <v>310.43680315981925</v>
      </c>
      <c r="Q16">
        <f>Graph!$D$31*((Graph!$D$27-Y16)/POWER((((Graph!$D$27-$Y16)^2)+((Graph!$E$27-$Z16)^2))+(Graph!$D$32^2),3/2))</f>
        <v>-66.678602022040366</v>
      </c>
      <c r="R16">
        <f>Graph!$D$31*((Graph!$E$27-Z16)/POWER((((Graph!$D$27-$Y16)^2)+((Graph!$E$27-$Z16)^2))+(Graph!$D$32^2),3/2))</f>
        <v>142.47411785439445</v>
      </c>
      <c r="S16">
        <f>Graph!$D$40*((Graph!$D$36-Y16)/POWER((((Graph!$D$36-$Y16)^2)+((Graph!$E$36-$Z16)^2))+(Graph!$D$41^2),3/2))</f>
        <v>3722.4951269568669</v>
      </c>
      <c r="T16">
        <f>Graph!$D$40*((Graph!$E$36-Z16)/POWER((((Graph!$D$36-$Y16)^2)+((Graph!$E$36-$Z16)^2))+(Graph!$D$41^2),3/2))</f>
        <v>3440.9265709365141</v>
      </c>
      <c r="U16">
        <f>O16+Q16+S16</f>
        <v>3868.4672883229728</v>
      </c>
      <c r="V16">
        <f>P16+R16+T16</f>
        <v>3893.8374919507278</v>
      </c>
      <c r="W16">
        <f>W15+(U15*Graph!$D$5)</f>
        <v>-4242.6932535341948</v>
      </c>
      <c r="X16">
        <f>X15+(V15*Graph!$D$5)</f>
        <v>661.59871804703016</v>
      </c>
      <c r="Y16">
        <f>Y15+(W15*Graph!$D$5)+(U15*Graph!$D$5^2)</f>
        <v>-5793.5531204022327</v>
      </c>
      <c r="Z16">
        <f>Z15+(X15*Graph!$D$5)+(V15*Graph!$D$5^2)</f>
        <v>-20355.33028042435</v>
      </c>
    </row>
    <row r="17" spans="14:26" x14ac:dyDescent="0.35">
      <c r="N17">
        <f>N16+1</f>
        <v>14</v>
      </c>
      <c r="O17">
        <f>Graph!$D$22*((Graph!$D$18-Y17)/POWER((((Graph!$D$18-$Y17)^2)+((Graph!$E$18-$Z17)^2))+(Graph!$D$23^2),(3/2)))</f>
        <v>231.5076944442684</v>
      </c>
      <c r="P17" s="84">
        <f>Graph!$D$22*((Graph!$E$18-Z17)/POWER((((Graph!$D$18-$Y17)^2)+((Graph!$E$18-$Z17)^2))+(Graph!$D$23^2),3/2))</f>
        <v>306.43398553120431</v>
      </c>
      <c r="Q17">
        <f>Graph!$D$31*((Graph!$D$27-Y17)/POWER((((Graph!$D$27-$Y17)^2)+((Graph!$E$27-$Z17)^2))+(Graph!$D$32^2),3/2))</f>
        <v>-71.267401327099421</v>
      </c>
      <c r="R17">
        <f>Graph!$D$31*((Graph!$E$27-Z17)/POWER((((Graph!$D$27-$Y17)^2)+((Graph!$E$27-$Z17)^2))+(Graph!$D$32^2),3/2))</f>
        <v>158.6239612121293</v>
      </c>
      <c r="S17">
        <f>Graph!$D$40*((Graph!$D$36-Y17)/POWER((((Graph!$D$36-$Y17)^2)+((Graph!$E$36-$Z17)^2))+(Graph!$D$41^2),3/2))</f>
        <v>4283.3210644503197</v>
      </c>
      <c r="T17">
        <f>Graph!$D$40*((Graph!$E$36-Z17)/POWER((((Graph!$D$36-$Y17)^2)+((Graph!$E$36-$Z17)^2))+(Graph!$D$41^2),3/2))</f>
        <v>2497.4931260812491</v>
      </c>
      <c r="U17">
        <f>O17+Q17+S17</f>
        <v>4443.5613575674888</v>
      </c>
      <c r="V17">
        <f>P17+R17+T17</f>
        <v>2962.5510728245827</v>
      </c>
      <c r="W17">
        <f>W16+(U16*Graph!$D$5)</f>
        <v>-2308.4596093727087</v>
      </c>
      <c r="X17">
        <f>X16+(V16*Graph!$D$5)</f>
        <v>2608.5174640223941</v>
      </c>
      <c r="Y17">
        <f>Y16+(W16*Graph!$D$5)+(U16*Graph!$D$5^2)</f>
        <v>-6947.782925088587</v>
      </c>
      <c r="Z17">
        <f>Z16+(X16*Graph!$D$5)+(V16*Graph!$D$5^2)</f>
        <v>-19051.071548413151</v>
      </c>
    </row>
    <row r="18" spans="14:26" x14ac:dyDescent="0.35">
      <c r="N18">
        <f>N17+1</f>
        <v>15</v>
      </c>
      <c r="O18">
        <f>Graph!$D$22*((Graph!$D$18-Y18)/POWER((((Graph!$D$18-$Y18)^2)+((Graph!$E$18-$Z18)^2))+(Graph!$D$23^2),(3/2)))</f>
        <v>264.35958965613924</v>
      </c>
      <c r="P18" s="84">
        <f>Graph!$D$22*((Graph!$E$18-Z18)/POWER((((Graph!$D$18-$Y18)^2)+((Graph!$E$18-$Z18)^2))+(Graph!$D$23^2),3/2))</f>
        <v>324.64651995411629</v>
      </c>
      <c r="Q18">
        <f>Graph!$D$31*((Graph!$D$27-Y18)/POWER((((Graph!$D$27-$Y18)^2)+((Graph!$E$27-$Z18)^2))+(Graph!$D$32^2),3/2))</f>
        <v>-84.993897896359414</v>
      </c>
      <c r="R18">
        <f>Graph!$D$31*((Graph!$E$27-Z18)/POWER((((Graph!$D$27-$Y18)^2)+((Graph!$E$27-$Z18)^2))+(Graph!$D$32^2),3/2))</f>
        <v>176.44566683606106</v>
      </c>
      <c r="S18">
        <f>Graph!$D$40*((Graph!$D$36-Y18)/POWER((((Graph!$D$36-$Y18)^2)+((Graph!$E$36-$Z18)^2))+(Graph!$D$41^2),3/2))</f>
        <v>5323.9614705963859</v>
      </c>
      <c r="T18">
        <f>Graph!$D$40*((Graph!$E$36-Z18)/POWER((((Graph!$D$36-$Y18)^2)+((Graph!$E$36-$Z18)^2))+(Graph!$D$41^2),3/2))</f>
        <v>1527.7659384934739</v>
      </c>
      <c r="U18">
        <f>O18+Q18+S18</f>
        <v>5503.3271623561659</v>
      </c>
      <c r="V18">
        <f>P18+R18+T18</f>
        <v>2028.8581252836511</v>
      </c>
      <c r="W18">
        <f>W17+(U17*Graph!$D$5)</f>
        <v>-86.678930588964249</v>
      </c>
      <c r="X18">
        <f>X17+(V17*Graph!$D$5)</f>
        <v>4089.7930004346854</v>
      </c>
      <c r="Y18">
        <f>Y17+(W17*Graph!$D$5)+(U17*Graph!$D$5^2)</f>
        <v>-6991.1223903830687</v>
      </c>
      <c r="Z18">
        <f>Z17+(X17*Graph!$D$5)+(V17*Graph!$D$5^2)</f>
        <v>-17006.175048195808</v>
      </c>
    </row>
    <row r="19" spans="14:26" x14ac:dyDescent="0.35">
      <c r="N19">
        <f>N18+1</f>
        <v>16</v>
      </c>
      <c r="O19">
        <f>Graph!$D$22*((Graph!$D$18-Y19)/POWER((((Graph!$D$18-$Y19)^2)+((Graph!$E$18-$Z19)^2))+(Graph!$D$23^2),(3/2)))</f>
        <v>318.01861985787161</v>
      </c>
      <c r="P19" s="84">
        <f>Graph!$D$22*((Graph!$E$18-Z19)/POWER((((Graph!$D$18-$Y19)^2)+((Graph!$E$18-$Z19)^2))+(Graph!$D$23^2),3/2))</f>
        <v>376.44546922962462</v>
      </c>
      <c r="Q19">
        <f>Graph!$D$31*((Graph!$D$27-Y19)/POWER((((Graph!$D$27-$Y19)^2)+((Graph!$E$27-$Z19)^2))+(Graph!$D$32^2),3/2))</f>
        <v>-110.5114078663905</v>
      </c>
      <c r="R19">
        <f>Graph!$D$31*((Graph!$E$27-Z19)/POWER((((Graph!$D$27-$Y19)^2)+((Graph!$E$27-$Z19)^2))+(Graph!$D$32^2),3/2))</f>
        <v>188.43757986864489</v>
      </c>
      <c r="S19">
        <f>Graph!$D$40*((Graph!$D$36-Y19)/POWER((((Graph!$D$36-$Y19)^2)+((Graph!$E$36-$Z19)^2))+(Graph!$D$41^2),3/2))</f>
        <v>6827.6584578497786</v>
      </c>
      <c r="T19">
        <f>Graph!$D$40*((Graph!$E$36-Z19)/POWER((((Graph!$D$36-$Y19)^2)+((Graph!$E$36-$Z19)^2))+(Graph!$D$41^2),3/2))</f>
        <v>-658.72205661747853</v>
      </c>
      <c r="U19">
        <f>O19+Q19+S19</f>
        <v>7035.1656698412598</v>
      </c>
      <c r="V19">
        <f>P19+R19+T19</f>
        <v>-93.839007519208963</v>
      </c>
      <c r="W19">
        <f>W18+(U18*Graph!$D$5)</f>
        <v>2664.9846505891187</v>
      </c>
      <c r="X19">
        <f>X18+(V18*Graph!$D$5)</f>
        <v>5104.2220630765114</v>
      </c>
      <c r="Y19">
        <f>Y18+(W18*Graph!$D$5)+(U18*Graph!$D$5^2)</f>
        <v>-5658.6300650885096</v>
      </c>
      <c r="Z19">
        <f>Z18+(X18*Graph!$D$5)+(V18*Graph!$D$5^2)</f>
        <v>-14454.064016657552</v>
      </c>
    </row>
    <row r="20" spans="14:26" x14ac:dyDescent="0.35">
      <c r="N20">
        <f>N19+1</f>
        <v>17</v>
      </c>
      <c r="O20">
        <f>Graph!$D$22*((Graph!$D$18-Y20)/POWER((((Graph!$D$18-$Y20)^2)+((Graph!$E$18-$Z20)^2))+(Graph!$D$23^2),(3/2)))</f>
        <v>395.82190927408232</v>
      </c>
      <c r="P20" s="84">
        <f>Graph!$D$22*((Graph!$E$18-Z20)/POWER((((Graph!$D$18-$Y20)^2)+((Graph!$E$18-$Z20)^2))+(Graph!$D$23^2),3/2))</f>
        <v>494.01648786009753</v>
      </c>
      <c r="Q20">
        <f>Graph!$D$31*((Graph!$D$27-Y20)/POWER((((Graph!$D$27-$Y20)^2)+((Graph!$E$27-$Z20)^2))+(Graph!$D$32^2),3/2))</f>
        <v>-139.17912404294498</v>
      </c>
      <c r="R20">
        <f>Graph!$D$31*((Graph!$E$27-Z20)/POWER((((Graph!$D$27-$Y20)^2)+((Graph!$E$27-$Z20)^2))+(Graph!$D$32^2),3/2))</f>
        <v>175.04849206779301</v>
      </c>
      <c r="S20">
        <f>Graph!$D$40*((Graph!$D$36-Y20)/POWER((((Graph!$D$36-$Y20)^2)+((Graph!$E$36-$Z20)^2))+(Graph!$D$41^2),3/2))</f>
        <v>5112.1423975132211</v>
      </c>
      <c r="T20">
        <f>Graph!$D$40*((Graph!$E$36-Z20)/POWER((((Graph!$D$36-$Y20)^2)+((Graph!$E$36-$Z20)^2))+(Graph!$D$41^2),3/2))</f>
        <v>-6122.1689358037711</v>
      </c>
      <c r="U20">
        <f>O20+Q20+S20</f>
        <v>5368.7851827443583</v>
      </c>
      <c r="V20">
        <f>P20+R20+T20</f>
        <v>-5453.1039558758803</v>
      </c>
      <c r="W20">
        <f>W19+(U19*Graph!$D$5)</f>
        <v>6182.5674855097486</v>
      </c>
      <c r="X20">
        <f>X19+(V19*Graph!$D$5)</f>
        <v>5057.3025593169068</v>
      </c>
      <c r="Y20">
        <f>Y19+(W19*Graph!$D$5)+(U19*Graph!$D$5^2)</f>
        <v>-2567.3463223336357</v>
      </c>
      <c r="Z20">
        <f>Z19+(X19*Graph!$D$5)+(V19*Graph!$D$5^2)</f>
        <v>-11925.412736999098</v>
      </c>
    </row>
    <row r="21" spans="14:26" x14ac:dyDescent="0.35">
      <c r="N21">
        <f>N20+1</f>
        <v>18</v>
      </c>
      <c r="O21">
        <f>Graph!$D$22*((Graph!$D$18-Y21)/POWER((((Graph!$D$18-$Y21)^2)+((Graph!$E$18-$Z21)^2))+(Graph!$D$23^2),(3/2)))</f>
        <v>436.47212146553954</v>
      </c>
      <c r="P21" s="84">
        <f>Graph!$D$22*((Graph!$E$18-Z21)/POWER((((Graph!$D$18-$Y21)^2)+((Graph!$E$18-$Z21)^2))+(Graph!$D$23^2),3/2))</f>
        <v>689.90938311953096</v>
      </c>
      <c r="Q21">
        <f>Graph!$D$31*((Graph!$D$27-Y21)/POWER((((Graph!$D$27-$Y21)^2)+((Graph!$E$27-$Z21)^2))+(Graph!$D$32^2),3/2))</f>
        <v>-140.41802544208969</v>
      </c>
      <c r="R21">
        <f>Graph!$D$31*((Graph!$E$27-Z21)/POWER((((Graph!$D$27-$Y21)^2)+((Graph!$E$27-$Z21)^2))+(Graph!$D$32^2),3/2))</f>
        <v>133.31499313787191</v>
      </c>
      <c r="S21">
        <f>Graph!$D$40*((Graph!$D$36-Y21)/POWER((((Graph!$D$36-$Y21)^2)+((Graph!$E$36-$Z21)^2))+(Graph!$D$41^2),3/2))</f>
        <v>-3085.5049980415056</v>
      </c>
      <c r="T21">
        <f>Graph!$D$40*((Graph!$E$36-Z21)/POWER((((Graph!$D$36-$Y21)^2)+((Graph!$E$36-$Z21)^2))+(Graph!$D$41^2),3/2))</f>
        <v>-7010.4438594088897</v>
      </c>
      <c r="U21">
        <f>O21+Q21+S21</f>
        <v>-2789.4509020180558</v>
      </c>
      <c r="V21">
        <f>P21+R21+T21</f>
        <v>-6187.2194831514871</v>
      </c>
      <c r="W21">
        <f>W20+(U20*Graph!$D$5)</f>
        <v>8866.9600768819273</v>
      </c>
      <c r="X21">
        <f>X20+(V20*Graph!$D$5)</f>
        <v>2330.7505813789667</v>
      </c>
      <c r="Y21">
        <f>Y20+(W20*Graph!$D$5)+(U20*Graph!$D$5^2)</f>
        <v>1866.1337161073282</v>
      </c>
      <c r="Z21">
        <f>Z20+(X20*Graph!$D$5)+(V20*Graph!$D$5^2)</f>
        <v>-10760.037446309614</v>
      </c>
    </row>
    <row r="22" spans="14:26" x14ac:dyDescent="0.35">
      <c r="N22">
        <f>N21+1</f>
        <v>19</v>
      </c>
      <c r="O22">
        <f>Graph!$D$22*((Graph!$D$18-Y22)/POWER((((Graph!$D$18-$Y22)^2)+((Graph!$E$18-$Z22)^2))+(Graph!$D$23^2),(3/2)))</f>
        <v>371.03559934256833</v>
      </c>
      <c r="P22" s="84">
        <f>Graph!$D$22*((Graph!$E$18-Z22)/POWER((((Graph!$D$18-$Y22)^2)+((Graph!$E$18-$Z22)^2))+(Graph!$D$23^2),3/2))</f>
        <v>834.69317103139099</v>
      </c>
      <c r="Q22">
        <f>Graph!$D$31*((Graph!$D$27-Y22)/POWER((((Graph!$D$27-$Y22)^2)+((Graph!$E$27-$Z22)^2))+(Graph!$D$32^2),3/2))</f>
        <v>-123.54966048256964</v>
      </c>
      <c r="R22">
        <f>Graph!$D$31*((Graph!$E$27-Z22)/POWER((((Graph!$D$27-$Y22)^2)+((Graph!$E$27-$Z22)^2))+(Graph!$D$32^2),3/2))</f>
        <v>102.02310219726435</v>
      </c>
      <c r="S22">
        <f>Graph!$D$40*((Graph!$D$36-Y22)/POWER((((Graph!$D$36-$Y22)^2)+((Graph!$E$36-$Z22)^2))+(Graph!$D$41^2),3/2))</f>
        <v>-4874.9382565406595</v>
      </c>
      <c r="T22">
        <f>Graph!$D$40*((Graph!$E$36-Z22)/POWER((((Graph!$D$36-$Y22)^2)+((Graph!$E$36-$Z22)^2))+(Graph!$D$41^2),3/2))</f>
        <v>-3357.5985634292128</v>
      </c>
      <c r="U22">
        <f>O22+Q22+S22</f>
        <v>-4627.4523176806606</v>
      </c>
      <c r="V22">
        <f>P22+R22+T22</f>
        <v>-2420.8822902005577</v>
      </c>
      <c r="W22">
        <f>W21+(U21*Graph!$D$5)</f>
        <v>7472.2346258728994</v>
      </c>
      <c r="X22">
        <f>X21+(V21*Graph!$D$5)</f>
        <v>-762.85916019677688</v>
      </c>
      <c r="Y22">
        <f>Y21+(W21*Graph!$D$5)+(U21*Graph!$D$5^2)</f>
        <v>5602.2510290437776</v>
      </c>
      <c r="Z22">
        <f>Z21+(X21*Graph!$D$5)+(V21*Graph!$D$5^2)</f>
        <v>-11141.467026408003</v>
      </c>
    </row>
    <row r="23" spans="14:26" x14ac:dyDescent="0.35">
      <c r="N23">
        <f>N22+1</f>
        <v>20</v>
      </c>
      <c r="O23">
        <f>Graph!$D$22*((Graph!$D$18-Y23)/POWER((((Graph!$D$18-$Y23)^2)+((Graph!$E$18-$Z23)^2))+(Graph!$D$23^2),(3/2)))</f>
        <v>268.5801885569349</v>
      </c>
      <c r="P23" s="84">
        <f>Graph!$D$22*((Graph!$E$18-Z23)/POWER((((Graph!$D$18-$Y23)^2)+((Graph!$E$18-$Z23)^2))+(Graph!$D$23^2),3/2))</f>
        <v>871.62549994023584</v>
      </c>
      <c r="Q23">
        <f>Graph!$D$31*((Graph!$D$27-Y23)/POWER((((Graph!$D$27-$Y23)^2)+((Graph!$E$27-$Z23)^2))+(Graph!$D$32^2),3/2))</f>
        <v>-108.46728168049746</v>
      </c>
      <c r="R23">
        <f>Graph!$D$31*((Graph!$E$27-Z23)/POWER((((Graph!$D$27-$Y23)^2)+((Graph!$E$27-$Z23)^2))+(Graph!$D$32^2),3/2))</f>
        <v>85.168506676912088</v>
      </c>
      <c r="S23">
        <f>Graph!$D$40*((Graph!$D$36-Y23)/POWER((((Graph!$D$36-$Y23)^2)+((Graph!$E$36-$Z23)^2))+(Graph!$D$41^2),3/2))</f>
        <v>-4271.982626223471</v>
      </c>
      <c r="T23">
        <f>Graph!$D$40*((Graph!$E$36-Z23)/POWER((((Graph!$D$36-$Y23)^2)+((Graph!$E$36-$Z23)^2))+(Graph!$D$41^2),3/2))</f>
        <v>-1499.557003497079</v>
      </c>
      <c r="U23">
        <f>O23+Q23+S23</f>
        <v>-4111.8697193470334</v>
      </c>
      <c r="V23">
        <f>P23+R23+T23</f>
        <v>-542.76299687993105</v>
      </c>
      <c r="W23">
        <f>W22+(U22*Graph!$D$5)</f>
        <v>5158.5084670325687</v>
      </c>
      <c r="X23">
        <f>X22+(V22*Graph!$D$5)</f>
        <v>-1973.3003052970557</v>
      </c>
      <c r="Y23">
        <f>Y22+(W22*Graph!$D$5)+(U22*Graph!$D$5^2)</f>
        <v>8181.505262560062</v>
      </c>
      <c r="Z23">
        <f>Z22+(X22*Graph!$D$5)+(V22*Graph!$D$5^2)</f>
        <v>-12128.117179056531</v>
      </c>
    </row>
    <row r="24" spans="14:26" x14ac:dyDescent="0.35">
      <c r="N24">
        <f>N23+1</f>
        <v>21</v>
      </c>
      <c r="O24">
        <f>Graph!$D$22*((Graph!$D$18-Y24)/POWER((((Graph!$D$18-$Y24)^2)+((Graph!$E$18-$Z24)^2))+(Graph!$D$23^2),(3/2)))</f>
        <v>190.82602773912592</v>
      </c>
      <c r="P24" s="84">
        <f>Graph!$D$22*((Graph!$E$18-Z24)/POWER((((Graph!$D$18-$Y24)^2)+((Graph!$E$18-$Z24)^2))+(Graph!$D$23^2),3/2))</f>
        <v>842.34239743226351</v>
      </c>
      <c r="Q24">
        <f>Graph!$D$31*((Graph!$D$27-Y24)/POWER((((Graph!$D$27-$Y24)^2)+((Graph!$E$27-$Z24)^2))+(Graph!$D$32^2),3/2))</f>
        <v>-98.039476708434606</v>
      </c>
      <c r="R24">
        <f>Graph!$D$31*((Graph!$E$27-Z24)/POWER((((Graph!$D$27-$Y24)^2)+((Graph!$E$27-$Z24)^2))+(Graph!$D$32^2),3/2))</f>
        <v>76.664940796916468</v>
      </c>
      <c r="S24">
        <f>Graph!$D$40*((Graph!$D$36-Y24)/POWER((((Graph!$D$36-$Y24)^2)+((Graph!$E$36-$Z24)^2))+(Graph!$D$41^2),3/2))</f>
        <v>-3745.4279340661528</v>
      </c>
      <c r="T24">
        <f>Graph!$D$40*((Graph!$E$36-Z24)/POWER((((Graph!$D$36-$Y24)^2)+((Graph!$E$36-$Z24)^2))+(Graph!$D$41^2),3/2))</f>
        <v>-673.26858838923295</v>
      </c>
      <c r="U24">
        <f>O24+Q24+S24</f>
        <v>-3652.6413830354613</v>
      </c>
      <c r="V24">
        <f>P24+R24+T24</f>
        <v>245.73874983994699</v>
      </c>
      <c r="W24">
        <f>W23+(U23*Graph!$D$5)</f>
        <v>3102.5736073590519</v>
      </c>
      <c r="X24">
        <f>X23+(V23*Graph!$D$5)</f>
        <v>-2244.6818037370213</v>
      </c>
      <c r="Y24">
        <f>Y23+(W23*Graph!$D$5)+(U23*Graph!$D$5^2)</f>
        <v>9732.7920662395863</v>
      </c>
      <c r="Z24">
        <f>Z23+(X23*Graph!$D$5)+(V23*Graph!$D$5^2)</f>
        <v>-13250.458080925042</v>
      </c>
    </row>
    <row r="25" spans="14:26" x14ac:dyDescent="0.35">
      <c r="N25">
        <f>N24+1</f>
        <v>22</v>
      </c>
      <c r="O25">
        <f>Graph!$D$22*((Graph!$D$18-Y25)/POWER((((Graph!$D$18-$Y25)^2)+((Graph!$E$18-$Z25)^2))+(Graph!$D$23^2),(3/2)))</f>
        <v>150.59237161990228</v>
      </c>
      <c r="P25" s="84">
        <f>Graph!$D$22*((Graph!$E$18-Z25)/POWER((((Graph!$D$18-$Y25)^2)+((Graph!$E$18-$Z25)^2))+(Graph!$D$23^2),3/2))</f>
        <v>790.89254005526891</v>
      </c>
      <c r="Q25">
        <f>Graph!$D$31*((Graph!$D$27-Y25)/POWER((((Graph!$D$27-$Y25)^2)+((Graph!$E$27-$Z25)^2))+(Graph!$D$32^2),3/2))</f>
        <v>-91.527858394298406</v>
      </c>
      <c r="R25">
        <f>Graph!$D$31*((Graph!$E$27-Z25)/POWER((((Graph!$D$27-$Y25)^2)+((Graph!$E$27-$Z25)^2))+(Graph!$D$32^2),3/2))</f>
        <v>73.266375095812762</v>
      </c>
      <c r="S25">
        <f>Graph!$D$40*((Graph!$D$36-Y25)/POWER((((Graph!$D$36-$Y25)^2)+((Graph!$E$36-$Z25)^2))+(Graph!$D$41^2),3/2))</f>
        <v>-3539.0819956572782</v>
      </c>
      <c r="T25">
        <f>Graph!$D$40*((Graph!$E$36-Z25)/POWER((((Graph!$D$36-$Y25)^2)+((Graph!$E$36-$Z25)^2))+(Graph!$D$41^2),3/2))</f>
        <v>-234.9973358940336</v>
      </c>
      <c r="U25">
        <f>O25+Q25+S25</f>
        <v>-3480.0174824316741</v>
      </c>
      <c r="V25">
        <f>P25+R25+T25</f>
        <v>629.16157925704806</v>
      </c>
      <c r="W25">
        <f>W24+(U24*Graph!$D$5)</f>
        <v>1276.2529158413213</v>
      </c>
      <c r="X25">
        <f>X24+(V24*Graph!$D$5)</f>
        <v>-2121.8124288170479</v>
      </c>
      <c r="Y25">
        <f>Y24+(W24*Graph!$D$5)+(U24*Graph!$D$5^2)</f>
        <v>10370.918524160246</v>
      </c>
      <c r="Z25">
        <f>Z24+(X24*Graph!$D$5)+(V24*Graph!$D$5^2)</f>
        <v>-14311.364295333566</v>
      </c>
    </row>
    <row r="26" spans="14:26" x14ac:dyDescent="0.35">
      <c r="N26">
        <f>N25+1</f>
        <v>23</v>
      </c>
      <c r="O26">
        <f>Graph!$D$22*((Graph!$D$18-Y26)/POWER((((Graph!$D$18-$Y26)^2)+((Graph!$E$18-$Z26)^2))+(Graph!$D$23^2),(3/2)))</f>
        <v>142.14534066445049</v>
      </c>
      <c r="P26" s="84">
        <f>Graph!$D$22*((Graph!$E$18-Z26)/POWER((((Graph!$D$18-$Y26)^2)+((Graph!$E$18-$Z26)^2))+(Graph!$D$23^2),3/2))</f>
        <v>737.34249801454496</v>
      </c>
      <c r="Q26">
        <f>Graph!$D$31*((Graph!$D$27-Y26)/POWER((((Graph!$D$27-$Y26)^2)+((Graph!$E$27-$Z26)^2))+(Graph!$D$32^2),3/2))</f>
        <v>-88.1530629184508</v>
      </c>
      <c r="R26">
        <f>Graph!$D$31*((Graph!$E$27-Z26)/POWER((((Graph!$D$27-$Y26)^2)+((Graph!$E$27-$Z26)^2))+(Graph!$D$32^2),3/2))</f>
        <v>73.750779170873045</v>
      </c>
      <c r="S26">
        <f>Graph!$D$40*((Graph!$D$36-Y26)/POWER((((Graph!$D$36-$Y26)^2)+((Graph!$E$36-$Z26)^2))+(Graph!$D$41^2),3/2))</f>
        <v>-3672.5095076678617</v>
      </c>
      <c r="T26">
        <f>Graph!$D$40*((Graph!$E$36-Z26)/POWER((((Graph!$D$36-$Y26)^2)+((Graph!$E$36-$Z26)^2))+(Graph!$D$41^2),3/2))</f>
        <v>77.868956865464085</v>
      </c>
      <c r="U26">
        <f>O26+Q26+S26</f>
        <v>-3618.5172299218621</v>
      </c>
      <c r="V26">
        <f>P26+R26+T26</f>
        <v>888.96223405088199</v>
      </c>
      <c r="W26">
        <f>W25+(U25*Graph!$D$5)</f>
        <v>-463.75582537451578</v>
      </c>
      <c r="X26">
        <f>X25+(V25*Graph!$D$5)</f>
        <v>-1807.2316391885238</v>
      </c>
      <c r="Y26">
        <f>Y25+(W25*Graph!$D$5)+(U25*Graph!$D$5^2)</f>
        <v>10139.040611472989</v>
      </c>
      <c r="Z26">
        <f>Z25+(X25*Graph!$D$5)+(V25*Graph!$D$5^2)</f>
        <v>-15214.980114927828</v>
      </c>
    </row>
    <row r="27" spans="14:26" x14ac:dyDescent="0.35">
      <c r="N27">
        <f>N26+1</f>
        <v>24</v>
      </c>
      <c r="O27">
        <f>Graph!$D$22*((Graph!$D$18-Y27)/POWER((((Graph!$D$18-$Y27)^2)+((Graph!$E$18-$Z27)^2))+(Graph!$D$23^2),(3/2)))</f>
        <v>158.69530683320346</v>
      </c>
      <c r="P27" s="84">
        <f>Graph!$D$22*((Graph!$E$18-Z27)/POWER((((Graph!$D$18-$Y27)^2)+((Graph!$E$18-$Z27)^2))+(Graph!$D$23^2),3/2))</f>
        <v>685.22766867924076</v>
      </c>
      <c r="Q27">
        <f>Graph!$D$31*((Graph!$D$27-Y27)/POWER((((Graph!$D$27-$Y27)^2)+((Graph!$E$27-$Z27)^2))+(Graph!$D$32^2),3/2))</f>
        <v>-87.547442303746763</v>
      </c>
      <c r="R27">
        <f>Graph!$D$31*((Graph!$E$27-Z27)/POWER((((Graph!$D$27-$Y27)^2)+((Graph!$E$27-$Z27)^2))+(Graph!$D$32^2),3/2))</f>
        <v>78.171091041246044</v>
      </c>
      <c r="S27">
        <f>Graph!$D$40*((Graph!$D$36-Y27)/POWER((((Graph!$D$36-$Y27)^2)+((Graph!$E$36-$Z27)^2))+(Graph!$D$41^2),3/2))</f>
        <v>-4267.8318670424887</v>
      </c>
      <c r="T27">
        <f>Graph!$D$40*((Graph!$E$36-Z27)/POWER((((Graph!$D$36-$Y27)^2)+((Graph!$E$36-$Z27)^2))+(Graph!$D$41^2),3/2))</f>
        <v>424.93527895407152</v>
      </c>
      <c r="U27">
        <f>O27+Q27+S27</f>
        <v>-4196.6840025130323</v>
      </c>
      <c r="V27">
        <f>P27+R27+T27</f>
        <v>1188.3340386745583</v>
      </c>
      <c r="W27">
        <f>W26+(U26*Graph!$D$5)</f>
        <v>-2273.014440335447</v>
      </c>
      <c r="X27">
        <f>X26+(V26*Graph!$D$5)</f>
        <v>-1362.7505221630827</v>
      </c>
      <c r="Y27">
        <f>Y26+(W26*Graph!$D$5)+(U26*Graph!$D$5^2)</f>
        <v>9002.5333913052655</v>
      </c>
      <c r="Z27">
        <f>Z26+(X26*Graph!$D$5)+(V26*Graph!$D$5^2)</f>
        <v>-15896.355376009371</v>
      </c>
    </row>
    <row r="28" spans="14:26" x14ac:dyDescent="0.35">
      <c r="N28">
        <f>N27+1</f>
        <v>25</v>
      </c>
      <c r="O28">
        <f>Graph!$D$22*((Graph!$D$18-Y28)/POWER((((Graph!$D$18-$Y28)^2)+((Graph!$E$18-$Z28)^2))+(Graph!$D$23^2),(3/2)))</f>
        <v>195.69462690072834</v>
      </c>
      <c r="P28" s="84">
        <f>Graph!$D$22*((Graph!$E$18-Z28)/POWER((((Graph!$D$18-$Y28)^2)+((Graph!$E$18-$Z28)^2))+(Graph!$D$23^2),3/2))</f>
        <v>628.48471357565813</v>
      </c>
      <c r="Q28">
        <f>Graph!$D$31*((Graph!$D$27-Y28)/POWER((((Graph!$D$27-$Y28)^2)+((Graph!$E$27-$Z28)^2))+(Graph!$D$32^2),3/2))</f>
        <v>-89.809214430978173</v>
      </c>
      <c r="R28">
        <f>Graph!$D$31*((Graph!$E$27-Z28)/POWER((((Graph!$D$27-$Y28)^2)+((Graph!$E$27-$Z28)^2))+(Graph!$D$32^2),3/2))</f>
        <v>88.013462363294465</v>
      </c>
      <c r="S28">
        <f>Graph!$D$40*((Graph!$D$36-Y28)/POWER((((Graph!$D$36-$Y28)^2)+((Graph!$E$36-$Z28)^2))+(Graph!$D$41^2),3/2))</f>
        <v>-5709.8057277540292</v>
      </c>
      <c r="T28">
        <f>Graph!$D$40*((Graph!$E$36-Z28)/POWER((((Graph!$D$36-$Y28)^2)+((Graph!$E$36-$Z28)^2))+(Graph!$D$41^2),3/2))</f>
        <v>1072.6715062132023</v>
      </c>
      <c r="U28">
        <f>O28+Q28+S28</f>
        <v>-5603.9203152842792</v>
      </c>
      <c r="V28">
        <f>P28+R28+T28</f>
        <v>1789.169682152155</v>
      </c>
      <c r="W28">
        <f>W27+(U27*Graph!$D$5)</f>
        <v>-4371.3564415919627</v>
      </c>
      <c r="X28">
        <f>X27+(V27*Graph!$D$5)</f>
        <v>-768.58350282580352</v>
      </c>
      <c r="Y28">
        <f>Y27+(W27*Graph!$D$5)+(U27*Graph!$D$5^2)</f>
        <v>6816.8551705092841</v>
      </c>
      <c r="Z28">
        <f>Z27+(X27*Graph!$D$5)+(V27*Graph!$D$5^2)</f>
        <v>-16280.647127422275</v>
      </c>
    </row>
    <row r="29" spans="14:26" x14ac:dyDescent="0.35">
      <c r="N29">
        <f>N28+1</f>
        <v>26</v>
      </c>
      <c r="O29">
        <f>Graph!$D$22*((Graph!$D$18-Y29)/POWER((((Graph!$D$18-$Y29)^2)+((Graph!$E$18-$Z29)^2))+(Graph!$D$23^2),(3/2)))</f>
        <v>248.28769802603392</v>
      </c>
      <c r="P29" s="84">
        <f>Graph!$D$22*((Graph!$E$18-Z29)/POWER((((Graph!$D$18-$Y29)^2)+((Graph!$E$18-$Z29)^2))+(Graph!$D$23^2),3/2))</f>
        <v>553.06949618319277</v>
      </c>
      <c r="Q29">
        <f>Graph!$D$31*((Graph!$D$27-Y29)/POWER((((Graph!$D$27-$Y29)^2)+((Graph!$E$27-$Z29)^2))+(Graph!$D$32^2),3/2))</f>
        <v>-95.632067400561368</v>
      </c>
      <c r="R29">
        <f>Graph!$D$31*((Graph!$E$27-Z29)/POWER((((Graph!$D$27-$Y29)^2)+((Graph!$E$27-$Z29)^2))+(Graph!$D$32^2),3/2))</f>
        <v>107.93054174782212</v>
      </c>
      <c r="S29">
        <f>Graph!$D$40*((Graph!$D$36-Y29)/POWER((((Graph!$D$36-$Y29)^2)+((Graph!$E$36-$Z29)^2))+(Graph!$D$41^2),3/2))</f>
        <v>-7540.3399929963634</v>
      </c>
      <c r="T29">
        <f>Graph!$D$40*((Graph!$E$36-Z29)/POWER((((Graph!$D$36-$Y29)^2)+((Graph!$E$36-$Z29)^2))+(Graph!$D$41^2),3/2))</f>
        <v>2842.3865955551514</v>
      </c>
      <c r="U29">
        <f>O29+Q29+S29</f>
        <v>-7387.684362370891</v>
      </c>
      <c r="V29">
        <f>P29+R29+T29</f>
        <v>3503.3866334861664</v>
      </c>
      <c r="W29">
        <f>W28+(U28*Graph!$D$5)</f>
        <v>-7173.3165992341019</v>
      </c>
      <c r="X29">
        <f>X28+(V28*Graph!$D$5)</f>
        <v>126.00133825027399</v>
      </c>
      <c r="Y29">
        <f>Y28+(W28*Graph!$D$5)+(U28*Graph!$D$5^2)</f>
        <v>3230.1968708922332</v>
      </c>
      <c r="Z29">
        <f>Z28+(X28*Graph!$D$5)+(V28*Graph!$D$5^2)</f>
        <v>-16217.646458297137</v>
      </c>
    </row>
    <row r="30" spans="14:26" x14ac:dyDescent="0.35">
      <c r="N30">
        <f>N29+1</f>
        <v>27</v>
      </c>
      <c r="O30">
        <f>Graph!$D$22*((Graph!$D$18-Y30)/POWER((((Graph!$D$18-$Y30)^2)+((Graph!$E$18-$Z30)^2))+(Graph!$D$23^2),(3/2)))</f>
        <v>302.84696416237057</v>
      </c>
      <c r="P30" s="84">
        <f>Graph!$D$22*((Graph!$E$18-Z30)/POWER((((Graph!$D$18-$Y30)^2)+((Graph!$E$18-$Z30)^2))+(Graph!$D$23^2),3/2))</f>
        <v>445.00594960536807</v>
      </c>
      <c r="Q30">
        <f>Graph!$D$31*((Graph!$D$27-Y30)/POWER((((Graph!$D$27-$Y30)^2)+((Graph!$E$27-$Z30)^2))+(Graph!$D$32^2),3/2))</f>
        <v>-106.12696219775917</v>
      </c>
      <c r="R30">
        <f>Graph!$D$31*((Graph!$E$27-Z30)/POWER((((Graph!$D$27-$Y30)^2)+((Graph!$E$27-$Z30)^2))+(Graph!$D$32^2),3/2))</f>
        <v>150.74562133344955</v>
      </c>
      <c r="S30">
        <f>Graph!$D$40*((Graph!$D$36-Y30)/POWER((((Graph!$D$36-$Y30)^2)+((Graph!$E$36-$Z30)^2))+(Graph!$D$41^2),3/2))</f>
        <v>7044.8434669769194</v>
      </c>
      <c r="T30">
        <f>Graph!$D$40*((Graph!$E$36-Z30)/POWER((((Graph!$D$36-$Y30)^2)+((Graph!$E$36-$Z30)^2))+(Graph!$D$41^2),3/2))</f>
        <v>891.40047994335441</v>
      </c>
      <c r="U30">
        <f>O30+Q30+S30</f>
        <v>7241.563468941531</v>
      </c>
      <c r="V30">
        <f>P30+R30+T30</f>
        <v>1487.152050882172</v>
      </c>
      <c r="W30">
        <f>W29+(U29*Graph!$D$5)</f>
        <v>-10867.158780419548</v>
      </c>
      <c r="X30">
        <f>X29+(V29*Graph!$D$5)</f>
        <v>1877.6946549933573</v>
      </c>
      <c r="Y30">
        <f>Y29+(W29*Graph!$D$5)+(U29*Graph!$D$5^2)</f>
        <v>-2203.3825193175408</v>
      </c>
      <c r="Z30">
        <f>Z29+(X29*Graph!$D$5)+(V29*Graph!$D$5^2)</f>
        <v>-15278.799130800458</v>
      </c>
    </row>
    <row r="31" spans="14:26" x14ac:dyDescent="0.35">
      <c r="N31">
        <f>N30+1</f>
        <v>28</v>
      </c>
      <c r="O31">
        <f>Graph!$D$22*((Graph!$D$18-Y31)/POWER((((Graph!$D$18-$Y31)^2)+((Graph!$E$18-$Z31)^2))+(Graph!$D$23^2),(3/2)))</f>
        <v>328.34307294753029</v>
      </c>
      <c r="P31" s="84">
        <f>Graph!$D$22*((Graph!$E$18-Z31)/POWER((((Graph!$D$18-$Y31)^2)+((Graph!$E$18-$Z31)^2))+(Graph!$D$23^2),3/2))</f>
        <v>377.87211999175878</v>
      </c>
      <c r="Q31">
        <f>Graph!$D$31*((Graph!$D$27-Y31)/POWER((((Graph!$D$27-$Y31)^2)+((Graph!$E$27-$Z31)^2))+(Graph!$D$32^2),3/2))</f>
        <v>-115.16001112328173</v>
      </c>
      <c r="R31">
        <f>Graph!$D$31*((Graph!$E$27-Z31)/POWER((((Graph!$D$27-$Y31)^2)+((Graph!$E$27-$Z31)^2))+(Graph!$D$32^2),3/2))</f>
        <v>194.74285417905969</v>
      </c>
      <c r="S31">
        <f>Graph!$D$40*((Graph!$D$36-Y31)/POWER((((Graph!$D$36-$Y31)^2)+((Graph!$E$36-$Z31)^2))+(Graph!$D$41^2),3/2))</f>
        <v>6562.0113156553671</v>
      </c>
      <c r="T31">
        <f>Graph!$D$40*((Graph!$E$36-Z31)/POWER((((Graph!$D$36-$Y31)^2)+((Graph!$E$36-$Z31)^2))+(Graph!$D$41^2),3/2))</f>
        <v>-1162.0764310516904</v>
      </c>
      <c r="U31">
        <f>O31+Q31+S31</f>
        <v>6775.1943774796155</v>
      </c>
      <c r="V31">
        <f>P31+R31+T31</f>
        <v>-589.46145688087199</v>
      </c>
      <c r="W31">
        <f>W30+(U30*Graph!$D$5)</f>
        <v>-7246.3770459487823</v>
      </c>
      <c r="X31">
        <f>X30+(V30*Graph!$D$5)</f>
        <v>2621.2706804344434</v>
      </c>
      <c r="Y31">
        <f>Y30+(W30*Graph!$D$5)+(U30*Graph!$D$5^2)</f>
        <v>-5826.5710422919319</v>
      </c>
      <c r="Z31">
        <f>Z30+(X30*Graph!$D$5)+(V30*Graph!$D$5^2)</f>
        <v>-13968.163790583238</v>
      </c>
    </row>
    <row r="32" spans="14:26" x14ac:dyDescent="0.35">
      <c r="N32">
        <f>N31+1</f>
        <v>29</v>
      </c>
      <c r="O32">
        <f>Graph!$D$22*((Graph!$D$18-Y32)/POWER((((Graph!$D$18-$Y32)^2)+((Graph!$E$18-$Z32)^2))+(Graph!$D$23^2),(3/2)))</f>
        <v>343.84052909243377</v>
      </c>
      <c r="P32" s="84">
        <f>Graph!$D$22*((Graph!$E$18-Z32)/POWER((((Graph!$D$18-$Y32)^2)+((Graph!$E$18-$Z32)^2))+(Graph!$D$23^2),3/2))</f>
        <v>344.57989997137935</v>
      </c>
      <c r="Q32">
        <f>Graph!$D$31*((Graph!$D$27-Y32)/POWER((((Graph!$D$27-$Y32)^2)+((Graph!$E$27-$Z32)^2))+(Graph!$D$32^2),3/2))</f>
        <v>-123.40181287737119</v>
      </c>
      <c r="R32">
        <f>Graph!$D$31*((Graph!$E$27-Z32)/POWER((((Graph!$D$27-$Y32)^2)+((Graph!$E$27-$Z32)^2))+(Graph!$D$32^2),3/2))</f>
        <v>229.8396168541062</v>
      </c>
      <c r="S32">
        <f>Graph!$D$40*((Graph!$D$36-Y32)/POWER((((Graph!$D$36-$Y32)^2)+((Graph!$E$36-$Z32)^2))+(Graph!$D$41^2),3/2))</f>
        <v>4758.4211957374546</v>
      </c>
      <c r="T32">
        <f>Graph!$D$40*((Graph!$E$36-Z32)/POWER((((Graph!$D$36-$Y32)^2)+((Graph!$E$36-$Z32)^2))+(Graph!$D$41^2),3/2))</f>
        <v>-1346.7370244334811</v>
      </c>
      <c r="U32">
        <f>O32+Q32+S32</f>
        <v>4978.859911952517</v>
      </c>
      <c r="V32">
        <f>P32+R32+T32</f>
        <v>-772.31750760799559</v>
      </c>
      <c r="W32">
        <f>W31+(U31*Graph!$D$5)</f>
        <v>-3858.7798572089746</v>
      </c>
      <c r="X32">
        <f>X31+(V31*Graph!$D$5)</f>
        <v>2326.5399519940074</v>
      </c>
      <c r="Y32">
        <f>Y31+(W31*Graph!$D$5)+(U31*Graph!$D$5^2)</f>
        <v>-7755.9609708964181</v>
      </c>
      <c r="Z32">
        <f>Z31+(X31*Graph!$D$5)+(V31*Graph!$D$5^2)</f>
        <v>-12804.893814586234</v>
      </c>
    </row>
    <row r="33" spans="14:26" x14ac:dyDescent="0.35">
      <c r="N33">
        <f>N32+1</f>
        <v>30</v>
      </c>
      <c r="O33">
        <f>Graph!$D$22*((Graph!$D$18-Y33)/POWER((((Graph!$D$18-$Y33)^2)+((Graph!$E$18-$Z33)^2))+(Graph!$D$23^2),(3/2)))</f>
        <v>360.10489837973017</v>
      </c>
      <c r="P33" s="84">
        <f>Graph!$D$22*((Graph!$E$18-Z33)/POWER((((Graph!$D$18-$Y33)^2)+((Graph!$E$18-$Z33)^2))+(Graph!$D$23^2),3/2))</f>
        <v>335.43388536442916</v>
      </c>
      <c r="Q33">
        <f>Graph!$D$31*((Graph!$D$27-Y33)/POWER((((Graph!$D$27-$Y33)^2)+((Graph!$E$27-$Z33)^2))+(Graph!$D$32^2),3/2))</f>
        <v>-133.62532532444951</v>
      </c>
      <c r="R33">
        <f>Graph!$D$31*((Graph!$E$27-Z33)/POWER((((Graph!$D$27-$Y33)^2)+((Graph!$E$27-$Z33)^2))+(Graph!$D$32^2),3/2))</f>
        <v>252.40742490002575</v>
      </c>
      <c r="S33">
        <f>Graph!$D$40*((Graph!$D$36-Y33)/POWER((((Graph!$D$36-$Y33)^2)+((Graph!$E$36-$Z33)^2))+(Graph!$D$41^2),3/2))</f>
        <v>4034.5768563369402</v>
      </c>
      <c r="T33">
        <f>Graph!$D$40*((Graph!$E$36-Z33)/POWER((((Graph!$D$36-$Y33)^2)+((Graph!$E$36-$Z33)^2))+(Graph!$D$41^2),3/2))</f>
        <v>-1512.994194864882</v>
      </c>
      <c r="U33">
        <f>O33+Q33+S33</f>
        <v>4261.0564293922207</v>
      </c>
      <c r="V33">
        <f>P33+R33+T33</f>
        <v>-925.15288460042711</v>
      </c>
      <c r="W33">
        <f>W32+(U32*Graph!$D$5)</f>
        <v>-1369.3499012327161</v>
      </c>
      <c r="X33">
        <f>X32+(V32*Graph!$D$5)</f>
        <v>1940.3811981900096</v>
      </c>
      <c r="Y33">
        <f>Y32+(W32*Graph!$D$5)+(U32*Graph!$D$5^2)</f>
        <v>-8440.6359215127759</v>
      </c>
      <c r="Z33">
        <f>Z32+(X32*Graph!$D$5)+(V32*Graph!$D$5^2)</f>
        <v>-11834.703215491229</v>
      </c>
    </row>
    <row r="34" spans="14:26" x14ac:dyDescent="0.35">
      <c r="N34">
        <f>N33+1</f>
        <v>31</v>
      </c>
      <c r="O34">
        <f>Graph!$D$22*((Graph!$D$18-Y34)/POWER((((Graph!$D$18-$Y34)^2)+((Graph!$E$18-$Z34)^2))+(Graph!$D$23^2),(3/2)))</f>
        <v>380.79233250655346</v>
      </c>
      <c r="P34" s="84">
        <f>Graph!$D$22*((Graph!$E$18-Z34)/POWER((((Graph!$D$18-$Y34)^2)+((Graph!$E$18-$Z34)^2))+(Graph!$D$23^2),3/2))</f>
        <v>348.35658786658291</v>
      </c>
      <c r="Q34">
        <f>Graph!$D$31*((Graph!$D$27-Y34)/POWER((((Graph!$D$27-$Y34)^2)+((Graph!$E$27-$Z34)^2))+(Graph!$D$32^2),3/2))</f>
        <v>-145.9608829093593</v>
      </c>
      <c r="R34">
        <f>Graph!$D$31*((Graph!$E$27-Z34)/POWER((((Graph!$D$27-$Y34)^2)+((Graph!$E$27-$Z34)^2))+(Graph!$D$32^2),3/2))</f>
        <v>257.8872509186848</v>
      </c>
      <c r="S34">
        <f>Graph!$D$40*((Graph!$D$36-Y34)/POWER((((Graph!$D$36-$Y34)^2)+((Graph!$E$36-$Z34)^2))+(Graph!$D$41^2),3/2))</f>
        <v>3910.825651107858</v>
      </c>
      <c r="T34">
        <f>Graph!$D$40*((Graph!$E$36-Z34)/POWER((((Graph!$D$36-$Y34)^2)+((Graph!$E$36-$Z34)^2))+(Graph!$D$41^2),3/2))</f>
        <v>-1894.3614940641532</v>
      </c>
      <c r="U34">
        <f>O34+Q34+S34</f>
        <v>4145.6571007050525</v>
      </c>
      <c r="V34">
        <f>P34+R34+T34</f>
        <v>-1288.1176552788856</v>
      </c>
      <c r="W34">
        <f>W33+(U33*Graph!$D$5)</f>
        <v>761.17831346339426</v>
      </c>
      <c r="X34">
        <f>X33+(V33*Graph!$D$5)</f>
        <v>1477.8047558897961</v>
      </c>
      <c r="Y34">
        <f>Y33+(W33*Graph!$D$5)+(U33*Graph!$D$5^2)</f>
        <v>-8060.0467647810783</v>
      </c>
      <c r="Z34">
        <f>Z33+(X33*Graph!$D$5)+(V33*Graph!$D$5^2)</f>
        <v>-11095.800837546331</v>
      </c>
    </row>
    <row r="35" spans="14:26" x14ac:dyDescent="0.35">
      <c r="N35">
        <f>N34+1</f>
        <v>32</v>
      </c>
      <c r="O35">
        <f>Graph!$D$22*((Graph!$D$18-Y35)/POWER((((Graph!$D$18-$Y35)^2)+((Graph!$E$18-$Z35)^2))+(Graph!$D$23^2),(3/2)))</f>
        <v>405.41484806412348</v>
      </c>
      <c r="P35" s="84">
        <f>Graph!$D$22*((Graph!$E$18-Z35)/POWER((((Graph!$D$18-$Y35)^2)+((Graph!$E$18-$Z35)^2))+(Graph!$D$23^2),3/2))</f>
        <v>387.35515486393888</v>
      </c>
      <c r="Q35">
        <f>Graph!$D$31*((Graph!$D$27-Y35)/POWER((((Graph!$D$27-$Y35)^2)+((Graph!$E$27-$Z35)^2))+(Graph!$D$32^2),3/2))</f>
        <v>-156.03653886466537</v>
      </c>
      <c r="R35">
        <f>Graph!$D$31*((Graph!$E$27-Z35)/POWER((((Graph!$D$27-$Y35)^2)+((Graph!$E$27-$Z35)^2))+(Graph!$D$32^2),3/2))</f>
        <v>241.57211954890303</v>
      </c>
      <c r="S35">
        <f>Graph!$D$40*((Graph!$D$36-Y35)/POWER((((Graph!$D$36-$Y35)^2)+((Graph!$E$36-$Z35)^2))+(Graph!$D$41^2),3/2))</f>
        <v>4227.7704788083784</v>
      </c>
      <c r="T35">
        <f>Graph!$D$40*((Graph!$E$36-Z35)/POWER((((Graph!$D$36-$Y35)^2)+((Graph!$E$36-$Z35)^2))+(Graph!$D$41^2),3/2))</f>
        <v>-2750.0198716377558</v>
      </c>
      <c r="U35">
        <f>O35+Q35+S35</f>
        <v>4477.1487880078366</v>
      </c>
      <c r="V35">
        <f>P35+R35+T35</f>
        <v>-2121.0925972249138</v>
      </c>
      <c r="W35">
        <f>W34+(U34*Graph!$D$5)</f>
        <v>2834.0068638159205</v>
      </c>
      <c r="X35">
        <f>X34+(V34*Graph!$D$5)</f>
        <v>833.74592825035324</v>
      </c>
      <c r="Y35">
        <f>Y34+(W34*Graph!$D$5)+(U34*Graph!$D$5^2)</f>
        <v>-6643.0433328731178</v>
      </c>
      <c r="Z35">
        <f>Z34+(X34*Graph!$D$5)+(V34*Graph!$D$5^2)</f>
        <v>-10678.927873421155</v>
      </c>
    </row>
    <row r="36" spans="14:26" x14ac:dyDescent="0.35">
      <c r="N36">
        <f>N35+1</f>
        <v>33</v>
      </c>
      <c r="O36">
        <f>Graph!$D$22*((Graph!$D$18-Y36)/POWER((((Graph!$D$18-$Y36)^2)+((Graph!$E$18-$Z36)^2))+(Graph!$D$23^2),(3/2)))</f>
        <v>424.19900073335333</v>
      </c>
      <c r="P36" s="84">
        <f>Graph!$D$22*((Graph!$E$18-Z36)/POWER((((Graph!$D$18-$Y36)^2)+((Graph!$E$18-$Z36)^2))+(Graph!$D$23^2),3/2))</f>
        <v>461.62133995430969</v>
      </c>
      <c r="Q36">
        <f>Graph!$D$31*((Graph!$D$27-Y36)/POWER((((Graph!$D$27-$Y36)^2)+((Graph!$E$27-$Z36)^2))+(Graph!$D$32^2),3/2))</f>
        <v>-155.06039409720429</v>
      </c>
      <c r="R36">
        <f>Graph!$D$31*((Graph!$E$27-Z36)/POWER((((Graph!$D$27-$Y36)^2)+((Graph!$E$27-$Z36)^2))+(Graph!$D$32^2),3/2))</f>
        <v>202.85763651139953</v>
      </c>
      <c r="S36">
        <f>Graph!$D$40*((Graph!$D$36-Y36)/POWER((((Graph!$D$36-$Y36)^2)+((Graph!$E$36-$Z36)^2))+(Graph!$D$41^2),3/2))</f>
        <v>4676.8844331203227</v>
      </c>
      <c r="T36">
        <f>Graph!$D$40*((Graph!$E$36-Z36)/POWER((((Graph!$D$36-$Y36)^2)+((Graph!$E$36-$Z36)^2))+(Graph!$D$41^2),3/2))</f>
        <v>-4791.8140732967913</v>
      </c>
      <c r="U36">
        <f>O36+Q36+S36</f>
        <v>4946.0230397564719</v>
      </c>
      <c r="V36">
        <f>P36+R36+T36</f>
        <v>-4127.3350968310824</v>
      </c>
      <c r="W36">
        <f>W35+(U35*Graph!$D$5)</f>
        <v>5072.5812578198384</v>
      </c>
      <c r="X36">
        <f>X35+(V35*Graph!$D$5)</f>
        <v>-226.80037036210365</v>
      </c>
      <c r="Y36">
        <f>Y35+(W35*Graph!$D$5)+(U35*Graph!$D$5^2)</f>
        <v>-4106.7527039631987</v>
      </c>
      <c r="Z36">
        <f>Z35+(X35*Graph!$D$5)+(V35*Graph!$D$5^2)</f>
        <v>-10792.328058602207</v>
      </c>
    </row>
    <row r="37" spans="14:26" x14ac:dyDescent="0.35">
      <c r="N37">
        <f>N36+1</f>
        <v>34</v>
      </c>
      <c r="O37">
        <f>Graph!$D$22*((Graph!$D$18-Y37)/POWER((((Graph!$D$18-$Y37)^2)+((Graph!$E$18-$Z37)^2))+(Graph!$D$23^2),(3/2)))</f>
        <v>397.72741872597504</v>
      </c>
      <c r="P37" s="84">
        <f>Graph!$D$22*((Graph!$E$18-Z37)/POWER((((Graph!$D$18-$Y37)^2)+((Graph!$E$18-$Z37)^2))+(Graph!$D$23^2),3/2))</f>
        <v>569.0097020790688</v>
      </c>
      <c r="Q37">
        <f>Graph!$D$31*((Graph!$D$27-Y37)/POWER((((Graph!$D$27-$Y37)^2)+((Graph!$E$27-$Z37)^2))+(Graph!$D$32^2),3/2))</f>
        <v>-135.23632596984771</v>
      </c>
      <c r="R37">
        <f>Graph!$D$31*((Graph!$E$27-Z37)/POWER((((Graph!$D$27-$Y37)^2)+((Graph!$E$27-$Z37)^2))+(Graph!$D$32^2),3/2))</f>
        <v>150.85674249411224</v>
      </c>
      <c r="S37">
        <f>Graph!$D$40*((Graph!$D$36-Y37)/POWER((((Graph!$D$36-$Y37)^2)+((Graph!$E$36-$Z37)^2))+(Graph!$D$41^2),3/2))</f>
        <v>863.27166434013873</v>
      </c>
      <c r="T37">
        <f>Graph!$D$40*((Graph!$E$36-Z37)/POWER((((Graph!$D$36-$Y37)^2)+((Graph!$E$36-$Z37)^2))+(Graph!$D$41^2),3/2))</f>
        <v>-7916.3525707354793</v>
      </c>
      <c r="U37">
        <f>O37+Q37+S37</f>
        <v>1125.7627570962661</v>
      </c>
      <c r="V37">
        <f>P37+R37+T37</f>
        <v>-7196.4861261622982</v>
      </c>
      <c r="W37">
        <f>W36+(U36*Graph!$D$5)</f>
        <v>7545.5927776980743</v>
      </c>
      <c r="X37">
        <f>X36+(V36*Graph!$D$5)</f>
        <v>-2290.4679187776446</v>
      </c>
      <c r="Y37">
        <f>Y36+(W36*Graph!$D$5)+(U36*Graph!$D$5^2)</f>
        <v>-333.9563151141615</v>
      </c>
      <c r="Z37">
        <f>Z36+(X36*Graph!$D$5)+(V36*Graph!$D$5^2)</f>
        <v>-11937.562017991029</v>
      </c>
    </row>
    <row r="38" spans="14:26" x14ac:dyDescent="0.35">
      <c r="N38">
        <f>N37+1</f>
        <v>35</v>
      </c>
      <c r="O38">
        <f>Graph!$D$22*((Graph!$D$18-Y38)/POWER((((Graph!$D$18-$Y38)^2)+((Graph!$E$18-$Z38)^2))+(Graph!$D$23^2),(3/2)))</f>
        <v>275.6935082169141</v>
      </c>
      <c r="P38" s="84">
        <f>Graph!$D$22*((Graph!$E$18-Z38)/POWER((((Graph!$D$18-$Y38)^2)+((Graph!$E$18-$Z38)^2))+(Graph!$D$23^2),3/2))</f>
        <v>608.1519393410033</v>
      </c>
      <c r="Q38">
        <f>Graph!$D$31*((Graph!$D$27-Y38)/POWER((((Graph!$D$27-$Y38)^2)+((Graph!$E$27-$Z38)^2))+(Graph!$D$32^2),3/2))</f>
        <v>-103.25231129854879</v>
      </c>
      <c r="R38">
        <f>Graph!$D$31*((Graph!$E$27-Z38)/POWER((((Graph!$D$27-$Y38)^2)+((Graph!$E$27-$Z38)^2))+(Graph!$D$32^2),3/2))</f>
        <v>108.30881463858226</v>
      </c>
      <c r="S38">
        <f>Graph!$D$40*((Graph!$D$36-Y38)/POWER((((Graph!$D$36-$Y38)^2)+((Graph!$E$36-$Z38)^2))+(Graph!$D$41^2),3/2))</f>
        <v>-8042.9151088469926</v>
      </c>
      <c r="T38">
        <f>Graph!$D$40*((Graph!$E$36-Z38)/POWER((((Graph!$D$36-$Y38)^2)+((Graph!$E$36-$Z38)^2))+(Graph!$D$41^2),3/2))</f>
        <v>-255.28381111377504</v>
      </c>
      <c r="U38">
        <f>O38+Q38+S38</f>
        <v>-7870.4739119286269</v>
      </c>
      <c r="V38">
        <f>P38+R38+T38</f>
        <v>461.17694286581047</v>
      </c>
      <c r="W38">
        <f>W37+(U37*Graph!$D$5)</f>
        <v>8108.4741562462077</v>
      </c>
      <c r="X38">
        <f>X37+(V37*Graph!$D$5)</f>
        <v>-5888.7109818587942</v>
      </c>
      <c r="Y38">
        <f>Y37+(W37*Graph!$D$5)+(U37*Graph!$D$5^2)</f>
        <v>3720.2807630089424</v>
      </c>
      <c r="Z38">
        <f>Z37+(X37*Graph!$D$5)+(V37*Graph!$D$5^2)</f>
        <v>-14881.917508920427</v>
      </c>
    </row>
    <row r="39" spans="14:26" x14ac:dyDescent="0.35">
      <c r="N39">
        <f>N38+1</f>
        <v>36</v>
      </c>
      <c r="O39">
        <f>Graph!$D$22*((Graph!$D$18-Y39)/POWER((((Graph!$D$18-$Y39)^2)+((Graph!$E$18-$Z39)^2))+(Graph!$D$23^2),(3/2)))</f>
        <v>185.20627426924949</v>
      </c>
      <c r="P39" s="84">
        <f>Graph!$D$22*((Graph!$E$18-Z39)/POWER((((Graph!$D$18-$Y39)^2)+((Graph!$E$18-$Z39)^2))+(Graph!$D$23^2),3/2))</f>
        <v>558.27161433293372</v>
      </c>
      <c r="Q39">
        <f>Graph!$D$31*((Graph!$D$27-Y39)/POWER((((Graph!$D$27-$Y39)^2)+((Graph!$E$27-$Z39)^2))+(Graph!$D$32^2),3/2))</f>
        <v>-84.277390672244422</v>
      </c>
      <c r="R39">
        <f>Graph!$D$31*((Graph!$E$27-Z39)/POWER((((Graph!$D$27-$Y39)^2)+((Graph!$E$27-$Z39)^2))+(Graph!$D$32^2),3/2))</f>
        <v>90.4955279730314</v>
      </c>
      <c r="S39">
        <f>Graph!$D$40*((Graph!$D$36-Y39)/POWER((((Graph!$D$36-$Y39)^2)+((Graph!$E$36-$Z39)^2))+(Graph!$D$41^2),3/2))</f>
        <v>-5661.630587204274</v>
      </c>
      <c r="T39">
        <f>Graph!$D$40*((Graph!$E$36-Z39)/POWER((((Graph!$D$36-$Y39)^2)+((Graph!$E$36-$Z39)^2))+(Graph!$D$41^2),3/2))</f>
        <v>2643.1593407110599</v>
      </c>
      <c r="U39">
        <f>O39+Q39+S39</f>
        <v>-5560.7017036072693</v>
      </c>
      <c r="V39">
        <f>P39+R39+T39</f>
        <v>3291.926483017025</v>
      </c>
      <c r="W39">
        <f>W38+(U38*Graph!$D$5)</f>
        <v>4173.2372002818938</v>
      </c>
      <c r="X39">
        <f>X38+(V38*Graph!$D$5)</f>
        <v>-5658.1225104258892</v>
      </c>
      <c r="Y39">
        <f>Y38+(W38*Graph!$D$5)+(U38*Graph!$D$5^2)</f>
        <v>5806.8993631498897</v>
      </c>
      <c r="Z39">
        <f>Z38+(X38*Graph!$D$5)+(V38*Graph!$D$5^2)</f>
        <v>-17710.978764133371</v>
      </c>
    </row>
    <row r="40" spans="14:26" x14ac:dyDescent="0.35">
      <c r="N40">
        <f>N39+1</f>
        <v>37</v>
      </c>
      <c r="O40">
        <f>Graph!$D$22*((Graph!$D$18-Y40)/POWER((((Graph!$D$18-$Y40)^2)+((Graph!$E$18-$Z40)^2))+(Graph!$D$23^2),(3/2)))</f>
        <v>144.9473867151392</v>
      </c>
      <c r="P40" s="84">
        <f>Graph!$D$22*((Graph!$E$18-Z40)/POWER((((Graph!$D$18-$Y40)^2)+((Graph!$E$18-$Z40)^2))+(Graph!$D$23^2),3/2))</f>
        <v>506.95346666516707</v>
      </c>
      <c r="Q40">
        <f>Graph!$D$31*((Graph!$D$27-Y40)/POWER((((Graph!$D$27-$Y40)^2)+((Graph!$E$27-$Z40)^2))+(Graph!$D$32^2),3/2))</f>
        <v>-74.527683952374304</v>
      </c>
      <c r="R40">
        <f>Graph!$D$31*((Graph!$E$27-Z40)/POWER((((Graph!$D$27-$Y40)^2)+((Graph!$E$27-$Z40)^2))+(Graph!$D$32^2),3/2))</f>
        <v>83.564687480460904</v>
      </c>
      <c r="S40">
        <f>Graph!$D$40*((Graph!$D$36-Y40)/POWER((((Graph!$D$36-$Y40)^2)+((Graph!$E$36-$Z40)^2))+(Graph!$D$41^2),3/2))</f>
        <v>-4018.6460653302611</v>
      </c>
      <c r="T40">
        <f>Graph!$D$40*((Graph!$E$36-Z40)/POWER((((Graph!$D$36-$Y40)^2)+((Graph!$E$36-$Z40)^2))+(Graph!$D$41^2),3/2))</f>
        <v>2914.8377260542743</v>
      </c>
      <c r="U40">
        <f>O40+Q40+S40</f>
        <v>-3948.2263625674964</v>
      </c>
      <c r="V40">
        <f>P40+R40+T40</f>
        <v>3505.3558801999025</v>
      </c>
      <c r="W40">
        <f>W39+(U39*Graph!$D$5)</f>
        <v>1392.8863484782592</v>
      </c>
      <c r="X40">
        <f>X39+(V39*Graph!$D$5)</f>
        <v>-4012.1592689173767</v>
      </c>
      <c r="Y40">
        <f>Y39+(W39*Graph!$D$5)+(U39*Graph!$D$5^2)</f>
        <v>6503.3425373890195</v>
      </c>
      <c r="Z40">
        <f>Z39+(X39*Graph!$D$5)+(V39*Graph!$D$5^2)</f>
        <v>-19717.05839859206</v>
      </c>
    </row>
    <row r="41" spans="14:26" x14ac:dyDescent="0.35">
      <c r="N41">
        <f>N40+1</f>
        <v>38</v>
      </c>
      <c r="O41">
        <f>Graph!$D$22*((Graph!$D$18-Y41)/POWER((((Graph!$D$18-$Y41)^2)+((Graph!$E$18-$Z41)^2))+(Graph!$D$23^2),(3/2)))</f>
        <v>134.509119981309</v>
      </c>
      <c r="P41" s="84">
        <f>Graph!$D$22*((Graph!$E$18-Z41)/POWER((((Graph!$D$18-$Y41)^2)+((Graph!$E$18-$Z41)^2))+(Graph!$D$23^2),3/2))</f>
        <v>472.18025406657318</v>
      </c>
      <c r="Q41">
        <f>Graph!$D$31*((Graph!$D$27-Y41)/POWER((((Graph!$D$27-$Y41)^2)+((Graph!$E$27-$Z41)^2))+(Graph!$D$32^2),3/2))</f>
        <v>-70.182827714319814</v>
      </c>
      <c r="R41">
        <f>Graph!$D$31*((Graph!$E$27-Z41)/POWER((((Graph!$D$27-$Y41)^2)+((Graph!$E$27-$Z41)^2))+(Graph!$D$32^2),3/2))</f>
        <v>82.590239809999943</v>
      </c>
      <c r="S41">
        <f>Graph!$D$40*((Graph!$D$36-Y41)/POWER((((Graph!$D$36-$Y41)^2)+((Graph!$E$36-$Z41)^2))+(Graph!$D$41^2),3/2))</f>
        <v>-3364.229300551121</v>
      </c>
      <c r="T41">
        <f>Graph!$D$40*((Graph!$E$36-Z41)/POWER((((Graph!$D$36-$Y41)^2)+((Graph!$E$36-$Z41)^2))+(Graph!$D$41^2),3/2))</f>
        <v>3166.0760253876028</v>
      </c>
      <c r="U41">
        <f>O41+Q41+S41</f>
        <v>-3299.9030082841318</v>
      </c>
      <c r="V41">
        <f>P41+R41+T41</f>
        <v>3720.8465192641761</v>
      </c>
      <c r="W41">
        <f>W40+(U40*Graph!$D$5)</f>
        <v>-581.22683280548904</v>
      </c>
      <c r="X41">
        <f>X40+(V40*Graph!$D$5)</f>
        <v>-2259.4813288174255</v>
      </c>
      <c r="Y41">
        <f>Y40+(W40*Graph!$D$5)+(U40*Graph!$D$5^2)</f>
        <v>6212.7291209862751</v>
      </c>
      <c r="Z41">
        <f>Z40+(X40*Graph!$D$5)+(V40*Graph!$D$5^2)</f>
        <v>-20846.799063000773</v>
      </c>
    </row>
    <row r="42" spans="14:26" x14ac:dyDescent="0.35">
      <c r="N42">
        <f>N41+1</f>
        <v>39</v>
      </c>
      <c r="O42">
        <f>Graph!$D$22*((Graph!$D$18-Y42)/POWER((((Graph!$D$18-$Y42)^2)+((Graph!$E$18-$Z42)^2))+(Graph!$D$23^2),(3/2)))</f>
        <v>144.69390322022068</v>
      </c>
      <c r="P42" s="84">
        <f>Graph!$D$22*((Graph!$E$18-Z42)/POWER((((Graph!$D$18-$Y42)^2)+((Graph!$E$18-$Z42)^2))+(Graph!$D$23^2),3/2))</f>
        <v>453.62797934684971</v>
      </c>
      <c r="Q42">
        <f>Graph!$D$31*((Graph!$D$27-Y42)/POWER((((Graph!$D$27-$Y42)^2)+((Graph!$E$27-$Z42)^2))+(Graph!$D$32^2),3/2))</f>
        <v>-70.032937931852075</v>
      </c>
      <c r="R42">
        <f>Graph!$D$31*((Graph!$E$27-Z42)/POWER((((Graph!$D$27-$Y42)^2)+((Graph!$E$27-$Z42)^2))+(Graph!$D$32^2),3/2))</f>
        <v>86.633997849344937</v>
      </c>
      <c r="S42">
        <f>Graph!$D$40*((Graph!$D$36-Y42)/POWER((((Graph!$D$36-$Y42)^2)+((Graph!$E$36-$Z42)^2))+(Graph!$D$41^2),3/2))</f>
        <v>-3258.5426550782436</v>
      </c>
      <c r="T42">
        <f>Graph!$D$40*((Graph!$E$36-Z42)/POWER((((Graph!$D$36-$Y42)^2)+((Graph!$E$36-$Z42)^2))+(Graph!$D$41^2),3/2))</f>
        <v>3865.347664800659</v>
      </c>
      <c r="U42">
        <f>O42+Q42+S42</f>
        <v>-3183.8816897898751</v>
      </c>
      <c r="V42">
        <f>P42+R42+T42</f>
        <v>4405.6096419968535</v>
      </c>
      <c r="W42">
        <f>W41+(U41*Graph!$D$5)</f>
        <v>-2231.1783369475552</v>
      </c>
      <c r="X42">
        <f>X41+(V41*Graph!$D$5)</f>
        <v>-399.05806918533744</v>
      </c>
      <c r="Y42">
        <f>Y41+(W41*Graph!$D$5)+(U41*Graph!$D$5^2)</f>
        <v>5097.139952512498</v>
      </c>
      <c r="Z42">
        <f>Z41+(X41*Graph!$D$5)+(V41*Graph!$D$5^2)</f>
        <v>-21046.328097593443</v>
      </c>
    </row>
    <row r="43" spans="14:26" x14ac:dyDescent="0.35">
      <c r="N43">
        <f>N42+1</f>
        <v>40</v>
      </c>
      <c r="O43">
        <f>Graph!$D$22*((Graph!$D$18-Y43)/POWER((((Graph!$D$18-$Y43)^2)+((Graph!$E$18-$Z43)^2))+(Graph!$D$23^2),(3/2)))</f>
        <v>175.93341869235326</v>
      </c>
      <c r="P43" s="84">
        <f>Graph!$D$22*((Graph!$E$18-Z43)/POWER((((Graph!$D$18-$Y43)^2)+((Graph!$E$18-$Z43)^2))+(Graph!$D$23^2),3/2))</f>
        <v>448.89356702395997</v>
      </c>
      <c r="Q43">
        <f>Graph!$D$31*((Graph!$D$27-Y43)/POWER((((Graph!$D$27-$Y43)^2)+((Graph!$E$27-$Z43)^2))+(Graph!$D$32^2),3/2))</f>
        <v>-74.756148024696813</v>
      </c>
      <c r="R43">
        <f>Graph!$D$31*((Graph!$E$27-Z43)/POWER((((Graph!$D$27-$Y43)^2)+((Graph!$E$27-$Z43)^2))+(Graph!$D$32^2),3/2))</f>
        <v>97.193310848982236</v>
      </c>
      <c r="S43">
        <f>Graph!$D$40*((Graph!$D$36-Y43)/POWER((((Graph!$D$36-$Y43)^2)+((Graph!$E$36-$Z43)^2))+(Graph!$D$41^2),3/2))</f>
        <v>-3448.8562662950853</v>
      </c>
      <c r="T43">
        <f>Graph!$D$40*((Graph!$E$36-Z43)/POWER((((Graph!$D$36-$Y43)^2)+((Graph!$E$36-$Z43)^2))+(Graph!$D$41^2),3/2))</f>
        <v>5569.6240212563744</v>
      </c>
      <c r="U43">
        <f>O43+Q43+S43</f>
        <v>-3347.6789956274288</v>
      </c>
      <c r="V43">
        <f>P43+R43+T43</f>
        <v>6115.7108991293162</v>
      </c>
      <c r="W43">
        <f>W42+(U42*Graph!$D$5)</f>
        <v>-3823.1191818424927</v>
      </c>
      <c r="X43">
        <f>X42+(V42*Graph!$D$5)</f>
        <v>1803.7467518130893</v>
      </c>
      <c r="Y43">
        <f>Y42+(W42*Graph!$D$5)+(U42*Graph!$D$5^2)</f>
        <v>3185.5803615912519</v>
      </c>
      <c r="Z43">
        <f>Z42+(X42*Graph!$D$5)+(V42*Graph!$D$5^2)</f>
        <v>-20144.4547216869</v>
      </c>
    </row>
    <row r="44" spans="14:26" x14ac:dyDescent="0.35">
      <c r="N44">
        <f>N43+1</f>
        <v>41</v>
      </c>
      <c r="O44">
        <f>Graph!$D$22*((Graph!$D$18-Y44)/POWER((((Graph!$D$18-$Y44)^2)+((Graph!$E$18-$Z44)^2))+(Graph!$D$23^2),(3/2)))</f>
        <v>239.28561457213502</v>
      </c>
      <c r="P44" s="84">
        <f>Graph!$D$22*((Graph!$E$18-Z44)/POWER((((Graph!$D$18-$Y44)^2)+((Graph!$E$18-$Z44)^2))+(Graph!$D$23^2),3/2))</f>
        <v>455.36803136861897</v>
      </c>
      <c r="Q44">
        <f>Graph!$D$31*((Graph!$D$27-Y44)/POWER((((Graph!$D$27-$Y44)^2)+((Graph!$E$27-$Z44)^2))+(Graph!$D$32^2),3/2))</f>
        <v>-88.520161695818757</v>
      </c>
      <c r="R44">
        <f>Graph!$D$31*((Graph!$E$27-Z44)/POWER((((Graph!$D$27-$Y44)^2)+((Graph!$E$27-$Z44)^2))+(Graph!$D$32^2),3/2))</f>
        <v>120.03743080294342</v>
      </c>
      <c r="S44">
        <f>Graph!$D$40*((Graph!$D$36-Y44)/POWER((((Graph!$D$36-$Y44)^2)+((Graph!$E$36-$Z44)^2))+(Graph!$D$41^2),3/2))</f>
        <v>-1232.1240343689906</v>
      </c>
      <c r="T44">
        <f>Graph!$D$40*((Graph!$E$36-Z44)/POWER((((Graph!$D$36-$Y44)^2)+((Graph!$E$36-$Z44)^2))+(Graph!$D$41^2),3/2))</f>
        <v>7649.3938035127248</v>
      </c>
      <c r="U44">
        <f>O44+Q44+S44</f>
        <v>-1081.3585814926744</v>
      </c>
      <c r="V44">
        <f>P44+R44+T44</f>
        <v>8224.7992656842871</v>
      </c>
      <c r="W44">
        <f>W43+(U43*Graph!$D$5)</f>
        <v>-5496.9586796562071</v>
      </c>
      <c r="X44">
        <f>X43+(V43*Graph!$D$5)</f>
        <v>4861.6022013777474</v>
      </c>
      <c r="Y44">
        <f>Y43+(W43*Graph!$D$5)+(U43*Graph!$D$5^2)</f>
        <v>437.10102176314831</v>
      </c>
      <c r="Z44">
        <f>Z43+(X43*Graph!$D$5)+(V43*Graph!$D$5^2)</f>
        <v>-17713.653620998026</v>
      </c>
    </row>
    <row r="45" spans="14:26" x14ac:dyDescent="0.35">
      <c r="N45">
        <f>N44+1</f>
        <v>42</v>
      </c>
      <c r="O45">
        <f>Graph!$D$22*((Graph!$D$18-Y45)/POWER((((Graph!$D$18-$Y45)^2)+((Graph!$E$18-$Z45)^2))+(Graph!$D$23^2),(3/2)))</f>
        <v>356.52937398840049</v>
      </c>
      <c r="P45" s="84">
        <f>Graph!$D$22*((Graph!$E$18-Z45)/POWER((((Graph!$D$18-$Y45)^2)+((Graph!$E$18-$Z45)^2))+(Graph!$D$23^2),3/2))</f>
        <v>470.9997035320348</v>
      </c>
      <c r="Q45">
        <f>Graph!$D$31*((Graph!$D$27-Y45)/POWER((((Graph!$D$27-$Y45)^2)+((Graph!$E$27-$Z45)^2))+(Graph!$D$32^2),3/2))</f>
        <v>-125.09917894488638</v>
      </c>
      <c r="R45">
        <f>Graph!$D$31*((Graph!$E$27-Z45)/POWER((((Graph!$D$27-$Y45)^2)+((Graph!$E$27-$Z45)^2))+(Graph!$D$32^2),3/2))</f>
        <v>166.81525633787223</v>
      </c>
      <c r="S45">
        <f>Graph!$D$40*((Graph!$D$36-Y45)/POWER((((Graph!$D$36-$Y45)^2)+((Graph!$E$36-$Z45)^2))+(Graph!$D$41^2),3/2))</f>
        <v>6581.8935605039433</v>
      </c>
      <c r="T45">
        <f>Graph!$D$40*((Graph!$E$36-Z45)/POWER((((Graph!$D$36-$Y45)^2)+((Graph!$E$36-$Z45)^2))+(Graph!$D$41^2),3/2))</f>
        <v>-4521.0140356587635</v>
      </c>
      <c r="U45">
        <f>O45+Q45+S45</f>
        <v>6813.323755547457</v>
      </c>
      <c r="V45">
        <f>P45+R45+T45</f>
        <v>-3883.1990757888566</v>
      </c>
      <c r="W45">
        <f>W44+(U44*Graph!$D$5)</f>
        <v>-6037.6379704025439</v>
      </c>
      <c r="X45">
        <f>X44+(V44*Graph!$D$5)</f>
        <v>8974.001834219891</v>
      </c>
      <c r="Y45">
        <f>Y44+(W44*Graph!$D$5)+(U44*Graph!$D$5^2)</f>
        <v>-2581.7179634381237</v>
      </c>
      <c r="Z45">
        <f>Z44+(X44*Graph!$D$5)+(V44*Graph!$D$5^2)</f>
        <v>-13226.652703888081</v>
      </c>
    </row>
    <row r="46" spans="14:26" x14ac:dyDescent="0.35">
      <c r="N46">
        <f>N45+1</f>
        <v>43</v>
      </c>
      <c r="O46">
        <f>Graph!$D$22*((Graph!$D$18-Y46)/POWER((((Graph!$D$18-$Y46)^2)+((Graph!$E$18-$Z46)^2))+(Graph!$D$23^2),(3/2)))</f>
        <v>462.53797092985587</v>
      </c>
      <c r="P46" s="84">
        <f>Graph!$D$22*((Graph!$E$18-Z46)/POWER((((Graph!$D$18-$Y46)^2)+((Graph!$E$18-$Z46)^2))+(Graph!$D$23^2),3/2))</f>
        <v>482.44339739913829</v>
      </c>
      <c r="Q46">
        <f>Graph!$D$31*((Graph!$D$27-Y46)/POWER((((Graph!$D$27-$Y46)^2)+((Graph!$E$27-$Z46)^2))+(Graph!$D$32^2),3/2))</f>
        <v>-170.54024232625764</v>
      </c>
      <c r="R46">
        <f>Graph!$D$31*((Graph!$E$27-Z46)/POWER((((Graph!$D$27-$Y46)^2)+((Graph!$E$27-$Z46)^2))+(Graph!$D$32^2),3/2))</f>
        <v>208.74794689102924</v>
      </c>
      <c r="S46">
        <f>Graph!$D$40*((Graph!$D$36-Y46)/POWER((((Graph!$D$36-$Y46)^2)+((Graph!$E$36-$Z46)^2))+(Graph!$D$41^2),3/2))</f>
        <v>3625.6475004166482</v>
      </c>
      <c r="T46">
        <f>Graph!$D$40*((Graph!$E$36-Z46)/POWER((((Graph!$D$36-$Y46)^2)+((Graph!$E$36-$Z46)^2))+(Graph!$D$41^2),3/2))</f>
        <v>-4920.9710873187678</v>
      </c>
      <c r="U46">
        <f>O46+Q46+S46</f>
        <v>3917.6452290202465</v>
      </c>
      <c r="V46">
        <f>P46+R46+T46</f>
        <v>-4229.7797430286</v>
      </c>
      <c r="W46">
        <f>W45+(U45*Graph!$D$5)</f>
        <v>-2630.9760926288154</v>
      </c>
      <c r="X46">
        <f>X45+(V45*Graph!$D$5)</f>
        <v>7032.4022963254629</v>
      </c>
      <c r="Y46">
        <f>Y45+(W45*Graph!$D$5)+(U45*Graph!$D$5^2)</f>
        <v>-3897.2060097525314</v>
      </c>
      <c r="Z46">
        <f>Z45+(X45*Graph!$D$5)+(V45*Graph!$D$5^2)</f>
        <v>-9710.4515557253508</v>
      </c>
    </row>
    <row r="47" spans="14:26" x14ac:dyDescent="0.35">
      <c r="N47">
        <f>N46+1</f>
        <v>44</v>
      </c>
      <c r="O47">
        <f>Graph!$D$22*((Graph!$D$18-Y47)/POWER((((Graph!$D$18-$Y47)^2)+((Graph!$E$18-$Z47)^2))+(Graph!$D$23^2),(3/2)))</f>
        <v>552.5665568522453</v>
      </c>
      <c r="P47" s="84">
        <f>Graph!$D$22*((Graph!$E$18-Z47)/POWER((((Graph!$D$18-$Y47)^2)+((Graph!$E$18-$Z47)^2))+(Graph!$D$23^2),3/2))</f>
        <v>495.63613347861769</v>
      </c>
      <c r="Q47">
        <f>Graph!$D$31*((Graph!$D$27-Y47)/POWER((((Graph!$D$27-$Y47)^2)+((Graph!$E$27-$Z47)^2))+(Graph!$D$32^2),3/2))</f>
        <v>-214.55838317760396</v>
      </c>
      <c r="R47">
        <f>Graph!$D$31*((Graph!$E$27-Z47)/POWER((((Graph!$D$27-$Y47)^2)+((Graph!$E$27-$Z47)^2))+(Graph!$D$32^2),3/2))</f>
        <v>234.76642607111876</v>
      </c>
      <c r="S47">
        <f>Graph!$D$40*((Graph!$D$36-Y47)/POWER((((Graph!$D$36-$Y47)^2)+((Graph!$E$36-$Z47)^2))+(Graph!$D$41^2),3/2))</f>
        <v>2121.7424368536485</v>
      </c>
      <c r="T47">
        <f>Graph!$D$40*((Graph!$E$36-Z47)/POWER((((Graph!$D$36-$Y47)^2)+((Graph!$E$36-$Z47)^2))+(Graph!$D$41^2),3/2))</f>
        <v>-3883.4889562629014</v>
      </c>
      <c r="U47">
        <f>O47+Q47+S47</f>
        <v>2459.7506105282901</v>
      </c>
      <c r="V47">
        <f>P47+R47+T47</f>
        <v>-3153.086396713165</v>
      </c>
      <c r="W47">
        <f>W46+(U46*Graph!$D$5)</f>
        <v>-672.15347811869219</v>
      </c>
      <c r="X47">
        <f>X46+(V46*Graph!$D$5)</f>
        <v>4917.5124248111624</v>
      </c>
      <c r="Y47">
        <f>Y46+(W46*Graph!$D$5)+(U46*Graph!$D$5^2)</f>
        <v>-4233.2827488118774</v>
      </c>
      <c r="Z47">
        <f>Z46+(X46*Graph!$D$5)+(V46*Graph!$D$5^2)</f>
        <v>-7251.6953433197696</v>
      </c>
    </row>
    <row r="48" spans="14:26" x14ac:dyDescent="0.35">
      <c r="N48">
        <f>N47+1</f>
        <v>45</v>
      </c>
      <c r="O48">
        <f>Graph!$D$22*((Graph!$D$18-Y48)/POWER((((Graph!$D$18-$Y48)^2)+((Graph!$E$18-$Z48)^2))+(Graph!$D$23^2),(3/2)))</f>
        <v>632.06522234177851</v>
      </c>
      <c r="P48" s="84">
        <f>Graph!$D$22*((Graph!$E$18-Z48)/POWER((((Graph!$D$18-$Y48)^2)+((Graph!$E$18-$Z48)^2))+(Graph!$D$23^2),3/2))</f>
        <v>519.58015443976478</v>
      </c>
      <c r="Q48">
        <f>Graph!$D$31*((Graph!$D$27-Y48)/POWER((((Graph!$D$27-$Y48)^2)+((Graph!$E$27-$Z48)^2))+(Graph!$D$32^2),3/2))</f>
        <v>-248.38579101057644</v>
      </c>
      <c r="R48">
        <f>Graph!$D$31*((Graph!$E$27-Z48)/POWER((((Graph!$D$27-$Y48)^2)+((Graph!$E$27-$Z48)^2))+(Graph!$D$32^2),3/2))</f>
        <v>241.1973761466628</v>
      </c>
      <c r="S48">
        <f>Graph!$D$40*((Graph!$D$36-Y48)/POWER((((Graph!$D$36-$Y48)^2)+((Graph!$E$36-$Z48)^2))+(Graph!$D$41^2),3/2))</f>
        <v>1407.4297071765579</v>
      </c>
      <c r="T48">
        <f>Graph!$D$40*((Graph!$E$36-Z48)/POWER((((Graph!$D$36-$Y48)^2)+((Graph!$E$36-$Z48)^2))+(Graph!$D$41^2),3/2))</f>
        <v>-3352.2685177318585</v>
      </c>
      <c r="U48">
        <f>O48+Q48+S48</f>
        <v>1791.10913850776</v>
      </c>
      <c r="V48">
        <f>P48+R48+T48</f>
        <v>-2591.4909871454311</v>
      </c>
      <c r="W48">
        <f>W47+(U47*Graph!$D$5)</f>
        <v>557.72182714545283</v>
      </c>
      <c r="X48">
        <f>X47+(V47*Graph!$D$5)</f>
        <v>3340.9692264545802</v>
      </c>
      <c r="Y48">
        <f>Y47+(W47*Graph!$D$5)+(U47*Graph!$D$5^2)</f>
        <v>-3954.4218352391513</v>
      </c>
      <c r="Z48">
        <f>Z47+(X47*Graph!$D$5)+(V47*Graph!$D$5^2)</f>
        <v>-5581.2107300924799</v>
      </c>
    </row>
    <row r="49" spans="14:26" x14ac:dyDescent="0.35">
      <c r="N49">
        <f>N48+1</f>
        <v>46</v>
      </c>
      <c r="O49">
        <f>Graph!$D$22*((Graph!$D$18-Y49)/POWER((((Graph!$D$18-$Y49)^2)+((Graph!$E$18-$Z49)^2))+(Graph!$D$23^2),(3/2)))</f>
        <v>702.79642772131717</v>
      </c>
      <c r="P49" s="84">
        <f>Graph!$D$22*((Graph!$E$18-Z49)/POWER((((Graph!$D$18-$Y49)^2)+((Graph!$E$18-$Z49)^2))+(Graph!$D$23^2),3/2))</f>
        <v>561.32613145630637</v>
      </c>
      <c r="Q49">
        <f>Graph!$D$31*((Graph!$D$27-Y49)/POWER((((Graph!$D$27-$Y49)^2)+((Graph!$E$27-$Z49)^2))+(Graph!$D$32^2),3/2))</f>
        <v>-265.02602132689663</v>
      </c>
      <c r="R49">
        <f>Graph!$D$31*((Graph!$E$27-Z49)/POWER((((Graph!$D$27-$Y49)^2)+((Graph!$E$27-$Z49)^2))+(Graph!$D$32^2),3/2))</f>
        <v>230.0475649389243</v>
      </c>
      <c r="S49">
        <f>Graph!$D$40*((Graph!$D$36-Y49)/POWER((((Graph!$D$36-$Y49)^2)+((Graph!$E$36-$Z49)^2))+(Graph!$D$41^2),3/2))</f>
        <v>973.56578287138473</v>
      </c>
      <c r="T49">
        <f>Graph!$D$40*((Graph!$E$36-Z49)/POWER((((Graph!$D$36-$Y49)^2)+((Graph!$E$36-$Z49)^2))+(Graph!$D$41^2),3/2))</f>
        <v>-3149.3408526312874</v>
      </c>
      <c r="U49">
        <f>O49+Q49+S49</f>
        <v>1411.3361892658054</v>
      </c>
      <c r="V49">
        <f>P49+R49+T49</f>
        <v>-2357.9671562360568</v>
      </c>
      <c r="W49">
        <f>W48+(U48*Graph!$D$5)</f>
        <v>1453.276396399333</v>
      </c>
      <c r="X49">
        <f>X48+(V48*Graph!$D$5)</f>
        <v>2045.2237328818646</v>
      </c>
      <c r="Y49">
        <f>Y48+(W48*Graph!$D$5)+(U48*Graph!$D$5^2)</f>
        <v>-3227.7836370394848</v>
      </c>
      <c r="Z49">
        <f>Z48+(X48*Graph!$D$5)+(V48*Graph!$D$5^2)</f>
        <v>-4558.5988636515476</v>
      </c>
    </row>
    <row r="50" spans="14:26" x14ac:dyDescent="0.35">
      <c r="N50">
        <f>N49+1</f>
        <v>47</v>
      </c>
      <c r="O50">
        <f>Graph!$D$22*((Graph!$D$18-Y50)/POWER((((Graph!$D$18-$Y50)^2)+((Graph!$E$18-$Z50)^2))+(Graph!$D$23^2),(3/2)))</f>
        <v>760.28966205640972</v>
      </c>
      <c r="P50" s="84">
        <f>Graph!$D$22*((Graph!$E$18-Z50)/POWER((((Graph!$D$18-$Y50)^2)+((Graph!$E$18-$Z50)^2))+(Graph!$D$23^2),3/2))</f>
        <v>626.26898051936303</v>
      </c>
      <c r="Q50">
        <f>Graph!$D$31*((Graph!$D$27-Y50)/POWER((((Graph!$D$27-$Y50)^2)+((Graph!$E$27-$Z50)^2))+(Graph!$D$32^2),3/2))</f>
        <v>-262.41623775116506</v>
      </c>
      <c r="R50">
        <f>Graph!$D$31*((Graph!$E$27-Z50)/POWER((((Graph!$D$27-$Y50)^2)+((Graph!$E$27-$Z50)^2))+(Graph!$D$32^2),3/2))</f>
        <v>207.64170162405065</v>
      </c>
      <c r="S50">
        <f>Graph!$D$40*((Graph!$D$36-Y50)/POWER((((Graph!$D$36-$Y50)^2)+((Graph!$E$36-$Z50)^2))+(Graph!$D$41^2),3/2))</f>
        <v>625.56687885798044</v>
      </c>
      <c r="T50">
        <f>Graph!$D$40*((Graph!$E$36-Z50)/POWER((((Graph!$D$36-$Y50)^2)+((Graph!$E$36-$Z50)^2))+(Graph!$D$41^2),3/2))</f>
        <v>-3166.5522612736249</v>
      </c>
      <c r="U50">
        <f>O50+Q50+S50</f>
        <v>1123.4403031632251</v>
      </c>
      <c r="V50">
        <f>P50+R50+T50</f>
        <v>-2332.6415791302115</v>
      </c>
      <c r="W50">
        <f>W49+(U49*Graph!$D$5)</f>
        <v>2158.9444910322354</v>
      </c>
      <c r="X50">
        <f>X49+(V49*Graph!$D$5)</f>
        <v>866.24015476383624</v>
      </c>
      <c r="Y50">
        <f>Y49+(W49*Graph!$D$5)+(U49*Graph!$D$5^2)</f>
        <v>-2148.3113915233671</v>
      </c>
      <c r="Z50">
        <f>Z49+(X49*Graph!$D$5)+(V49*Graph!$D$5^2)</f>
        <v>-4125.4787862696294</v>
      </c>
    </row>
    <row r="51" spans="14:26" x14ac:dyDescent="0.35">
      <c r="N51">
        <f>N50+1</f>
        <v>48</v>
      </c>
      <c r="O51">
        <f>Graph!$D$22*((Graph!$D$18-Y51)/POWER((((Graph!$D$18-$Y51)^2)+((Graph!$E$18-$Z51)^2))+(Graph!$D$23^2),(3/2)))</f>
        <v>790.88654539886113</v>
      </c>
      <c r="P51" s="84">
        <f>Graph!$D$22*((Graph!$E$18-Z51)/POWER((((Graph!$D$18-$Y51)^2)+((Graph!$E$18-$Z51)^2))+(Graph!$D$23^2),3/2))</f>
        <v>715.12103844728733</v>
      </c>
      <c r="Q51">
        <f>Graph!$D$31*((Graph!$D$27-Y51)/POWER((((Graph!$D$27-$Y51)^2)+((Graph!$E$27-$Z51)^2))+(Graph!$D$32^2),3/2))</f>
        <v>-243.76630250969953</v>
      </c>
      <c r="R51">
        <f>Graph!$D$31*((Graph!$E$27-Z51)/POWER((((Graph!$D$27-$Y51)^2)+((Graph!$E$27-$Z51)^2))+(Graph!$D$32^2),3/2))</f>
        <v>181.1308930500673</v>
      </c>
      <c r="S51">
        <f>Graph!$D$40*((Graph!$D$36-Y51)/POWER((((Graph!$D$36-$Y51)^2)+((Graph!$E$36-$Z51)^2))+(Graph!$D$41^2),3/2))</f>
        <v>247.38383534463281</v>
      </c>
      <c r="T51">
        <f>Graph!$D$40*((Graph!$E$36-Z51)/POWER((((Graph!$D$36-$Y51)^2)+((Graph!$E$36-$Z51)^2))+(Graph!$D$41^2),3/2))</f>
        <v>-3366.9209202289458</v>
      </c>
      <c r="U51">
        <f>O51+Q51+S51</f>
        <v>794.50407823379442</v>
      </c>
      <c r="V51">
        <f>P51+R51+T51</f>
        <v>-2470.6689887315911</v>
      </c>
      <c r="W51">
        <f>W50+(U50*Graph!$D$5)</f>
        <v>2720.6646426138477</v>
      </c>
      <c r="X51">
        <f>X50+(V50*Graph!$D$5)</f>
        <v>-300.08063480126953</v>
      </c>
      <c r="Y51">
        <f>Y50+(W50*Graph!$D$5)+(U50*Graph!$D$5^2)</f>
        <v>-787.97907021644312</v>
      </c>
      <c r="Z51">
        <f>Z50+(X50*Graph!$D$5)+(V50*Graph!$D$5^2)</f>
        <v>-4275.5191036702636</v>
      </c>
    </row>
    <row r="52" spans="14:26" x14ac:dyDescent="0.35">
      <c r="N52">
        <f>N51+1</f>
        <v>49</v>
      </c>
      <c r="O52">
        <f>Graph!$D$22*((Graph!$D$18-Y52)/POWER((((Graph!$D$18-$Y52)^2)+((Graph!$E$18-$Z52)^2))+(Graph!$D$23^2),(3/2)))</f>
        <v>770.77746609073938</v>
      </c>
      <c r="P52" s="84">
        <f>Graph!$D$22*((Graph!$E$18-Z52)/POWER((((Graph!$D$18-$Y52)^2)+((Graph!$E$18-$Z52)^2))+(Graph!$D$23^2),3/2))</f>
        <v>814.88251045046434</v>
      </c>
      <c r="Q52">
        <f>Graph!$D$31*((Graph!$D$27-Y52)/POWER((((Graph!$D$27-$Y52)^2)+((Graph!$E$27-$Z52)^2))+(Graph!$D$32^2),3/2))</f>
        <v>-215.10711257333756</v>
      </c>
      <c r="R52">
        <f>Graph!$D$31*((Graph!$E$27-Z52)/POWER((((Graph!$D$27-$Y52)^2)+((Graph!$E$27-$Z52)^2))+(Graph!$D$32^2),3/2))</f>
        <v>155.78972037042558</v>
      </c>
      <c r="S52">
        <f>Graph!$D$40*((Graph!$D$36-Y52)/POWER((((Graph!$D$36-$Y52)^2)+((Graph!$E$36-$Z52)^2))+(Graph!$D$41^2),3/2))</f>
        <v>-289.78495256818849</v>
      </c>
      <c r="T52">
        <f>Graph!$D$40*((Graph!$E$36-Z52)/POWER((((Graph!$D$36-$Y52)^2)+((Graph!$E$36-$Z52)^2))+(Graph!$D$41^2),3/2))</f>
        <v>-3742.413314489916</v>
      </c>
      <c r="U52">
        <f>O52+Q52+S52</f>
        <v>265.88540094921336</v>
      </c>
      <c r="V52">
        <f>P52+R52+T52</f>
        <v>-2771.741083669026</v>
      </c>
      <c r="W52">
        <f>W51+(U51*Graph!$D$5)</f>
        <v>3117.916681730745</v>
      </c>
      <c r="X52">
        <f>X51+(V51*Graph!$D$5)</f>
        <v>-1535.4151291670651</v>
      </c>
      <c r="Y52">
        <f>Y51+(W51*Graph!$D$5)+(U51*Graph!$D$5^2)</f>
        <v>770.97927064892929</v>
      </c>
      <c r="Z52">
        <f>Z51+(X51*Graph!$D$5)+(V51*Graph!$D$5^2)</f>
        <v>-5043.2266682537966</v>
      </c>
    </row>
    <row r="53" spans="14:26" x14ac:dyDescent="0.35">
      <c r="N53">
        <f>N52+1</f>
        <v>50</v>
      </c>
      <c r="O53">
        <f>Graph!$D$22*((Graph!$D$18-Y53)/POWER((((Graph!$D$18-$Y53)^2)+((Graph!$E$18-$Z53)^2))+(Graph!$D$23^2),(3/2)))</f>
        <v>677.20431028246219</v>
      </c>
      <c r="P53" s="84">
        <f>Graph!$D$22*((Graph!$E$18-Z53)/POWER((((Graph!$D$18-$Y53)^2)+((Graph!$E$18-$Z53)^2))+(Graph!$D$23^2),3/2))</f>
        <v>886.77040776429033</v>
      </c>
      <c r="Q53">
        <f>Graph!$D$31*((Graph!$D$27-Y53)/POWER((((Graph!$D$27-$Y53)^2)+((Graph!$E$27-$Z53)^2))+(Graph!$D$32^2),3/2))</f>
        <v>-182.45229506280043</v>
      </c>
      <c r="R53">
        <f>Graph!$D$31*((Graph!$E$27-Z53)/POWER((((Graph!$D$27-$Y53)^2)+((Graph!$E$27-$Z53)^2))+(Graph!$D$32^2),3/2))</f>
        <v>134.44873566648266</v>
      </c>
      <c r="S53">
        <f>Graph!$D$40*((Graph!$D$36-Y53)/POWER((((Graph!$D$36-$Y53)^2)+((Graph!$E$36-$Z53)^2))+(Graph!$D$41^2),3/2))</f>
        <v>-1201.615512742947</v>
      </c>
      <c r="T53">
        <f>Graph!$D$40*((Graph!$E$36-Z53)/POWER((((Graph!$D$36-$Y53)^2)+((Graph!$E$36-$Z53)^2))+(Graph!$D$41^2),3/2))</f>
        <v>-4260.1585812443336</v>
      </c>
      <c r="U53">
        <f>O53+Q53+S53</f>
        <v>-706.86349752328522</v>
      </c>
      <c r="V53">
        <f>P53+R53+T53</f>
        <v>-3238.9394378135607</v>
      </c>
      <c r="W53">
        <f>W52+(U52*Graph!$D$5)</f>
        <v>3250.8593822053517</v>
      </c>
      <c r="X53">
        <f>X52+(V52*Graph!$D$5)</f>
        <v>-2921.2856710015781</v>
      </c>
      <c r="Y53">
        <f>Y52+(W52*Graph!$D$5)+(U52*Graph!$D$5^2)</f>
        <v>2396.4089617516051</v>
      </c>
      <c r="Z53">
        <f>Z52+(X52*Graph!$D$5)+(V52*Graph!$D$5^2)</f>
        <v>-6503.8695037545858</v>
      </c>
    </row>
    <row r="54" spans="14:26" x14ac:dyDescent="0.35">
      <c r="N54">
        <f>N53+1</f>
        <v>51</v>
      </c>
      <c r="O54">
        <f>Graph!$D$22*((Graph!$D$18-Y54)/POWER((((Graph!$D$18-$Y54)^2)+((Graph!$E$18-$Z54)^2))+(Graph!$D$23^2),(3/2)))</f>
        <v>519.43701475326031</v>
      </c>
      <c r="P54" s="84">
        <f>Graph!$D$22*((Graph!$E$18-Z54)/POWER((((Graph!$D$18-$Y54)^2)+((Graph!$E$18-$Z54)^2))+(Graph!$D$23^2),3/2))</f>
        <v>874.23991546206184</v>
      </c>
      <c r="Q54">
        <f>Graph!$D$31*((Graph!$D$27-Y54)/POWER((((Graph!$D$27-$Y54)^2)+((Graph!$E$27-$Z54)^2))+(Graph!$D$32^2),3/2))</f>
        <v>-150.19375124455451</v>
      </c>
      <c r="R54">
        <f>Graph!$D$31*((Graph!$E$27-Z54)/POWER((((Graph!$D$27-$Y54)^2)+((Graph!$E$27-$Z54)^2))+(Graph!$D$32^2),3/2))</f>
        <v>118.25372591967664</v>
      </c>
      <c r="S54">
        <f>Graph!$D$40*((Graph!$D$36-Y54)/POWER((((Graph!$D$36-$Y54)^2)+((Graph!$E$36-$Z54)^2))+(Graph!$D$41^2),3/2))</f>
        <v>-2892.2197718567213</v>
      </c>
      <c r="T54">
        <f>Graph!$D$40*((Graph!$E$36-Z54)/POWER((((Graph!$D$36-$Y54)^2)+((Graph!$E$36-$Z54)^2))+(Graph!$D$41^2),3/2))</f>
        <v>-4682.8791651057454</v>
      </c>
      <c r="U54">
        <f>O54+Q54+S54</f>
        <v>-2522.9765083480156</v>
      </c>
      <c r="V54">
        <f>P54+R54+T54</f>
        <v>-3690.3855237240068</v>
      </c>
      <c r="W54">
        <f>W53+(U53*Graph!$D$5)</f>
        <v>2897.4276334437091</v>
      </c>
      <c r="X54">
        <f>X53+(V53*Graph!$D$5)</f>
        <v>-4540.7553899083587</v>
      </c>
      <c r="Y54">
        <f>Y53+(W53*Graph!$D$5)+(U53*Graph!$D$5^2)</f>
        <v>3845.1227784734597</v>
      </c>
      <c r="Z54">
        <f>Z53+(X53*Graph!$D$5)+(V53*Graph!$D$5^2)</f>
        <v>-8774.2471987087647</v>
      </c>
    </row>
    <row r="55" spans="14:26" x14ac:dyDescent="0.35">
      <c r="N55">
        <f>N54+1</f>
        <v>52</v>
      </c>
      <c r="O55">
        <f>Graph!$D$22*((Graph!$D$18-Y55)/POWER((((Graph!$D$18-$Y55)^2)+((Graph!$E$18-$Z55)^2))+(Graph!$D$23^2),(3/2)))</f>
        <v>355.38684200368743</v>
      </c>
      <c r="P55" s="84">
        <f>Graph!$D$22*((Graph!$E$18-Z55)/POWER((((Graph!$D$18-$Y55)^2)+((Graph!$E$18-$Z55)^2))+(Graph!$D$23^2),3/2))</f>
        <v>755.24148516258208</v>
      </c>
      <c r="Q55">
        <f>Graph!$D$31*((Graph!$D$27-Y55)/POWER((((Graph!$D$27-$Y55)^2)+((Graph!$E$27-$Z55)^2))+(Graph!$D$32^2),3/2))</f>
        <v>-120.90146535966613</v>
      </c>
      <c r="R55">
        <f>Graph!$D$31*((Graph!$E$27-Z55)/POWER((((Graph!$D$27-$Y55)^2)+((Graph!$E$27-$Z55)^2))+(Graph!$D$32^2),3/2))</f>
        <v>107.68597836677328</v>
      </c>
      <c r="S55">
        <f>Graph!$D$40*((Graph!$D$36-Y55)/POWER((((Graph!$D$36-$Y55)^2)+((Graph!$E$36-$Z55)^2))+(Graph!$D$41^2),3/2))</f>
        <v>-5835.3054171772719</v>
      </c>
      <c r="T55">
        <f>Graph!$D$40*((Graph!$E$36-Z55)/POWER((((Graph!$D$36-$Y55)^2)+((Graph!$E$36-$Z55)^2))+(Graph!$D$41^2),3/2))</f>
        <v>-3795.1617400890191</v>
      </c>
      <c r="U55">
        <f>O55+Q55+S55</f>
        <v>-5600.8200405332509</v>
      </c>
      <c r="V55">
        <f>P55+R55+T55</f>
        <v>-2932.2342765596636</v>
      </c>
      <c r="W55">
        <f>W54+(U54*Graph!$D$5)</f>
        <v>1635.9393792697012</v>
      </c>
      <c r="X55">
        <f>X54+(V54*Graph!$D$5)</f>
        <v>-6385.9481517703625</v>
      </c>
      <c r="Y55">
        <f>Y54+(W54*Graph!$D$5)+(U54*Graph!$D$5^2)</f>
        <v>4663.0924681083106</v>
      </c>
      <c r="Z55">
        <f>Z54+(X54*Graph!$D$5)+(V54*Graph!$D$5^2)</f>
        <v>-11967.221274593945</v>
      </c>
    </row>
    <row r="56" spans="14:26" x14ac:dyDescent="0.35">
      <c r="N56">
        <f>N55+1</f>
        <v>53</v>
      </c>
      <c r="O56">
        <f>Graph!$D$22*((Graph!$D$18-Y56)/POWER((((Graph!$D$18-$Y56)^2)+((Graph!$E$18-$Z56)^2))+(Graph!$D$23^2),(3/2)))</f>
        <v>245.86684469083494</v>
      </c>
      <c r="P56" s="84">
        <f>Graph!$D$22*((Graph!$E$18-Z56)/POWER((((Graph!$D$18-$Y56)^2)+((Graph!$E$18-$Z56)^2))+(Graph!$D$23^2),3/2))</f>
        <v>583.03959624466074</v>
      </c>
      <c r="Q56">
        <f>Graph!$D$31*((Graph!$D$27-Y56)/POWER((((Graph!$D$27-$Y56)^2)+((Graph!$E$27-$Z56)^2))+(Graph!$D$32^2),3/2))</f>
        <v>-96.397749267255122</v>
      </c>
      <c r="R56">
        <f>Graph!$D$31*((Graph!$E$27-Z56)/POWER((((Graph!$D$27-$Y56)^2)+((Graph!$E$27-$Z56)^2))+(Graph!$D$32^2),3/2))</f>
        <v>103.65292994998532</v>
      </c>
      <c r="S56">
        <f>Graph!$D$40*((Graph!$D$36-Y56)/POWER((((Graph!$D$36-$Y56)^2)+((Graph!$E$36-$Z56)^2))+(Graph!$D$41^2),3/2))</f>
        <v>-7725.2680891277832</v>
      </c>
      <c r="T56">
        <f>Graph!$D$40*((Graph!$E$36-Z56)/POWER((((Graph!$D$36-$Y56)^2)+((Graph!$E$36-$Z56)^2))+(Graph!$D$41^2),3/2))</f>
        <v>1690.9746533918715</v>
      </c>
      <c r="U56">
        <f>O56+Q56+S56</f>
        <v>-7575.7989937042039</v>
      </c>
      <c r="V56">
        <f>P56+R56+T56</f>
        <v>2377.6671795865177</v>
      </c>
      <c r="W56">
        <f>W55+(U55*Graph!$D$5)</f>
        <v>-1164.4706409969242</v>
      </c>
      <c r="X56">
        <f>X55+(V55*Graph!$D$5)</f>
        <v>-7852.0652900501946</v>
      </c>
      <c r="Y56">
        <f>Y55+(W55*Graph!$D$5)+(U55*Graph!$D$5^2)</f>
        <v>4080.8571476098487</v>
      </c>
      <c r="Z56">
        <f>Z55+(X55*Graph!$D$5)+(V55*Graph!$D$5^2)</f>
        <v>-15893.253919619043</v>
      </c>
    </row>
    <row r="57" spans="14:26" x14ac:dyDescent="0.35">
      <c r="N57">
        <f>N56+1</f>
        <v>54</v>
      </c>
      <c r="O57">
        <f>Graph!$D$22*((Graph!$D$18-Y57)/POWER((((Graph!$D$18-$Y57)^2)+((Graph!$E$18-$Z57)^2))+(Graph!$D$23^2),(3/2)))</f>
        <v>203.65663105414058</v>
      </c>
      <c r="P57" s="84">
        <f>Graph!$D$22*((Graph!$E$18-Z57)/POWER((((Graph!$D$18-$Y57)^2)+((Graph!$E$18-$Z57)^2))+(Graph!$D$23^2),3/2))</f>
        <v>444.32197220287543</v>
      </c>
      <c r="Q57">
        <f>Graph!$D$31*((Graph!$D$27-Y57)/POWER((((Graph!$D$27-$Y57)^2)+((Graph!$E$27-$Z57)^2))+(Graph!$D$32^2),3/2))</f>
        <v>-79.715715664533661</v>
      </c>
      <c r="R57">
        <f>Graph!$D$31*((Graph!$E$27-Z57)/POWER((((Graph!$D$27-$Y57)^2)+((Graph!$E$27-$Z57)^2))+(Graph!$D$32^2),3/2))</f>
        <v>107.83229666311978</v>
      </c>
      <c r="S57">
        <f>Graph!$D$40*((Graph!$D$36-Y57)/POWER((((Graph!$D$36-$Y57)^2)+((Graph!$E$36-$Z57)^2))+(Graph!$D$41^2),3/2))</f>
        <v>-2744.4146383860925</v>
      </c>
      <c r="T57">
        <f>Graph!$D$40*((Graph!$E$36-Z57)/POWER((((Graph!$D$36-$Y57)^2)+((Graph!$E$36-$Z57)^2))+(Graph!$D$41^2),3/2))</f>
        <v>7225.6472804519972</v>
      </c>
      <c r="U57">
        <f>O57+Q57+S57</f>
        <v>-2620.4737229964858</v>
      </c>
      <c r="V57">
        <f>P57+R57+T57</f>
        <v>7777.8015493179919</v>
      </c>
      <c r="W57">
        <f>W56+(U56*Graph!$D$5)</f>
        <v>-4952.3701378490259</v>
      </c>
      <c r="X57">
        <f>X56+(V56*Graph!$D$5)</f>
        <v>-6663.2317002569362</v>
      </c>
      <c r="Y57">
        <f>Y56+(W56*Graph!$D$5)+(U56*Graph!$D$5^2)</f>
        <v>1604.6720786853357</v>
      </c>
      <c r="Z57">
        <f>Z56+(X56*Graph!$D$5)+(V56*Graph!$D$5^2)</f>
        <v>-19224.869769747511</v>
      </c>
    </row>
    <row r="58" spans="14:26" x14ac:dyDescent="0.35">
      <c r="N58">
        <f>N57+1</f>
        <v>55</v>
      </c>
      <c r="O58">
        <f>Graph!$D$22*((Graph!$D$18-Y58)/POWER((((Graph!$D$18-$Y58)^2)+((Graph!$E$18-$Z58)^2))+(Graph!$D$23^2),(3/2)))</f>
        <v>199.32565356350926</v>
      </c>
      <c r="P58" s="84">
        <f>Graph!$D$22*((Graph!$E$18-Z58)/POWER((((Graph!$D$18-$Y58)^2)+((Graph!$E$18-$Z58)^2))+(Graph!$D$23^2),3/2))</f>
        <v>369.20796345028026</v>
      </c>
      <c r="Q58">
        <f>Graph!$D$31*((Graph!$D$27-Y58)/POWER((((Graph!$D$27-$Y58)^2)+((Graph!$E$27-$Z58)^2))+(Graph!$D$32^2),3/2))</f>
        <v>-71.555869829667103</v>
      </c>
      <c r="R58">
        <f>Graph!$D$31*((Graph!$E$27-Z58)/POWER((((Graph!$D$27-$Y58)^2)+((Graph!$E$27-$Z58)^2))+(Graph!$D$32^2),3/2))</f>
        <v>118.57451979873107</v>
      </c>
      <c r="S58">
        <f>Graph!$D$40*((Graph!$D$36-Y58)/POWER((((Graph!$D$36-$Y58)^2)+((Graph!$E$36-$Z58)^2))+(Graph!$D$41^2),3/2))</f>
        <v>1771.6743704648227</v>
      </c>
      <c r="T58">
        <f>Graph!$D$40*((Graph!$E$36-Z58)/POWER((((Graph!$D$36-$Y58)^2)+((Graph!$E$36-$Z58)^2))+(Graph!$D$41^2),3/2))</f>
        <v>6512.8352862091442</v>
      </c>
      <c r="U58">
        <f>O58+Q58+S58</f>
        <v>1899.4441541986648</v>
      </c>
      <c r="V58">
        <f>P58+R58+T58</f>
        <v>7000.6177694581556</v>
      </c>
      <c r="W58">
        <f>W57+(U57*Graph!$D$5)</f>
        <v>-6262.6069993472684</v>
      </c>
      <c r="X58">
        <f>X57+(V57*Graph!$D$5)</f>
        <v>-2774.3309255979402</v>
      </c>
      <c r="Y58">
        <f>Y57+(W57*Graph!$D$5)+(U57*Graph!$D$5^2)</f>
        <v>-1526.6314209882987</v>
      </c>
      <c r="Z58">
        <f>Z57+(X57*Graph!$D$5)+(V57*Graph!$D$5^2)</f>
        <v>-20612.035232546485</v>
      </c>
    </row>
    <row r="59" spans="14:26" x14ac:dyDescent="0.35">
      <c r="N59">
        <f>N58+1</f>
        <v>56</v>
      </c>
      <c r="O59">
        <f>Graph!$D$22*((Graph!$D$18-Y59)/POWER((((Graph!$D$18-$Y59)^2)+((Graph!$E$18-$Z59)^2))+(Graph!$D$23^2),(3/2)))</f>
        <v>212.32817887476807</v>
      </c>
      <c r="P59" s="84">
        <f>Graph!$D$22*((Graph!$E$18-Z59)/POWER((((Graph!$D$18-$Y59)^2)+((Graph!$E$18-$Z59)^2))+(Graph!$D$23^2),3/2))</f>
        <v>334.81208189387701</v>
      </c>
      <c r="Q59">
        <f>Graph!$D$31*((Graph!$D$27-Y59)/POWER((((Graph!$D$27-$Y59)^2)+((Graph!$E$27-$Z59)^2))+(Graph!$D$32^2),3/2))</f>
        <v>-70.309208640235255</v>
      </c>
      <c r="R59">
        <f>Graph!$D$31*((Graph!$E$27-Z59)/POWER((((Graph!$D$27-$Y59)^2)+((Graph!$E$27-$Z59)^2))+(Graph!$D$32^2),3/2))</f>
        <v>134.46269447789408</v>
      </c>
      <c r="S59">
        <f>Graph!$D$40*((Graph!$D$36-Y59)/POWER((((Graph!$D$36-$Y59)^2)+((Graph!$E$36-$Z59)^2))+(Graph!$D$41^2),3/2))</f>
        <v>3735.7381472919374</v>
      </c>
      <c r="T59">
        <f>Graph!$D$40*((Graph!$E$36-Z59)/POWER((((Graph!$D$36-$Y59)^2)+((Graph!$E$36-$Z59)^2))+(Graph!$D$41^2),3/2))</f>
        <v>4687.7159899119215</v>
      </c>
      <c r="U59">
        <f>O59+Q59+S59</f>
        <v>3877.7571175264702</v>
      </c>
      <c r="V59">
        <f>P59+R59+T59</f>
        <v>5156.9907662836922</v>
      </c>
      <c r="W59">
        <f>W58+(U58*Graph!$D$5)</f>
        <v>-5312.8849222479357</v>
      </c>
      <c r="X59">
        <f>X58+(V58*Graph!$D$5)</f>
        <v>725.9779591311376</v>
      </c>
      <c r="Y59">
        <f>Y58+(W58*Graph!$D$5)+(U58*Graph!$D$5^2)</f>
        <v>-4183.0738821122668</v>
      </c>
      <c r="Z59">
        <f>Z58+(X58*Graph!$D$5)+(V58*Graph!$D$5^2)</f>
        <v>-20249.046252980916</v>
      </c>
    </row>
    <row r="60" spans="14:26" x14ac:dyDescent="0.35">
      <c r="N60">
        <f>N59+1</f>
        <v>57</v>
      </c>
      <c r="O60">
        <f>Graph!$D$22*((Graph!$D$18-Y60)/POWER((((Graph!$D$18-$Y60)^2)+((Graph!$E$18-$Z60)^2))+(Graph!$D$23^2),(3/2)))</f>
        <v>239.08609162141235</v>
      </c>
      <c r="P60" s="84">
        <f>Graph!$D$22*((Graph!$E$18-Z60)/POWER((((Graph!$D$18-$Y60)^2)+((Graph!$E$18-$Z60)^2))+(Graph!$D$23^2),3/2))</f>
        <v>327.60297984746182</v>
      </c>
      <c r="Q60">
        <f>Graph!$D$31*((Graph!$D$27-Y60)/POWER((((Graph!$D$27-$Y60)^2)+((Graph!$E$27-$Z60)^2))+(Graph!$D$32^2),3/2))</f>
        <v>-76.802914736543016</v>
      </c>
      <c r="R60">
        <f>Graph!$D$31*((Graph!$E$27-Z60)/POWER((((Graph!$D$27-$Y60)^2)+((Graph!$E$27-$Z60)^2))+(Graph!$D$32^2),3/2))</f>
        <v>155.43738900607937</v>
      </c>
      <c r="S60">
        <f>Graph!$D$40*((Graph!$D$36-Y60)/POWER((((Graph!$D$36-$Y60)^2)+((Graph!$E$36-$Z60)^2))+(Graph!$D$41^2),3/2))</f>
        <v>4989.7750954703379</v>
      </c>
      <c r="T60">
        <f>Graph!$D$40*((Graph!$E$36-Z60)/POWER((((Graph!$D$36-$Y60)^2)+((Graph!$E$36-$Z60)^2))+(Graph!$D$41^2),3/2))</f>
        <v>3057.4165687104651</v>
      </c>
      <c r="U60">
        <f>O60+Q60+S60</f>
        <v>5152.058272355207</v>
      </c>
      <c r="V60">
        <f>P60+R60+T60</f>
        <v>3540.4569375640062</v>
      </c>
      <c r="W60">
        <f>W59+(U59*Graph!$D$5)</f>
        <v>-3374.0063634847006</v>
      </c>
      <c r="X60">
        <f>X59+(V59*Graph!$D$5)</f>
        <v>3304.4733422729837</v>
      </c>
      <c r="Y60">
        <f>Y59+(W59*Graph!$D$5)+(U59*Graph!$D$5^2)</f>
        <v>-5870.0770638546173</v>
      </c>
      <c r="Z60">
        <f>Z59+(X59*Graph!$D$5)+(V59*Graph!$D$5^2)</f>
        <v>-18596.809581844424</v>
      </c>
    </row>
    <row r="61" spans="14:26" x14ac:dyDescent="0.35">
      <c r="N61">
        <f>N60+1</f>
        <v>58</v>
      </c>
      <c r="O61">
        <f>Graph!$D$22*((Graph!$D$18-Y61)/POWER((((Graph!$D$18-$Y61)^2)+((Graph!$E$18-$Z61)^2))+(Graph!$D$23^2),(3/2)))</f>
        <v>283.16938624943936</v>
      </c>
      <c r="P61" s="84">
        <f>Graph!$D$22*((Graph!$E$18-Z61)/POWER((((Graph!$D$18-$Y61)^2)+((Graph!$E$18-$Z61)^2))+(Graph!$D$23^2),3/2))</f>
        <v>346.94711235805568</v>
      </c>
      <c r="Q61">
        <f>Graph!$D$31*((Graph!$D$27-Y61)/POWER((((Graph!$D$27-$Y61)^2)+((Graph!$E$27-$Z61)^2))+(Graph!$D$32^2),3/2))</f>
        <v>-94.483232484147877</v>
      </c>
      <c r="R61">
        <f>Graph!$D$31*((Graph!$E$27-Z61)/POWER((((Graph!$D$27-$Y61)^2)+((Graph!$E$27-$Z61)^2))+(Graph!$D$32^2),3/2))</f>
        <v>179.31641319501048</v>
      </c>
      <c r="S61">
        <f>Graph!$D$40*((Graph!$D$36-Y61)/POWER((((Graph!$D$36-$Y61)^2)+((Graph!$E$36-$Z61)^2))+(Graph!$D$41^2),3/2))</f>
        <v>6202.9662064892273</v>
      </c>
      <c r="T61">
        <f>Graph!$D$40*((Graph!$E$36-Z61)/POWER((((Graph!$D$36-$Y61)^2)+((Graph!$E$36-$Z61)^2))+(Graph!$D$41^2),3/2))</f>
        <v>1048.2880072454248</v>
      </c>
      <c r="U61">
        <f>O61+Q61+S61</f>
        <v>6391.6523602545185</v>
      </c>
      <c r="V61">
        <f>P61+R61+T61</f>
        <v>1574.5515327984908</v>
      </c>
      <c r="W61">
        <f>W60+(U60*Graph!$D$5)</f>
        <v>-797.97722730709711</v>
      </c>
      <c r="X61">
        <f>X60+(V60*Graph!$D$5)</f>
        <v>5074.701811054987</v>
      </c>
      <c r="Y61">
        <f>Y60+(W60*Graph!$D$5)+(U60*Graph!$D$5^2)</f>
        <v>-6269.0656775081661</v>
      </c>
      <c r="Z61">
        <f>Z60+(X60*Graph!$D$5)+(V60*Graph!$D$5^2)</f>
        <v>-16059.45867631693</v>
      </c>
    </row>
    <row r="62" spans="14:26" x14ac:dyDescent="0.35">
      <c r="N62">
        <f>N61+1</f>
        <v>59</v>
      </c>
      <c r="O62">
        <f>Graph!$D$22*((Graph!$D$18-Y62)/POWER((((Graph!$D$18-$Y62)^2)+((Graph!$E$18-$Z62)^2))+(Graph!$D$23^2),(3/2)))</f>
        <v>351.79346483834075</v>
      </c>
      <c r="P62" s="84">
        <f>Graph!$D$22*((Graph!$E$18-Z62)/POWER((((Graph!$D$18-$Y62)^2)+((Graph!$E$18-$Z62)^2))+(Graph!$D$23^2),3/2))</f>
        <v>405.40046413421777</v>
      </c>
      <c r="Q62">
        <f>Graph!$D$31*((Graph!$D$27-Y62)/POWER((((Graph!$D$27-$Y62)^2)+((Graph!$E$27-$Z62)^2))+(Graph!$D$32^2),3/2))</f>
        <v>-125.47216178274542</v>
      </c>
      <c r="R62">
        <f>Graph!$D$31*((Graph!$E$27-Z62)/POWER((((Graph!$D$27-$Y62)^2)+((Graph!$E$27-$Z62)^2))+(Graph!$D$32^2),3/2))</f>
        <v>194.37418361494915</v>
      </c>
      <c r="S62">
        <f>Graph!$D$40*((Graph!$D$36-Y62)/POWER((((Graph!$D$36-$Y62)^2)+((Graph!$E$36-$Z62)^2))+(Graph!$D$41^2),3/2))</f>
        <v>6651.3852424682027</v>
      </c>
      <c r="T62">
        <f>Graph!$D$40*((Graph!$E$36-Z62)/POWER((((Graph!$D$36-$Y62)^2)+((Graph!$E$36-$Z62)^2))+(Graph!$D$41^2),3/2))</f>
        <v>-2455.2112607483068</v>
      </c>
      <c r="U62">
        <f>O62+Q62+S62</f>
        <v>6877.706545523798</v>
      </c>
      <c r="V62">
        <f>P62+R62+T62</f>
        <v>-1855.4366129991399</v>
      </c>
      <c r="W62">
        <f>W61+(U61*Graph!$D$5)</f>
        <v>2397.8489528201621</v>
      </c>
      <c r="X62">
        <f>X61+(V61*Graph!$D$5)</f>
        <v>5861.9775774542322</v>
      </c>
      <c r="Y62">
        <f>Y61+(W61*Graph!$D$5)+(U61*Graph!$D$5^2)</f>
        <v>-5070.1412010980857</v>
      </c>
      <c r="Z62">
        <f>Z61+(X61*Graph!$D$5)+(V61*Graph!$D$5^2)</f>
        <v>-13128.469887589814</v>
      </c>
    </row>
    <row r="63" spans="14:26" x14ac:dyDescent="0.35">
      <c r="N63">
        <f>N62+1</f>
        <v>60</v>
      </c>
      <c r="O63">
        <f>Graph!$D$22*((Graph!$D$18-Y63)/POWER((((Graph!$D$18-$Y63)^2)+((Graph!$E$18-$Z63)^2))+(Graph!$D$23^2),(3/2)))</f>
        <v>440.69126758895686</v>
      </c>
      <c r="P63" s="84">
        <f>Graph!$D$22*((Graph!$E$18-Z63)/POWER((((Graph!$D$18-$Y63)^2)+((Graph!$E$18-$Z63)^2))+(Graph!$D$23^2),3/2))</f>
        <v>530.86425258886254</v>
      </c>
      <c r="Q63">
        <f>Graph!$D$31*((Graph!$D$27-Y63)/POWER((((Graph!$D$27-$Y63)^2)+((Graph!$E$27-$Z63)^2))+(Graph!$D$32^2),3/2))</f>
        <v>-153.6886653888036</v>
      </c>
      <c r="R63">
        <f>Graph!$D$31*((Graph!$E$27-Z63)/POWER((((Graph!$D$27-$Y63)^2)+((Graph!$E$27-$Z63)^2))+(Graph!$D$32^2),3/2))</f>
        <v>177.91217294070574</v>
      </c>
      <c r="S63">
        <f>Graph!$D$40*((Graph!$D$36-Y63)/POWER((((Graph!$D$36-$Y63)^2)+((Graph!$E$36-$Z63)^2))+(Graph!$D$41^2),3/2))</f>
        <v>3340.425578628935</v>
      </c>
      <c r="T63">
        <f>Graph!$D$40*((Graph!$E$36-Z63)/POWER((((Graph!$D$36-$Y63)^2)+((Graph!$E$36-$Z63)^2))+(Graph!$D$41^2),3/2))</f>
        <v>-6735.3084659915576</v>
      </c>
      <c r="U63">
        <f>O63+Q63+S63</f>
        <v>3627.4281808290884</v>
      </c>
      <c r="V63">
        <f>P63+R63+T63</f>
        <v>-6026.5320404619888</v>
      </c>
      <c r="W63">
        <f>W62+(U62*Graph!$D$5)</f>
        <v>5836.7022255820611</v>
      </c>
      <c r="X63">
        <f>X62+(V62*Graph!$D$5)</f>
        <v>4934.2592709546625</v>
      </c>
      <c r="Y63">
        <f>Y62+(W62*Graph!$D$5)+(U62*Graph!$D$5^2)</f>
        <v>-2151.7900883070552</v>
      </c>
      <c r="Z63">
        <f>Z62+(X62*Graph!$D$5)+(V62*Graph!$D$5^2)</f>
        <v>-10661.340252112483</v>
      </c>
    </row>
    <row r="64" spans="14:26" x14ac:dyDescent="0.35">
      <c r="N64">
        <f>N63+1</f>
        <v>61</v>
      </c>
      <c r="O64">
        <f>Graph!$D$22*((Graph!$D$18-Y64)/POWER((((Graph!$D$18-$Y64)^2)+((Graph!$E$18-$Z64)^2))+(Graph!$D$23^2),(3/2)))</f>
        <v>486.00837419173547</v>
      </c>
      <c r="P64" s="84">
        <f>Graph!$D$22*((Graph!$E$18-Z64)/POWER((((Graph!$D$18-$Y64)^2)+((Graph!$E$18-$Z64)^2))+(Graph!$D$23^2),3/2))</f>
        <v>718.47192560807423</v>
      </c>
      <c r="Q64">
        <f>Graph!$D$31*((Graph!$D$27-Y64)/POWER((((Graph!$D$27-$Y64)^2)+((Graph!$E$27-$Z64)^2))+(Graph!$D$32^2),3/2))</f>
        <v>-151.6556844349092</v>
      </c>
      <c r="R64">
        <f>Graph!$D$31*((Graph!$E$27-Z64)/POWER((((Graph!$D$27-$Y64)^2)+((Graph!$E$27-$Z64)^2))+(Graph!$D$32^2),3/2))</f>
        <v>137.85296414957915</v>
      </c>
      <c r="S64">
        <f>Graph!$D$40*((Graph!$D$36-Y64)/POWER((((Graph!$D$36-$Y64)^2)+((Graph!$E$36-$Z64)^2))+(Graph!$D$41^2),3/2))</f>
        <v>-2097.5016890039437</v>
      </c>
      <c r="T64">
        <f>Graph!$D$40*((Graph!$E$36-Z64)/POWER((((Graph!$D$36-$Y64)^2)+((Graph!$E$36-$Z64)^2))+(Graph!$D$41^2),3/2))</f>
        <v>-6642.0876196450363</v>
      </c>
      <c r="U64">
        <f>O64+Q64+S64</f>
        <v>-1763.1489992471174</v>
      </c>
      <c r="V64">
        <f>P64+R64+T64</f>
        <v>-5785.7627298873831</v>
      </c>
      <c r="W64">
        <f>W63+(U63*Graph!$D$5)</f>
        <v>7650.4163159966056</v>
      </c>
      <c r="X64">
        <f>X63+(V63*Graph!$D$5)</f>
        <v>1920.9932507236681</v>
      </c>
      <c r="Y64">
        <f>Y63+(W63*Graph!$D$5)+(U63*Graph!$D$5^2)</f>
        <v>1673.4180696912476</v>
      </c>
      <c r="Z64">
        <f>Z63+(X63*Graph!$D$5)+(V63*Graph!$D$5^2)</f>
        <v>-9700.8436267506477</v>
      </c>
    </row>
    <row r="65" spans="14:26" x14ac:dyDescent="0.35">
      <c r="N65">
        <f>N64+1</f>
        <v>62</v>
      </c>
      <c r="O65">
        <f>Graph!$D$22*((Graph!$D$18-Y65)/POWER((((Graph!$D$18-$Y65)^2)+((Graph!$E$18-$Z65)^2))+(Graph!$D$23^2),(3/2)))</f>
        <v>425.01548673684482</v>
      </c>
      <c r="P65" s="84">
        <f>Graph!$D$22*((Graph!$E$18-Z65)/POWER((((Graph!$D$18-$Y65)^2)+((Graph!$E$18-$Z65)^2))+(Graph!$D$23^2),3/2))</f>
        <v>862.96101763175659</v>
      </c>
      <c r="Q65">
        <f>Graph!$D$31*((Graph!$D$27-Y65)/POWER((((Graph!$D$27-$Y65)^2)+((Graph!$E$27-$Z65)^2))+(Graph!$D$32^2),3/2))</f>
        <v>-132.71223979567549</v>
      </c>
      <c r="R65">
        <f>Graph!$D$31*((Graph!$E$27-Z65)/POWER((((Graph!$D$27-$Y65)^2)+((Graph!$E$27-$Z65)^2))+(Graph!$D$32^2),3/2))</f>
        <v>106.9140004519177</v>
      </c>
      <c r="S65">
        <f>Graph!$D$40*((Graph!$D$36-Y65)/POWER((((Graph!$D$36-$Y65)^2)+((Graph!$E$36-$Z65)^2))+(Graph!$D$41^2),3/2))</f>
        <v>-4181.4955996372664</v>
      </c>
      <c r="T65">
        <f>Graph!$D$40*((Graph!$E$36-Z65)/POWER((((Graph!$D$36-$Y65)^2)+((Graph!$E$36-$Z65)^2))+(Graph!$D$41^2),3/2))</f>
        <v>-3979.2540268851008</v>
      </c>
      <c r="U65">
        <f>O65+Q65+S65</f>
        <v>-3889.1923526960973</v>
      </c>
      <c r="V65">
        <f>P65+R65+T65</f>
        <v>-3009.3790088014266</v>
      </c>
      <c r="W65">
        <f>W64+(U64*Graph!$D$5)</f>
        <v>6768.8418163730466</v>
      </c>
      <c r="X65">
        <f>X64+(V64*Graph!$D$5)</f>
        <v>-971.88811422002345</v>
      </c>
      <c r="Y65">
        <f>Y64+(W64*Graph!$D$5)+(U64*Graph!$D$5^2)</f>
        <v>5057.838977877771</v>
      </c>
      <c r="Z65">
        <f>Z64+(X64*Graph!$D$5)+(V64*Graph!$D$5^2)</f>
        <v>-10186.787683860661</v>
      </c>
    </row>
    <row r="66" spans="14:26" x14ac:dyDescent="0.35">
      <c r="N66">
        <f>N65+1</f>
        <v>63</v>
      </c>
      <c r="O66">
        <f>Graph!$D$22*((Graph!$D$18-Y66)/POWER((((Graph!$D$18-$Y66)^2)+((Graph!$E$18-$Z66)^2))+(Graph!$D$23^2),(3/2)))</f>
        <v>313.55853374696238</v>
      </c>
      <c r="P66" s="84">
        <f>Graph!$D$22*((Graph!$E$18-Z66)/POWER((((Graph!$D$18-$Y66)^2)+((Graph!$E$18-$Z66)^2))+(Graph!$D$23^2),3/2))</f>
        <v>892.1622162199651</v>
      </c>
      <c r="Q66">
        <f>Graph!$D$31*((Graph!$D$27-Y66)/POWER((((Graph!$D$27-$Y66)^2)+((Graph!$E$27-$Z66)^2))+(Graph!$D$32^2),3/2))</f>
        <v>-114.94164847431801</v>
      </c>
      <c r="R66">
        <f>Graph!$D$31*((Graph!$E$27-Z66)/POWER((((Graph!$D$27-$Y66)^2)+((Graph!$E$27-$Z66)^2))+(Graph!$D$32^2),3/2))</f>
        <v>89.64823573225982</v>
      </c>
      <c r="S66">
        <f>Graph!$D$40*((Graph!$D$36-Y66)/POWER((((Graph!$D$36-$Y66)^2)+((Graph!$E$36-$Z66)^2))+(Graph!$D$41^2),3/2))</f>
        <v>-4320.5556782806352</v>
      </c>
      <c r="T66">
        <f>Graph!$D$40*((Graph!$E$36-Z66)/POWER((((Graph!$D$36-$Y66)^2)+((Graph!$E$36-$Z66)^2))+(Graph!$D$41^2),3/2))</f>
        <v>-2067.7021482507616</v>
      </c>
      <c r="U66">
        <f>O66+Q66+S66</f>
        <v>-4121.9387930079911</v>
      </c>
      <c r="V66">
        <f>P66+R66+T66</f>
        <v>-1085.8916962985368</v>
      </c>
      <c r="W66">
        <f>W65+(U65*Graph!$D$5)</f>
        <v>4824.2456400249976</v>
      </c>
      <c r="X66">
        <f>X65+(V65*Graph!$D$5)</f>
        <v>-2476.5776186207368</v>
      </c>
      <c r="Y66">
        <f>Y65+(W65*Graph!$D$5)+(U65*Graph!$D$5^2)</f>
        <v>7469.9617978902697</v>
      </c>
      <c r="Z66">
        <f>Z65+(X65*Graph!$D$5)+(V65*Graph!$D$5^2)</f>
        <v>-11425.076493171029</v>
      </c>
    </row>
    <row r="67" spans="14:26" x14ac:dyDescent="0.35">
      <c r="N67">
        <f>N66+1</f>
        <v>64</v>
      </c>
      <c r="O67">
        <f>Graph!$D$22*((Graph!$D$18-Y67)/POWER((((Graph!$D$18-$Y67)^2)+((Graph!$E$18-$Z67)^2))+(Graph!$D$23^2),(3/2)))</f>
        <v>225.3192970374518</v>
      </c>
      <c r="P67" s="84">
        <f>Graph!$D$22*((Graph!$E$18-Z67)/POWER((((Graph!$D$18-$Y67)^2)+((Graph!$E$18-$Z67)^2))+(Graph!$D$23^2),3/2))</f>
        <v>840.48883601305272</v>
      </c>
      <c r="Q67">
        <f>Graph!$D$31*((Graph!$D$27-Y67)/POWER((((Graph!$D$27-$Y67)^2)+((Graph!$E$27-$Z67)^2))+(Graph!$D$32^2),3/2))</f>
        <v>-102.108644607652</v>
      </c>
      <c r="R67">
        <f>Graph!$D$31*((Graph!$E$27-Z67)/POWER((((Graph!$D$27-$Y67)^2)+((Graph!$E$27-$Z67)^2))+(Graph!$D$32^2),3/2))</f>
        <v>81.16864410054346</v>
      </c>
      <c r="S67">
        <f>Graph!$D$40*((Graph!$D$36-Y67)/POWER((((Graph!$D$36-$Y67)^2)+((Graph!$E$36-$Z67)^2))+(Graph!$D$41^2),3/2))</f>
        <v>-4151.5173719684371</v>
      </c>
      <c r="T67">
        <f>Graph!$D$40*((Graph!$E$36-Z67)/POWER((((Graph!$D$36-$Y67)^2)+((Graph!$E$36-$Z67)^2))+(Graph!$D$41^2),3/2))</f>
        <v>-968.58817120103606</v>
      </c>
      <c r="U67">
        <f>O67+Q67+S67</f>
        <v>-4028.3067195386375</v>
      </c>
      <c r="V67">
        <f>P67+R67+T67</f>
        <v>-46.930691087439868</v>
      </c>
      <c r="W67">
        <f>W66+(U66*Graph!$D$5)</f>
        <v>2763.276243521002</v>
      </c>
      <c r="X67">
        <f>X66+(V66*Graph!$D$5)</f>
        <v>-3019.5234667700051</v>
      </c>
      <c r="Y67">
        <f>Y66+(W66*Graph!$D$5)+(U66*Graph!$D$5^2)</f>
        <v>8851.599919650771</v>
      </c>
      <c r="Z67">
        <f>Z66+(X66*Graph!$D$5)+(V66*Graph!$D$5^2)</f>
        <v>-12934.838226556032</v>
      </c>
    </row>
    <row r="68" spans="14:26" x14ac:dyDescent="0.35">
      <c r="N68">
        <f>N67+1</f>
        <v>65</v>
      </c>
      <c r="O68">
        <f>Graph!$D$22*((Graph!$D$18-Y68)/POWER((((Graph!$D$18-$Y68)^2)+((Graph!$E$18-$Z68)^2))+(Graph!$D$23^2),(3/2)))</f>
        <v>179.74688088892168</v>
      </c>
      <c r="P68" s="84">
        <f>Graph!$D$22*((Graph!$E$18-Z68)/POWER((((Graph!$D$18-$Y68)^2)+((Graph!$E$18-$Z68)^2))+(Graph!$D$23^2),3/2))</f>
        <v>761.35648811176145</v>
      </c>
      <c r="Q68">
        <f>Graph!$D$31*((Graph!$D$27-Y68)/POWER((((Graph!$D$27-$Y68)^2)+((Graph!$E$27-$Z68)^2))+(Graph!$D$32^2),3/2))</f>
        <v>-93.65194341908726</v>
      </c>
      <c r="R68">
        <f>Graph!$D$31*((Graph!$E$27-Z68)/POWER((((Graph!$D$27-$Y68)^2)+((Graph!$E$27-$Z68)^2))+(Graph!$D$32^2),3/2))</f>
        <v>78.367564307376725</v>
      </c>
      <c r="S68">
        <f>Graph!$D$40*((Graph!$D$36-Y68)/POWER((((Graph!$D$36-$Y68)^2)+((Graph!$E$36-$Z68)^2))+(Graph!$D$41^2),3/2))</f>
        <v>-4163.5333733310672</v>
      </c>
      <c r="T68">
        <f>Graph!$D$40*((Graph!$E$36-Z68)/POWER((((Graph!$D$36-$Y68)^2)+((Graph!$E$36-$Z68)^2))+(Graph!$D$41^2),3/2))</f>
        <v>-245.34333825225437</v>
      </c>
      <c r="U68">
        <f>O68+Q68+S68</f>
        <v>-4077.4384358612328</v>
      </c>
      <c r="V68">
        <f>P68+R68+T68</f>
        <v>594.38071416688376</v>
      </c>
      <c r="W68">
        <f>W67+(U67*Graph!$D$5)</f>
        <v>749.12288375168328</v>
      </c>
      <c r="X68">
        <f>X67+(V67*Graph!$D$5)</f>
        <v>-3042.9888123137252</v>
      </c>
      <c r="Y68">
        <f>Y67+(W67*Graph!$D$5)+(U67*Graph!$D$5^2)</f>
        <v>9226.1613615266124</v>
      </c>
      <c r="Z68">
        <f>Z67+(X67*Graph!$D$5)+(V67*Graph!$D$5^2)</f>
        <v>-14456.332632712894</v>
      </c>
    </row>
    <row r="69" spans="14:26" x14ac:dyDescent="0.35">
      <c r="N69">
        <f>N68+1</f>
        <v>66</v>
      </c>
      <c r="O69">
        <f>Graph!$D$22*((Graph!$D$18-Y69)/POWER((((Graph!$D$18-$Y69)^2)+((Graph!$E$18-$Z69)^2))+(Graph!$D$23^2),(3/2)))</f>
        <v>169.22953171389651</v>
      </c>
      <c r="P69" s="84">
        <f>Graph!$D$22*((Graph!$E$18-Z69)/POWER((((Graph!$D$18-$Y69)^2)+((Graph!$E$18-$Z69)^2))+(Graph!$D$23^2),3/2))</f>
        <v>680.99643969022918</v>
      </c>
      <c r="Q69">
        <f>Graph!$D$31*((Graph!$D$27-Y69)/POWER((((Graph!$D$27-$Y69)^2)+((Graph!$E$27-$Z69)^2))+(Graph!$D$32^2),3/2))</f>
        <v>-88.6850631107407</v>
      </c>
      <c r="R69">
        <f>Graph!$D$31*((Graph!$E$27-Z69)/POWER((((Graph!$D$27-$Y69)^2)+((Graph!$E$27-$Z69)^2))+(Graph!$D$32^2),3/2))</f>
        <v>80.145479487870745</v>
      </c>
      <c r="S69">
        <f>Graph!$D$40*((Graph!$D$36-Y69)/POWER((((Graph!$D$36-$Y69)^2)+((Graph!$E$36-$Z69)^2))+(Graph!$D$41^2),3/2))</f>
        <v>-4538.9058549137935</v>
      </c>
      <c r="T69">
        <f>Graph!$D$40*((Graph!$E$36-Z69)/POWER((((Graph!$D$36-$Y69)^2)+((Graph!$E$36-$Z69)^2))+(Graph!$D$41^2),3/2))</f>
        <v>438.60226640492994</v>
      </c>
      <c r="U69">
        <f>O69+Q69+S69</f>
        <v>-4458.3613863106375</v>
      </c>
      <c r="V69">
        <f>P69+R69+T69</f>
        <v>1199.7441855830298</v>
      </c>
      <c r="W69">
        <f>W68+(U68*Graph!$D$5)</f>
        <v>-1289.5963341789331</v>
      </c>
      <c r="X69">
        <f>X68+(V68*Graph!$D$5)</f>
        <v>-2745.7984552302833</v>
      </c>
      <c r="Y69">
        <f>Y68+(W68*Graph!$D$5)+(U68*Graph!$D$5^2)</f>
        <v>8581.3631944371464</v>
      </c>
      <c r="Z69">
        <f>Z68+(X68*Graph!$D$5)+(V68*Graph!$D$5^2)</f>
        <v>-15829.231860328036</v>
      </c>
    </row>
    <row r="70" spans="14:26" x14ac:dyDescent="0.35">
      <c r="N70">
        <f>N69+1</f>
        <v>67</v>
      </c>
      <c r="O70">
        <f>Graph!$D$22*((Graph!$D$18-Y70)/POWER((((Graph!$D$18-$Y70)^2)+((Graph!$E$18-$Z70)^2))+(Graph!$D$23^2),(3/2)))</f>
        <v>183.83351912502258</v>
      </c>
      <c r="P70" s="84">
        <f>Graph!$D$22*((Graph!$E$18-Z70)/POWER((((Graph!$D$18-$Y70)^2)+((Graph!$E$18-$Z70)^2))+(Graph!$D$23^2),3/2))</f>
        <v>604.73341590742973</v>
      </c>
      <c r="Q70">
        <f>Graph!$D$31*((Graph!$D$27-Y70)/POWER((((Graph!$D$27-$Y70)^2)+((Graph!$E$27-$Z70)^2))+(Graph!$D$32^2),3/2))</f>
        <v>-86.758400249038587</v>
      </c>
      <c r="R70">
        <f>Graph!$D$31*((Graph!$E$27-Z70)/POWER((((Graph!$D$27-$Y70)^2)+((Graph!$E$27-$Z70)^2))+(Graph!$D$32^2),3/2))</f>
        <v>87.017881150474139</v>
      </c>
      <c r="S70">
        <f>Graph!$D$40*((Graph!$D$36-Y70)/POWER((((Graph!$D$36-$Y70)^2)+((Graph!$E$36-$Z70)^2))+(Graph!$D$41^2),3/2))</f>
        <v>-5482.1212642291821</v>
      </c>
      <c r="T70">
        <f>Graph!$D$40*((Graph!$E$36-Z70)/POWER((((Graph!$D$36-$Y70)^2)+((Graph!$E$36-$Z70)^2))+(Graph!$D$41^2),3/2))</f>
        <v>1528.5990309189149</v>
      </c>
      <c r="U70">
        <f>O70+Q70+S70</f>
        <v>-5385.046145353198</v>
      </c>
      <c r="V70">
        <f>P70+R70+T70</f>
        <v>2220.3503279768188</v>
      </c>
      <c r="W70">
        <f>W69+(U69*Graph!$D$5)</f>
        <v>-3518.7770273342521</v>
      </c>
      <c r="X70">
        <f>X69+(V69*Graph!$D$5)</f>
        <v>-2145.9263624387686</v>
      </c>
      <c r="Y70">
        <f>Y69+(W69*Graph!$D$5)+(U69*Graph!$D$5^2)</f>
        <v>6821.9746807700203</v>
      </c>
      <c r="Z70">
        <f>Z69+(X69*Graph!$D$5)+(V69*Graph!$D$5^2)</f>
        <v>-16902.19504154742</v>
      </c>
    </row>
    <row r="71" spans="14:26" x14ac:dyDescent="0.35">
      <c r="N71">
        <f>N70+1</f>
        <v>68</v>
      </c>
      <c r="O71">
        <f>Graph!$D$22*((Graph!$D$18-Y71)/POWER((((Graph!$D$18-$Y71)^2)+((Graph!$E$18-$Z71)^2))+(Graph!$D$23^2),(3/2)))</f>
        <v>217.30299156616584</v>
      </c>
      <c r="P71" s="84">
        <f>Graph!$D$22*((Graph!$E$18-Z71)/POWER((((Graph!$D$18-$Y71)^2)+((Graph!$E$18-$Z71)^2))+(Graph!$D$23^2),3/2))</f>
        <v>528.0605108013873</v>
      </c>
      <c r="Q71">
        <f>Graph!$D$31*((Graph!$D$27-Y71)/POWER((((Graph!$D$27-$Y71)^2)+((Graph!$E$27-$Z71)^2))+(Graph!$D$32^2),3/2))</f>
        <v>-88.154146694782014</v>
      </c>
      <c r="R71">
        <f>Graph!$D$31*((Graph!$E$27-Z71)/POWER((((Graph!$D$27-$Y71)^2)+((Graph!$E$27-$Z71)^2))+(Graph!$D$32^2),3/2))</f>
        <v>101.9210593243606</v>
      </c>
      <c r="S71">
        <f>Graph!$D$40*((Graph!$D$36-Y71)/POWER((((Graph!$D$36-$Y71)^2)+((Graph!$E$36-$Z71)^2))+(Graph!$D$41^2),3/2))</f>
        <v>-6518.0886989930832</v>
      </c>
      <c r="T71">
        <f>Graph!$D$40*((Graph!$E$36-Z71)/POWER((((Graph!$D$36-$Y71)^2)+((Graph!$E$36-$Z71)^2))+(Graph!$D$41^2),3/2))</f>
        <v>4244.5794330780627</v>
      </c>
      <c r="U71">
        <f>O71+Q71+S71</f>
        <v>-6388.9398541216997</v>
      </c>
      <c r="V71">
        <f>P71+R71+T71</f>
        <v>4874.5610032038103</v>
      </c>
      <c r="W71">
        <f>W70+(U70*Graph!$D$5)</f>
        <v>-6211.3001000108507</v>
      </c>
      <c r="X71">
        <f>X70+(V70*Graph!$D$5)</f>
        <v>-1035.7511984503592</v>
      </c>
      <c r="Y71">
        <f>Y70+(W70*Graph!$D$5)+(U70*Graph!$D$5^2)</f>
        <v>3716.324630764595</v>
      </c>
      <c r="Z71">
        <f>Z70+(X70*Graph!$D$5)+(V70*Graph!$D$5^2)</f>
        <v>-17420.070640772599</v>
      </c>
    </row>
    <row r="72" spans="14:26" x14ac:dyDescent="0.35">
      <c r="N72">
        <f>N71+1</f>
        <v>69</v>
      </c>
      <c r="O72">
        <f>Graph!$D$22*((Graph!$D$18-Y72)/POWER((((Graph!$D$18-$Y72)^2)+((Graph!$E$18-$Z72)^2))+(Graph!$D$23^2),(3/2)))</f>
        <v>266.90216109333062</v>
      </c>
      <c r="P72" s="84">
        <f>Graph!$D$22*((Graph!$E$18-Z72)/POWER((((Graph!$D$18-$Y72)^2)+((Graph!$E$18-$Z72)^2))+(Graph!$D$23^2),3/2))</f>
        <v>446.08973667132119</v>
      </c>
      <c r="Q72">
        <f>Graph!$D$31*((Graph!$D$27-Y72)/POWER((((Graph!$D$27-$Y72)^2)+((Graph!$E$27-$Z72)^2))+(Graph!$D$32^2),3/2))</f>
        <v>-95.191988925943818</v>
      </c>
      <c r="R72">
        <f>Graph!$D$31*((Graph!$E$27-Z72)/POWER((((Graph!$D$27-$Y72)^2)+((Graph!$E$27-$Z72)^2))+(Graph!$D$32^2),3/2))</f>
        <v>133.77189667080575</v>
      </c>
      <c r="S72">
        <f>Graph!$D$40*((Graph!$D$36-Y72)/POWER((((Graph!$D$36-$Y72)^2)+((Graph!$E$36-$Z72)^2))+(Graph!$D$41^2),3/2))</f>
        <v>3319.8241521818868</v>
      </c>
      <c r="T72">
        <f>Graph!$D$40*((Graph!$E$36-Z72)/POWER((((Graph!$D$36-$Y72)^2)+((Graph!$E$36-$Z72)^2))+(Graph!$D$41^2),3/2))</f>
        <v>5785.5491134697295</v>
      </c>
      <c r="U72">
        <f>O72+Q72+S72</f>
        <v>3491.5343243492734</v>
      </c>
      <c r="V72">
        <f>P72+R72+T72</f>
        <v>6365.4107468118564</v>
      </c>
      <c r="W72">
        <f>W71+(U71*Graph!$D$5)</f>
        <v>-9405.7700270716996</v>
      </c>
      <c r="X72">
        <f>X71+(V71*Graph!$D$5)</f>
        <v>1401.5293031515459</v>
      </c>
      <c r="Y72">
        <f>Y71+(W71*Graph!$D$5)+(U71*Graph!$D$5^2)</f>
        <v>-986.56038277125526</v>
      </c>
      <c r="Z72">
        <f>Z71+(X71*Graph!$D$5)+(V71*Graph!$D$5^2)</f>
        <v>-16719.305989196826</v>
      </c>
    </row>
    <row r="73" spans="14:26" x14ac:dyDescent="0.35">
      <c r="N73">
        <f>N72+1</f>
        <v>70</v>
      </c>
      <c r="O73">
        <f>Graph!$D$22*((Graph!$D$18-Y73)/POWER((((Graph!$D$18-$Y73)^2)+((Graph!$E$18-$Z73)^2))+(Graph!$D$23^2),(3/2)))</f>
        <v>321.16155833675123</v>
      </c>
      <c r="P73" s="84">
        <f>Graph!$D$22*((Graph!$E$18-Z73)/POWER((((Graph!$D$18-$Y73)^2)+((Graph!$E$18-$Z73)^2))+(Graph!$D$23^2),3/2))</f>
        <v>395.88471734230791</v>
      </c>
      <c r="Q73">
        <f>Graph!$D$31*((Graph!$D$27-Y73)/POWER((((Graph!$D$27-$Y73)^2)+((Graph!$E$27-$Z73)^2))+(Graph!$D$32^2),3/2))</f>
        <v>-112.1119042117395</v>
      </c>
      <c r="R73">
        <f>Graph!$D$31*((Graph!$E$27-Z73)/POWER((((Graph!$D$27-$Y73)^2)+((Graph!$E$27-$Z73)^2))+(Graph!$D$32^2),3/2))</f>
        <v>180.36617272489397</v>
      </c>
      <c r="S73">
        <f>Graph!$D$40*((Graph!$D$36-Y73)/POWER((((Graph!$D$36-$Y73)^2)+((Graph!$E$36-$Z73)^2))+(Graph!$D$41^2),3/2))</f>
        <v>7460.2861644969153</v>
      </c>
      <c r="T73">
        <f>Graph!$D$40*((Graph!$E$36-Z73)/POWER((((Graph!$D$36-$Y73)^2)+((Graph!$E$36-$Z73)^2))+(Graph!$D$41^2),3/2))</f>
        <v>-887.21721974362447</v>
      </c>
      <c r="U73">
        <f>O73+Q73+S73</f>
        <v>7669.3358186219266</v>
      </c>
      <c r="V73">
        <f>P73+R73+T73</f>
        <v>-310.96632967642256</v>
      </c>
      <c r="W73">
        <f>W72+(U72*Graph!$D$5)</f>
        <v>-7660.0028648970629</v>
      </c>
      <c r="X73">
        <f>X72+(V72*Graph!$D$5)</f>
        <v>4584.2346765574739</v>
      </c>
      <c r="Y73">
        <f>Y72+(W72*Graph!$D$5)+(U72*Graph!$D$5^2)</f>
        <v>-4816.5618152197858</v>
      </c>
      <c r="Z73">
        <f>Z72+(X72*Graph!$D$5)+(V72*Graph!$D$5^2)</f>
        <v>-14427.188650918088</v>
      </c>
    </row>
    <row r="74" spans="14:26" x14ac:dyDescent="0.35">
      <c r="N74">
        <f>N73+1</f>
        <v>71</v>
      </c>
      <c r="O74">
        <f>Graph!$D$22*((Graph!$D$18-Y74)/POWER((((Graph!$D$18-$Y74)^2)+((Graph!$E$18-$Z74)^2))+(Graph!$D$23^2),(3/2)))</f>
        <v>364.93557336273602</v>
      </c>
      <c r="P74" s="84">
        <f>Graph!$D$22*((Graph!$E$18-Z74)/POWER((((Graph!$D$18-$Y74)^2)+((Graph!$E$18-$Z74)^2))+(Graph!$D$23^2),3/2))</f>
        <v>373.05720789940517</v>
      </c>
      <c r="Q74">
        <f>Graph!$D$31*((Graph!$D$27-Y74)/POWER((((Graph!$D$27-$Y74)^2)+((Graph!$E$27-$Z74)^2))+(Graph!$D$32^2),3/2))</f>
        <v>-133.88433097603371</v>
      </c>
      <c r="R74">
        <f>Graph!$D$31*((Graph!$E$27-Z74)/POWER((((Graph!$D$27-$Y74)^2)+((Graph!$E$27-$Z74)^2))+(Graph!$D$32^2),3/2))</f>
        <v>224.0975795011596</v>
      </c>
      <c r="S74">
        <f>Graph!$D$40*((Graph!$D$36-Y74)/POWER((((Graph!$D$36-$Y74)^2)+((Graph!$E$36-$Z74)^2))+(Graph!$D$41^2),3/2))</f>
        <v>5109.7158768596428</v>
      </c>
      <c r="T74">
        <f>Graph!$D$40*((Graph!$E$36-Z74)/POWER((((Graph!$D$36-$Y74)^2)+((Graph!$E$36-$Z74)^2))+(Graph!$D$41^2),3/2))</f>
        <v>-2116.399008232027</v>
      </c>
      <c r="U74">
        <f>O74+Q74+S74</f>
        <v>5340.7671192463449</v>
      </c>
      <c r="V74">
        <f>P74+R74+T74</f>
        <v>-1519.2442208314621</v>
      </c>
      <c r="W74">
        <f>W73+(U73*Graph!$D$5)</f>
        <v>-3825.3349555860996</v>
      </c>
      <c r="X74">
        <f>X73+(V73*Graph!$D$5)</f>
        <v>4428.7515117192625</v>
      </c>
      <c r="Y74">
        <f>Y73+(W73*Graph!$D$5)+(U73*Graph!$D$5^2)</f>
        <v>-6729.2292930128351</v>
      </c>
      <c r="Z74">
        <f>Z73+(X73*Graph!$D$5)+(V73*Graph!$D$5^2)</f>
        <v>-12212.812895058456</v>
      </c>
    </row>
    <row r="75" spans="14:26" x14ac:dyDescent="0.35">
      <c r="N75">
        <f>N74+1</f>
        <v>72</v>
      </c>
      <c r="O75">
        <f>Graph!$D$22*((Graph!$D$18-Y75)/POWER((((Graph!$D$18-$Y75)^2)+((Graph!$E$18-$Z75)^2))+(Graph!$D$23^2),(3/2)))</f>
        <v>406.6544940462914</v>
      </c>
      <c r="P75" s="84">
        <f>Graph!$D$22*((Graph!$E$18-Z75)/POWER((((Graph!$D$18-$Y75)^2)+((Graph!$E$18-$Z75)^2))+(Graph!$D$23^2),3/2))</f>
        <v>371.49844463320818</v>
      </c>
      <c r="Q75">
        <f>Graph!$D$31*((Graph!$D$27-Y75)/POWER((((Graph!$D$27-$Y75)^2)+((Graph!$E$27-$Z75)^2))+(Graph!$D$32^2),3/2))</f>
        <v>-159.62078071539437</v>
      </c>
      <c r="R75">
        <f>Graph!$D$31*((Graph!$E$27-Z75)/POWER((((Graph!$D$27-$Y75)^2)+((Graph!$E$27-$Z75)^2))+(Graph!$D$32^2),3/2))</f>
        <v>256.26063871480687</v>
      </c>
      <c r="S75">
        <f>Graph!$D$40*((Graph!$D$36-Y75)/POWER((((Graph!$D$36-$Y75)^2)+((Graph!$E$36-$Z75)^2))+(Graph!$D$41^2),3/2))</f>
        <v>3840.2584626374132</v>
      </c>
      <c r="T75">
        <f>Graph!$D$40*((Graph!$E$36-Z75)/POWER((((Graph!$D$36-$Y75)^2)+((Graph!$E$36-$Z75)^2))+(Graph!$D$41^2),3/2))</f>
        <v>-2429.1006008200975</v>
      </c>
      <c r="U75">
        <f>O75+Q75+S75</f>
        <v>4087.2921759683104</v>
      </c>
      <c r="V75">
        <f>P75+R75+T75</f>
        <v>-1801.3415174720824</v>
      </c>
      <c r="W75">
        <f>W74+(U74*Graph!$D$5)</f>
        <v>-1154.9513959629271</v>
      </c>
      <c r="X75">
        <f>X74+(V74*Graph!$D$5)</f>
        <v>3669.1294013035313</v>
      </c>
      <c r="Y75">
        <f>Y74+(W74*Graph!$D$5)+(U74*Graph!$D$5^2)</f>
        <v>-7306.704990994298</v>
      </c>
      <c r="Z75">
        <f>Z74+(X74*Graph!$D$5)+(V74*Graph!$D$5^2)</f>
        <v>-10378.248194406689</v>
      </c>
    </row>
    <row r="76" spans="14:26" x14ac:dyDescent="0.35">
      <c r="N76">
        <f>N75+1</f>
        <v>73</v>
      </c>
      <c r="O76">
        <f>Graph!$D$22*((Graph!$D$18-Y76)/POWER((((Graph!$D$18-$Y76)^2)+((Graph!$E$18-$Z76)^2))+(Graph!$D$23^2),(3/2)))</f>
        <v>450.94597155580846</v>
      </c>
      <c r="P76" s="84">
        <f>Graph!$D$22*((Graph!$E$18-Z76)/POWER((((Graph!$D$18-$Y76)^2)+((Graph!$E$18-$Z76)^2))+(Graph!$D$23^2),3/2))</f>
        <v>391.78191270945064</v>
      </c>
      <c r="Q76">
        <f>Graph!$D$31*((Graph!$D$27-Y76)/POWER((((Graph!$D$27-$Y76)^2)+((Graph!$E$27-$Z76)^2))+(Graph!$D$32^2),3/2))</f>
        <v>-185.12892458245111</v>
      </c>
      <c r="R76">
        <f>Graph!$D$31*((Graph!$E$27-Z76)/POWER((((Graph!$D$27-$Y76)^2)+((Graph!$E$27-$Z76)^2))+(Graph!$D$32^2),3/2))</f>
        <v>267.65398177682874</v>
      </c>
      <c r="S76">
        <f>Graph!$D$40*((Graph!$D$36-Y76)/POWER((((Graph!$D$36-$Y76)^2)+((Graph!$E$36-$Z76)^2))+(Graph!$D$41^2),3/2))</f>
        <v>3194.1057929032954</v>
      </c>
      <c r="T76">
        <f>Graph!$D$40*((Graph!$E$36-Z76)/POWER((((Graph!$D$36-$Y76)^2)+((Graph!$E$36-$Z76)^2))+(Graph!$D$41^2),3/2))</f>
        <v>-2795.5026685980129</v>
      </c>
      <c r="U76">
        <f>O76+Q76+S76</f>
        <v>3459.9228398766527</v>
      </c>
      <c r="V76">
        <f>P76+R76+T76</f>
        <v>-2136.0667741117336</v>
      </c>
      <c r="W76">
        <f>W75+(U75*Graph!$D$5)</f>
        <v>888.69469202122809</v>
      </c>
      <c r="X76">
        <f>X75+(V75*Graph!$D$5)</f>
        <v>2768.4586425674902</v>
      </c>
      <c r="Y76">
        <f>Y75+(W75*Graph!$D$5)+(U75*Graph!$D$5^2)</f>
        <v>-6862.3576449836837</v>
      </c>
      <c r="Z76">
        <f>Z75+(X75*Graph!$D$5)+(V75*Graph!$D$5^2)</f>
        <v>-8994.0188731229446</v>
      </c>
    </row>
    <row r="77" spans="14:26" x14ac:dyDescent="0.35">
      <c r="N77">
        <f>N76+1</f>
        <v>74</v>
      </c>
      <c r="O77">
        <f>Graph!$D$22*((Graph!$D$18-Y77)/POWER((((Graph!$D$18-$Y77)^2)+((Graph!$E$18-$Z77)^2))+(Graph!$D$23^2),(3/2)))</f>
        <v>497.23036916015877</v>
      </c>
      <c r="P77" s="84">
        <f>Graph!$D$22*((Graph!$E$18-Z77)/POWER((((Graph!$D$18-$Y77)^2)+((Graph!$E$18-$Z77)^2))+(Graph!$D$23^2),3/2))</f>
        <v>438.94509265830936</v>
      </c>
      <c r="Q77">
        <f>Graph!$D$31*((Graph!$D$27-Y77)/POWER((((Graph!$D$27-$Y77)^2)+((Graph!$E$27-$Z77)^2))+(Graph!$D$32^2),3/2))</f>
        <v>-201.06332489209561</v>
      </c>
      <c r="R77">
        <f>Graph!$D$31*((Graph!$E$27-Z77)/POWER((((Graph!$D$27-$Y77)^2)+((Graph!$E$27-$Z77)^2))+(Graph!$D$32^2),3/2))</f>
        <v>252.51342711374443</v>
      </c>
      <c r="S77">
        <f>Graph!$D$40*((Graph!$D$36-Y77)/POWER((((Graph!$D$36-$Y77)^2)+((Graph!$E$36-$Z77)^2))+(Graph!$D$41^2),3/2))</f>
        <v>2787.8098282888059</v>
      </c>
      <c r="T77">
        <f>Graph!$D$40*((Graph!$E$36-Z77)/POWER((((Graph!$D$36-$Y77)^2)+((Graph!$E$36-$Z77)^2))+(Graph!$D$41^2),3/2))</f>
        <v>-3442.0425872872825</v>
      </c>
      <c r="U77">
        <f>O77+Q77+S77</f>
        <v>3083.9768725568692</v>
      </c>
      <c r="V77">
        <f>P77+R77+T77</f>
        <v>-2750.5840675152285</v>
      </c>
      <c r="W77">
        <f>W76+(U76*Graph!$D$5)</f>
        <v>2618.6561119595544</v>
      </c>
      <c r="X77">
        <f>X76+(V76*Graph!$D$5)</f>
        <v>1700.4252555116234</v>
      </c>
      <c r="Y77">
        <f>Y76+(W76*Graph!$D$5)+(U76*Graph!$D$5^2)</f>
        <v>-5553.029589003906</v>
      </c>
      <c r="Z77">
        <f>Z76+(X76*Graph!$D$5)+(V76*Graph!$D$5^2)</f>
        <v>-8143.8062453671328</v>
      </c>
    </row>
    <row r="78" spans="14:26" x14ac:dyDescent="0.35">
      <c r="N78">
        <f>N77+1</f>
        <v>75</v>
      </c>
      <c r="O78">
        <f>Graph!$D$22*((Graph!$D$18-Y78)/POWER((((Graph!$D$18-$Y78)^2)+((Graph!$E$18-$Z78)^2))+(Graph!$D$23^2),(3/2)))</f>
        <v>534.15280283772267</v>
      </c>
      <c r="P78" s="84">
        <f>Graph!$D$22*((Graph!$E$18-Z78)/POWER((((Graph!$D$18-$Y78)^2)+((Graph!$E$18-$Z78)^2))+(Graph!$D$23^2),3/2))</f>
        <v>519.94162986171307</v>
      </c>
      <c r="Q78">
        <f>Graph!$D$31*((Graph!$D$27-Y78)/POWER((((Graph!$D$27-$Y78)^2)+((Graph!$E$27-$Z78)^2))+(Graph!$D$32^2),3/2))</f>
        <v>-197.63382393019629</v>
      </c>
      <c r="R78">
        <f>Graph!$D$31*((Graph!$E$27-Z78)/POWER((((Graph!$D$27-$Y78)^2)+((Graph!$E$27-$Z78)^2))+(Graph!$D$32^2),3/2))</f>
        <v>215.02016184235944</v>
      </c>
      <c r="S78">
        <f>Graph!$D$40*((Graph!$D$36-Y78)/POWER((((Graph!$D$36-$Y78)^2)+((Graph!$E$36-$Z78)^2))+(Graph!$D$41^2),3/2))</f>
        <v>2267.1451822356771</v>
      </c>
      <c r="T78">
        <f>Graph!$D$40*((Graph!$E$36-Z78)/POWER((((Graph!$D$36-$Y78)^2)+((Graph!$E$36-$Z78)^2))+(Graph!$D$41^2),3/2))</f>
        <v>-4582.1738790733025</v>
      </c>
      <c r="U78">
        <f>O78+Q78+S78</f>
        <v>2603.6641611432033</v>
      </c>
      <c r="V78">
        <f>P78+R78+T78</f>
        <v>-3847.2120873692302</v>
      </c>
      <c r="W78">
        <f>W77+(U77*Graph!$D$5)</f>
        <v>4160.6445482379895</v>
      </c>
      <c r="X78">
        <f>X77+(V77*Graph!$D$5)</f>
        <v>325.13322175400913</v>
      </c>
      <c r="Y78">
        <f>Y77+(W77*Graph!$D$5)+(U77*Graph!$D$5^2)</f>
        <v>-3472.7073148849113</v>
      </c>
      <c r="Z78">
        <f>Z77+(X77*Graph!$D$5)+(V77*Graph!$D$5^2)</f>
        <v>-7981.2396344901281</v>
      </c>
    </row>
    <row r="79" spans="14:26" x14ac:dyDescent="0.35">
      <c r="N79">
        <f>N78+1</f>
        <v>76</v>
      </c>
      <c r="O79">
        <f>Graph!$D$22*((Graph!$D$18-Y79)/POWER((((Graph!$D$18-$Y79)^2)+((Graph!$E$18-$Z79)^2))+(Graph!$D$23^2),(3/2)))</f>
        <v>526.86915945767555</v>
      </c>
      <c r="P79" s="84">
        <f>Graph!$D$22*((Graph!$E$18-Z79)/POWER((((Graph!$D$18-$Y79)^2)+((Graph!$E$18-$Z79)^2))+(Graph!$D$23^2),3/2))</f>
        <v>628.58514843705632</v>
      </c>
      <c r="Q79">
        <f>Graph!$D$31*((Graph!$D$27-Y79)/POWER((((Graph!$D$27-$Y79)^2)+((Graph!$E$27-$Z79)^2))+(Graph!$D$32^2),3/2))</f>
        <v>-173.27437905060728</v>
      </c>
      <c r="R79">
        <f>Graph!$D$31*((Graph!$E$27-Z79)/POWER((((Graph!$D$27-$Y79)^2)+((Graph!$E$27-$Z79)^2))+(Graph!$D$32^2),3/2))</f>
        <v>168.97318518905834</v>
      </c>
      <c r="S79">
        <f>Graph!$D$40*((Graph!$D$36-Y79)/POWER((((Graph!$D$36-$Y79)^2)+((Graph!$E$36-$Z79)^2))+(Graph!$D$41^2),3/2))</f>
        <v>754.15718405661084</v>
      </c>
      <c r="T79">
        <f>Graph!$D$40*((Graph!$E$36-Z79)/POWER((((Graph!$D$36-$Y79)^2)+((Graph!$E$36-$Z79)^2))+(Graph!$D$41^2),3/2))</f>
        <v>-6325.9538412189577</v>
      </c>
      <c r="U79">
        <f>O79+Q79+S79</f>
        <v>1107.7519644636791</v>
      </c>
      <c r="V79">
        <f>P79+R79+T79</f>
        <v>-5528.3955075928434</v>
      </c>
      <c r="W79">
        <f>W78+(U78*Graph!$D$5)</f>
        <v>5462.4766288095907</v>
      </c>
      <c r="X79">
        <f>X78+(V78*Graph!$D$5)</f>
        <v>-1598.472821930606</v>
      </c>
      <c r="Y79">
        <f>Y78+(W78*Graph!$D$5)+(U78*Graph!$D$5^2)</f>
        <v>-741.46900048011571</v>
      </c>
      <c r="Z79">
        <f>Z78+(X78*Graph!$D$5)+(V78*Graph!$D$5^2)</f>
        <v>-8780.4760454554307</v>
      </c>
    </row>
    <row r="80" spans="14:26" x14ac:dyDescent="0.35">
      <c r="N80">
        <f>N79+1</f>
        <v>77</v>
      </c>
      <c r="O80">
        <f>Graph!$D$22*((Graph!$D$18-Y80)/POWER((((Graph!$D$18-$Y80)^2)+((Graph!$E$18-$Z80)^2))+(Graph!$D$23^2),(3/2)))</f>
        <v>425.13033070010772</v>
      </c>
      <c r="P80" s="84">
        <f>Graph!$D$22*((Graph!$E$18-Z80)/POWER((((Graph!$D$18-$Y80)^2)+((Graph!$E$18-$Z80)^2))+(Graph!$D$23^2),3/2))</f>
        <v>699.85839465819049</v>
      </c>
      <c r="Q80">
        <f>Graph!$D$31*((Graph!$D$27-Y80)/POWER((((Graph!$D$27-$Y80)^2)+((Graph!$E$27-$Z80)^2))+(Graph!$D$32^2),3/2))</f>
        <v>-137.12343615182709</v>
      </c>
      <c r="R80">
        <f>Graph!$D$31*((Graph!$E$27-Z80)/POWER((((Graph!$D$27-$Y80)^2)+((Graph!$E$27-$Z80)^2))+(Graph!$D$32^2),3/2))</f>
        <v>129.08759066233054</v>
      </c>
      <c r="S80">
        <f>Graph!$D$40*((Graph!$D$36-Y80)/POWER((((Graph!$D$36-$Y80)^2)+((Graph!$E$36-$Z80)^2))+(Graph!$D$41^2),3/2))</f>
        <v>-3749.6143412290321</v>
      </c>
      <c r="T80">
        <f>Graph!$D$40*((Graph!$E$36-Z80)/POWER((((Graph!$D$36-$Y80)^2)+((Graph!$E$36-$Z80)^2))+(Graph!$D$41^2),3/2))</f>
        <v>-6680.0200023640118</v>
      </c>
      <c r="U80">
        <f>O80+Q80+S80</f>
        <v>-3461.6074466807513</v>
      </c>
      <c r="V80">
        <f>P80+R80+T80</f>
        <v>-5851.074017043491</v>
      </c>
      <c r="W80">
        <f>W79+(U79*Graph!$D$5)</f>
        <v>6016.3526110414305</v>
      </c>
      <c r="X80">
        <f>X79+(V79*Graph!$D$5)</f>
        <v>-4362.6705757270274</v>
      </c>
      <c r="Y80">
        <f>Y79+(W79*Graph!$D$5)+(U79*Graph!$D$5^2)</f>
        <v>2266.7073050405993</v>
      </c>
      <c r="Z80">
        <f>Z79+(X79*Graph!$D$5)+(V79*Graph!$D$5^2)</f>
        <v>-10961.811333318945</v>
      </c>
    </row>
    <row r="81" spans="14:26" x14ac:dyDescent="0.35">
      <c r="N81">
        <f>N80+1</f>
        <v>78</v>
      </c>
      <c r="O81">
        <f>Graph!$D$22*((Graph!$D$18-Y81)/POWER((((Graph!$D$18-$Y81)^2)+((Graph!$E$18-$Z81)^2))+(Graph!$D$23^2),(3/2)))</f>
        <v>274.01511917139084</v>
      </c>
      <c r="P81" s="84">
        <f>Graph!$D$22*((Graph!$E$18-Z81)/POWER((((Graph!$D$18-$Y81)^2)+((Graph!$E$18-$Z81)^2))+(Graph!$D$23^2),3/2))</f>
        <v>636.64427042685315</v>
      </c>
      <c r="Q81">
        <f>Graph!$D$31*((Graph!$D$27-Y81)/POWER((((Graph!$D$27-$Y81)^2)+((Graph!$E$27-$Z81)^2))+(Graph!$D$32^2),3/2))</f>
        <v>-103.7000157540036</v>
      </c>
      <c r="R81">
        <f>Graph!$D$31*((Graph!$E$27-Z81)/POWER((((Graph!$D$27-$Y81)^2)+((Graph!$E$27-$Z81)^2))+(Graph!$D$32^2),3/2))</f>
        <v>104.53453344072184</v>
      </c>
      <c r="S81">
        <f>Graph!$D$40*((Graph!$D$36-Y81)/POWER((((Graph!$D$36-$Y81)^2)+((Graph!$E$36-$Z81)^2))+(Graph!$D$41^2),3/2))</f>
        <v>-7751.7711230193854</v>
      </c>
      <c r="T81">
        <f>Graph!$D$40*((Graph!$E$36-Z81)/POWER((((Graph!$D$36-$Y81)^2)+((Graph!$E$36-$Z81)^2))+(Graph!$D$41^2),3/2))</f>
        <v>-692.7924696309999</v>
      </c>
      <c r="U81">
        <f>O81+Q81+S81</f>
        <v>-7581.4560196019984</v>
      </c>
      <c r="V81">
        <f>P81+R81+T81</f>
        <v>48.386334236575067</v>
      </c>
      <c r="W81">
        <f>W80+(U80*Graph!$D$5)</f>
        <v>4285.5488877010548</v>
      </c>
      <c r="X81">
        <f>X80+(V80*Graph!$D$5)</f>
        <v>-7288.2075842487729</v>
      </c>
      <c r="Y81">
        <f>Y80+(W80*Graph!$D$5)+(U80*Graph!$D$5^2)</f>
        <v>4409.4817488911267</v>
      </c>
      <c r="Z81">
        <f>Z80+(X80*Graph!$D$5)+(V80*Graph!$D$5^2)</f>
        <v>-14605.915125443331</v>
      </c>
    </row>
    <row r="82" spans="14:26" x14ac:dyDescent="0.35">
      <c r="N82">
        <f>N81+1</f>
        <v>79</v>
      </c>
      <c r="O82">
        <f>Graph!$D$22*((Graph!$D$18-Y82)/POWER((((Graph!$D$18-$Y82)^2)+((Graph!$E$18-$Z82)^2))+(Graph!$D$23^2),(3/2)))</f>
        <v>191.14969676222631</v>
      </c>
      <c r="P82" s="84">
        <f>Graph!$D$22*((Graph!$E$18-Z82)/POWER((((Graph!$D$18-$Y82)^2)+((Graph!$E$18-$Z82)^2))+(Graph!$D$23^2),3/2))</f>
        <v>521.8615516117701</v>
      </c>
      <c r="Q82">
        <f>Graph!$D$31*((Graph!$D$27-Y82)/POWER((((Graph!$D$27-$Y82)^2)+((Graph!$E$27-$Z82)^2))+(Graph!$D$32^2),3/2))</f>
        <v>-82.966721114617158</v>
      </c>
      <c r="R82">
        <f>Graph!$D$31*((Graph!$E$27-Z82)/POWER((((Graph!$D$27-$Y82)^2)+((Graph!$E$27-$Z82)^2))+(Graph!$D$32^2),3/2))</f>
        <v>95.016347124930775</v>
      </c>
      <c r="S82">
        <f>Graph!$D$40*((Graph!$D$36-Y82)/POWER((((Graph!$D$36-$Y82)^2)+((Graph!$E$36-$Z82)^2))+(Graph!$D$41^2),3/2))</f>
        <v>-5640.7072759163575</v>
      </c>
      <c r="T82">
        <f>Graph!$D$40*((Graph!$E$36-Z82)/POWER((((Graph!$D$36-$Y82)^2)+((Graph!$E$36-$Z82)^2))+(Graph!$D$41^2),3/2))</f>
        <v>3921.9658372123827</v>
      </c>
      <c r="U82">
        <f>O82+Q82+S82</f>
        <v>-5532.5243002687484</v>
      </c>
      <c r="V82">
        <f>P82+R82+T82</f>
        <v>4538.8437359490836</v>
      </c>
      <c r="W82">
        <f>W81+(U81*Graph!$D$5)</f>
        <v>494.82087790005562</v>
      </c>
      <c r="X82">
        <f>X81+(V81*Graph!$D$5)</f>
        <v>-7264.0144171304855</v>
      </c>
      <c r="Y82">
        <f>Y81+(W81*Graph!$D$5)+(U81*Graph!$D$5^2)</f>
        <v>4656.8921878411538</v>
      </c>
      <c r="Z82">
        <f>Z81+(X81*Graph!$D$5)+(V81*Graph!$D$5^2)</f>
        <v>-18237.922334008574</v>
      </c>
    </row>
    <row r="83" spans="14:26" x14ac:dyDescent="0.35">
      <c r="N83">
        <f>N82+1</f>
        <v>80</v>
      </c>
      <c r="O83">
        <f>Graph!$D$22*((Graph!$D$18-Y83)/POWER((((Graph!$D$18-$Y83)^2)+((Graph!$E$18-$Z83)^2))+(Graph!$D$23^2),(3/2)))</f>
        <v>164.42521815630766</v>
      </c>
      <c r="P83" s="84">
        <f>Graph!$D$22*((Graph!$E$18-Z83)/POWER((((Graph!$D$18-$Y83)^2)+((Graph!$E$18-$Z83)^2))+(Graph!$D$23^2),3/2))</f>
        <v>440.25791025369421</v>
      </c>
      <c r="Q83">
        <f>Graph!$D$31*((Graph!$D$27-Y83)/POWER((((Graph!$D$27-$Y83)^2)+((Graph!$E$27-$Z83)^2))+(Graph!$D$32^2),3/2))</f>
        <v>-71.981669898609539</v>
      </c>
      <c r="R83">
        <f>Graph!$D$31*((Graph!$E$27-Z83)/POWER((((Graph!$D$27-$Y83)^2)+((Graph!$E$27-$Z83)^2))+(Graph!$D$32^2),3/2))</f>
        <v>94.058765537243062</v>
      </c>
      <c r="S83">
        <f>Graph!$D$40*((Graph!$D$36-Y83)/POWER((((Graph!$D$36-$Y83)^2)+((Graph!$E$36-$Z83)^2))+(Graph!$D$41^2),3/2))</f>
        <v>-3128.4749903641923</v>
      </c>
      <c r="T83">
        <f>Graph!$D$40*((Graph!$E$36-Z83)/POWER((((Graph!$D$36-$Y83)^2)+((Graph!$E$36-$Z83)^2))+(Graph!$D$41^2),3/2))</f>
        <v>5095.6017671020727</v>
      </c>
      <c r="U83">
        <f>O83+Q83+S83</f>
        <v>-3036.0314421064941</v>
      </c>
      <c r="V83">
        <f>P83+R83+T83</f>
        <v>5629.9184428930103</v>
      </c>
      <c r="W83">
        <f>W82+(U82*Graph!$D$5)</f>
        <v>-2271.4412722343186</v>
      </c>
      <c r="X83">
        <f>X82+(V82*Graph!$D$5)</f>
        <v>-4994.5925491559437</v>
      </c>
      <c r="Y83">
        <f>Y82+(W82*Graph!$D$5)+(U82*Graph!$D$5^2)</f>
        <v>3521.1715517239945</v>
      </c>
      <c r="Z83">
        <f>Z82+(X82*Graph!$D$5)+(V82*Graph!$D$5^2)</f>
        <v>-20735.218608586547</v>
      </c>
    </row>
    <row r="84" spans="14:26" x14ac:dyDescent="0.35">
      <c r="N84">
        <f>N83+1</f>
        <v>81</v>
      </c>
      <c r="O84">
        <f>Graph!$D$22*((Graph!$D$18-Y84)/POWER((((Graph!$D$18-$Y84)^2)+((Graph!$E$18-$Z84)^2))+(Graph!$D$23^2),(3/2)))</f>
        <v>164.99788556157824</v>
      </c>
      <c r="P84" s="84">
        <f>Graph!$D$22*((Graph!$E$18-Z84)/POWER((((Graph!$D$18-$Y84)^2)+((Graph!$E$18-$Z84)^2))+(Graph!$D$23^2),3/2))</f>
        <v>392.64524385714577</v>
      </c>
      <c r="Q84">
        <f>Graph!$D$31*((Graph!$D$27-Y84)/POWER((((Graph!$D$27-$Y84)^2)+((Graph!$E$27-$Z84)^2))+(Graph!$D$32^2),3/2))</f>
        <v>-67.341308030303566</v>
      </c>
      <c r="R84">
        <f>Graph!$D$31*((Graph!$E$27-Z84)/POWER((((Graph!$D$27-$Y84)^2)+((Graph!$E$27-$Z84)^2))+(Graph!$D$32^2),3/2))</f>
        <v>99.098104015459171</v>
      </c>
      <c r="S84">
        <f>Graph!$D$40*((Graph!$D$36-Y84)/POWER((((Graph!$D$36-$Y84)^2)+((Graph!$E$36-$Z84)^2))+(Graph!$D$41^2),3/2))</f>
        <v>-1331.6794015561636</v>
      </c>
      <c r="T84">
        <f>Graph!$D$40*((Graph!$E$36-Z84)/POWER((((Graph!$D$36-$Y84)^2)+((Graph!$E$36-$Z84)^2))+(Graph!$D$41^2),3/2))</f>
        <v>5588.1199521959661</v>
      </c>
      <c r="U84">
        <f>O84+Q84+S84</f>
        <v>-1234.0228240248889</v>
      </c>
      <c r="V84">
        <f>P84+R84+T84</f>
        <v>6079.8633000685713</v>
      </c>
      <c r="W84">
        <f>W83+(U83*Graph!$D$5)</f>
        <v>-3789.4569932875656</v>
      </c>
      <c r="X84">
        <f>X83+(V83*Graph!$D$5)</f>
        <v>-2179.6333277094386</v>
      </c>
      <c r="Y84">
        <f>Y83+(W83*Graph!$D$5)+(U83*Graph!$D$5^2)</f>
        <v>1626.4430550802117</v>
      </c>
      <c r="Z84">
        <f>Z83+(X83*Graph!$D$5)+(V83*Graph!$D$5^2)</f>
        <v>-21825.035272441266</v>
      </c>
    </row>
    <row r="85" spans="14:26" x14ac:dyDescent="0.35">
      <c r="N85">
        <f>N84+1</f>
        <v>82</v>
      </c>
      <c r="O85">
        <f>Graph!$D$22*((Graph!$D$18-Y85)/POWER((((Graph!$D$18-$Y85)^2)+((Graph!$E$18-$Z85)^2))+(Graph!$D$23^2),(3/2)))</f>
        <v>183.82598441304879</v>
      </c>
      <c r="P85" s="84">
        <f>Graph!$D$22*((Graph!$E$18-Z85)/POWER((((Graph!$D$18-$Y85)^2)+((Graph!$E$18-$Z85)^2))+(Graph!$D$23^2),3/2))</f>
        <v>370.49966134018416</v>
      </c>
      <c r="Q85">
        <f>Graph!$D$31*((Graph!$D$27-Y85)/POWER((((Graph!$D$27-$Y85)^2)+((Graph!$E$27-$Z85)^2))+(Graph!$D$32^2),3/2))</f>
        <v>-68.405126822712404</v>
      </c>
      <c r="R85">
        <f>Graph!$D$31*((Graph!$E$27-Z85)/POWER((((Graph!$D$27-$Y85)^2)+((Graph!$E$27-$Z85)^2))+(Graph!$D$32^2),3/2))</f>
        <v>110.56726941171415</v>
      </c>
      <c r="S85">
        <f>Graph!$D$40*((Graph!$D$36-Y85)/POWER((((Graph!$D$36-$Y85)^2)+((Graph!$E$36-$Z85)^2))+(Graph!$D$41^2),3/2))</f>
        <v>560.35346629311266</v>
      </c>
      <c r="T85">
        <f>Graph!$D$40*((Graph!$E$36-Z85)/POWER((((Graph!$D$36-$Y85)^2)+((Graph!$E$36-$Z85)^2))+(Graph!$D$41^2),3/2))</f>
        <v>6212.6414632103606</v>
      </c>
      <c r="U85">
        <f>O85+Q85+S85</f>
        <v>675.77432388344903</v>
      </c>
      <c r="V85">
        <f>P85+R85+T85</f>
        <v>6693.7083939622589</v>
      </c>
      <c r="W85">
        <f>W84+(U84*Graph!$D$5)</f>
        <v>-4406.4684053000101</v>
      </c>
      <c r="X85">
        <f>X84+(V84*Graph!$D$5)</f>
        <v>860.29832232484705</v>
      </c>
      <c r="Y85">
        <f>Y84+(W84*Graph!$D$5)+(U84*Graph!$D$5^2)</f>
        <v>-576.79114756979334</v>
      </c>
      <c r="Z85">
        <f>Z84+(X84*Graph!$D$5)+(V84*Graph!$D$5^2)</f>
        <v>-21394.886111278844</v>
      </c>
    </row>
    <row r="86" spans="14:26" x14ac:dyDescent="0.35">
      <c r="N86">
        <f>N85+1</f>
        <v>83</v>
      </c>
      <c r="O86">
        <f>Graph!$D$22*((Graph!$D$18-Y86)/POWER((((Graph!$D$18-$Y86)^2)+((Graph!$E$18-$Z86)^2))+(Graph!$D$23^2),(3/2)))</f>
        <v>223.74453827672335</v>
      </c>
      <c r="P86" s="84">
        <f>Graph!$D$22*((Graph!$E$18-Z86)/POWER((((Graph!$D$18-$Y86)^2)+((Graph!$E$18-$Z86)^2))+(Graph!$D$23^2),3/2))</f>
        <v>372.13901361335655</v>
      </c>
      <c r="Q86">
        <f>Graph!$D$31*((Graph!$D$27-Y86)/POWER((((Graph!$D$27-$Y86)^2)+((Graph!$E$27-$Z86)^2))+(Graph!$D$32^2),3/2))</f>
        <v>-77.774552839049278</v>
      </c>
      <c r="R86">
        <f>Graph!$D$31*((Graph!$E$27-Z86)/POWER((((Graph!$D$27-$Y86)^2)+((Graph!$E$27-$Z86)^2))+(Graph!$D$32^2),3/2))</f>
        <v>131.00979000243672</v>
      </c>
      <c r="S86">
        <f>Graph!$D$40*((Graph!$D$36-Y86)/POWER((((Graph!$D$36-$Y86)^2)+((Graph!$E$36-$Z86)^2))+(Graph!$D$41^2),3/2))</f>
        <v>3840.0269892028773</v>
      </c>
      <c r="T86">
        <f>Graph!$D$40*((Graph!$E$36-Z86)/POWER((((Graph!$D$36-$Y86)^2)+((Graph!$E$36-$Z86)^2))+(Graph!$D$41^2),3/2))</f>
        <v>6311.0798916173017</v>
      </c>
      <c r="U86">
        <f>O86+Q86+S86</f>
        <v>3985.9969746405513</v>
      </c>
      <c r="V86">
        <f>P86+R86+T86</f>
        <v>6814.2286952330951</v>
      </c>
      <c r="W86">
        <f>W85+(U85*Graph!$D$5)</f>
        <v>-4068.5812433582855</v>
      </c>
      <c r="X86">
        <f>X85+(V85*Graph!$D$5)</f>
        <v>4207.152519305977</v>
      </c>
      <c r="Y86">
        <f>Y85+(W85*Graph!$D$5)+(U85*Graph!$D$5^2)</f>
        <v>-2611.0817692489363</v>
      </c>
      <c r="Z86">
        <f>Z85+(X85*Graph!$D$5)+(V85*Graph!$D$5^2)</f>
        <v>-19291.309851625858</v>
      </c>
    </row>
    <row r="87" spans="14:26" x14ac:dyDescent="0.35">
      <c r="N87">
        <f>N86+1</f>
        <v>84</v>
      </c>
      <c r="O87">
        <f>Graph!$D$22*((Graph!$D$18-Y87)/POWER((((Graph!$D$18-$Y87)^2)+((Graph!$E$18-$Z87)^2))+(Graph!$D$23^2),(3/2)))</f>
        <v>298.76676692465145</v>
      </c>
      <c r="P87" s="84">
        <f>Graph!$D$22*((Graph!$E$18-Z87)/POWER((((Graph!$D$18-$Y87)^2)+((Graph!$E$18-$Z87)^2))+(Graph!$D$23^2),3/2))</f>
        <v>408.27265733789943</v>
      </c>
      <c r="Q87">
        <f>Graph!$D$31*((Graph!$D$27-Y87)/POWER((((Graph!$D$27-$Y87)^2)+((Graph!$E$27-$Z87)^2))+(Graph!$D$32^2),3/2))</f>
        <v>-103.70029160963753</v>
      </c>
      <c r="R87">
        <f>Graph!$D$31*((Graph!$E$27-Z87)/POWER((((Graph!$D$27-$Y87)^2)+((Graph!$E$27-$Z87)^2))+(Graph!$D$32^2),3/2))</f>
        <v>161.6228991308665</v>
      </c>
      <c r="S87">
        <f>Graph!$D$40*((Graph!$D$36-Y87)/POWER((((Graph!$D$36-$Y87)^2)+((Graph!$E$36-$Z87)^2))+(Graph!$D$41^2),3/2))</f>
        <v>7982.570229743561</v>
      </c>
      <c r="T87">
        <f>Graph!$D$40*((Graph!$E$36-Z87)/POWER((((Graph!$D$36-$Y87)^2)+((Graph!$E$36-$Z87)^2))+(Graph!$D$41^2),3/2))</f>
        <v>1059.2235206856722</v>
      </c>
      <c r="U87">
        <f>O87+Q87+S87</f>
        <v>8177.636705058575</v>
      </c>
      <c r="V87">
        <f>P87+R87+T87</f>
        <v>1629.1190771544379</v>
      </c>
      <c r="W87">
        <f>W86+(U86*Graph!$D$5)</f>
        <v>-2075.5827560380098</v>
      </c>
      <c r="X87">
        <f>X86+(V86*Graph!$D$5)</f>
        <v>7614.2668669225241</v>
      </c>
      <c r="Y87">
        <f>Y86+(W86*Graph!$D$5)+(U86*Graph!$D$5^2)</f>
        <v>-3648.873147267941</v>
      </c>
      <c r="Z87">
        <f>Z86+(X86*Graph!$D$5)+(V86*Graph!$D$5^2)</f>
        <v>-15484.176418164594</v>
      </c>
    </row>
    <row r="88" spans="14:26" x14ac:dyDescent="0.35">
      <c r="N88">
        <f>N87+1</f>
        <v>85</v>
      </c>
      <c r="O88">
        <f>Graph!$D$22*((Graph!$D$18-Y88)/POWER((((Graph!$D$18-$Y88)^2)+((Graph!$E$18-$Z88)^2))+(Graph!$D$23^2),(3/2)))</f>
        <v>417.08503876602322</v>
      </c>
      <c r="P88" s="84">
        <f>Graph!$D$22*((Graph!$E$18-Z88)/POWER((((Graph!$D$18-$Y88)^2)+((Graph!$E$18-$Z88)^2))+(Graph!$D$23^2),3/2))</f>
        <v>502.84387340176511</v>
      </c>
      <c r="Q88">
        <f>Graph!$D$31*((Graph!$D$27-Y88)/POWER((((Graph!$D$27-$Y88)^2)+((Graph!$E$27-$Z88)^2))+(Graph!$D$32^2),3/2))</f>
        <v>-147.05859152516206</v>
      </c>
      <c r="R88">
        <f>Graph!$D$31*((Graph!$E$27-Z88)/POWER((((Graph!$D$27-$Y88)^2)+((Graph!$E$27-$Z88)^2))+(Graph!$D$32^2),3/2))</f>
        <v>180.20206446327734</v>
      </c>
      <c r="S88">
        <f>Graph!$D$40*((Graph!$D$36-Y88)/POWER((((Graph!$D$36-$Y88)^2)+((Graph!$E$36-$Z88)^2))+(Graph!$D$41^2),3/2))</f>
        <v>4449.4732558942615</v>
      </c>
      <c r="T88">
        <f>Graph!$D$40*((Graph!$E$36-Z88)/POWER((((Graph!$D$36-$Y88)^2)+((Graph!$E$36-$Z88)^2))+(Graph!$D$41^2),3/2))</f>
        <v>-6281.599095752309</v>
      </c>
      <c r="U88">
        <f>O88+Q88+S88</f>
        <v>4719.4997031351222</v>
      </c>
      <c r="V88">
        <f>P88+R88+T88</f>
        <v>-5598.5531578872669</v>
      </c>
      <c r="W88">
        <f>W87+(U87*Graph!$D$5)</f>
        <v>2013.2355964912776</v>
      </c>
      <c r="X88">
        <f>X87+(V87*Graph!$D$5)</f>
        <v>8428.8264054997435</v>
      </c>
      <c r="Y88">
        <f>Y87+(W87*Graph!$D$5)+(U87*Graph!$D$5^2)</f>
        <v>-2642.2553490223017</v>
      </c>
      <c r="Z88">
        <f>Z87+(X87*Graph!$D$5)+(V87*Graph!$D$5^2)</f>
        <v>-11269.763215414723</v>
      </c>
    </row>
    <row r="89" spans="14:26" x14ac:dyDescent="0.35">
      <c r="N89">
        <f>N88+1</f>
        <v>86</v>
      </c>
      <c r="O89">
        <f>Graph!$D$22*((Graph!$D$18-Y89)/POWER((((Graph!$D$18-$Y89)^2)+((Graph!$E$18-$Z89)^2))+(Graph!$D$23^2),(3/2)))</f>
        <v>544.54021777532523</v>
      </c>
      <c r="P89" s="84">
        <f>Graph!$D$22*((Graph!$E$18-Z89)/POWER((((Graph!$D$18-$Y89)^2)+((Graph!$E$18-$Z89)^2))+(Graph!$D$23^2),3/2))</f>
        <v>650.20947803869433</v>
      </c>
      <c r="Q89">
        <f>Graph!$D$31*((Graph!$D$27-Y89)/POWER((((Graph!$D$27-$Y89)^2)+((Graph!$E$27-$Z89)^2))+(Graph!$D$32^2),3/2))</f>
        <v>-176.2160688009717</v>
      </c>
      <c r="R89">
        <f>Graph!$D$31*((Graph!$E$27-Z89)/POWER((((Graph!$D$27-$Y89)^2)+((Graph!$E$27-$Z89)^2))+(Graph!$D$32^2),3/2))</f>
        <v>166.39510797843343</v>
      </c>
      <c r="S89">
        <f>Graph!$D$40*((Graph!$D$36-Y89)/POWER((((Graph!$D$36-$Y89)^2)+((Graph!$E$36-$Z89)^2))+(Graph!$D$41^2),3/2))</f>
        <v>425.15176064737312</v>
      </c>
      <c r="T89">
        <f>Graph!$D$40*((Graph!$E$36-Z89)/POWER((((Graph!$D$36-$Y89)^2)+((Graph!$E$36-$Z89)^2))+(Graph!$D$41^2),3/2))</f>
        <v>-6105.4221961436724</v>
      </c>
      <c r="U89">
        <f>O89+Q89+S89</f>
        <v>793.47590962172671</v>
      </c>
      <c r="V89">
        <f>P89+R89+T89</f>
        <v>-5288.8176101265444</v>
      </c>
      <c r="W89">
        <f>W88+(U88*Graph!$D$5)</f>
        <v>4372.9854480588383</v>
      </c>
      <c r="X89">
        <f>X88+(V88*Graph!$D$5)</f>
        <v>5629.54982655611</v>
      </c>
      <c r="Y89">
        <f>Y88+(W88*Graph!$D$5)+(U88*Graph!$D$5^2)</f>
        <v>-455.76262499288237</v>
      </c>
      <c r="Z89">
        <f>Z88+(X88*Graph!$D$5)+(V88*Graph!$D$5^2)</f>
        <v>-8454.9883021366677</v>
      </c>
    </row>
    <row r="90" spans="14:26" x14ac:dyDescent="0.35">
      <c r="N90">
        <f>N89+1</f>
        <v>87</v>
      </c>
      <c r="O90">
        <f>Graph!$D$22*((Graph!$D$18-Y90)/POWER((((Graph!$D$18-$Y90)^2)+((Graph!$E$18-$Z90)^2))+(Graph!$D$23^2),(3/2)))</f>
        <v>643.59451436639029</v>
      </c>
      <c r="P90" s="84">
        <f>Graph!$D$22*((Graph!$E$18-Z90)/POWER((((Graph!$D$18-$Y90)^2)+((Graph!$E$18-$Z90)^2))+(Graph!$D$23^2),3/2))</f>
        <v>835.20784869953172</v>
      </c>
      <c r="Q90">
        <f>Graph!$D$31*((Graph!$D$27-Y90)/POWER((((Graph!$D$27-$Y90)^2)+((Graph!$E$27-$Z90)^2))+(Graph!$D$32^2),3/2))</f>
        <v>-180.49060416594997</v>
      </c>
      <c r="R90">
        <f>Graph!$D$31*((Graph!$E$27-Z90)/POWER((((Graph!$D$27-$Y90)^2)+((Graph!$E$27-$Z90)^2))+(Graph!$D$32^2),3/2))</f>
        <v>139.61161945646273</v>
      </c>
      <c r="S90">
        <f>Graph!$D$40*((Graph!$D$36-Y90)/POWER((((Graph!$D$36-$Y90)^2)+((Graph!$E$36-$Z90)^2))+(Graph!$D$41^2),3/2))</f>
        <v>-1120.3715802628274</v>
      </c>
      <c r="T90">
        <f>Graph!$D$40*((Graph!$E$36-Z90)/POWER((((Graph!$D$36-$Y90)^2)+((Graph!$E$36-$Z90)^2))+(Graph!$D$41^2),3/2))</f>
        <v>-4668.022907958396</v>
      </c>
      <c r="U90">
        <f>O90+Q90+S90</f>
        <v>-657.26767006238708</v>
      </c>
      <c r="V90">
        <f>P90+R90+T90</f>
        <v>-3693.2034398024016</v>
      </c>
      <c r="W90">
        <f>W89+(U89*Graph!$D$5)</f>
        <v>4769.7234028697021</v>
      </c>
      <c r="X90">
        <f>X89+(V89*Graph!$D$5)</f>
        <v>2985.1410214928378</v>
      </c>
      <c r="Y90">
        <f>Y89+(W89*Graph!$D$5)+(U89*Graph!$D$5^2)</f>
        <v>1929.0990764419685</v>
      </c>
      <c r="Z90">
        <f>Z89+(X89*Graph!$D$5)+(V89*Graph!$D$5^2)</f>
        <v>-6962.4177913902486</v>
      </c>
    </row>
    <row r="91" spans="14:26" x14ac:dyDescent="0.35">
      <c r="N91">
        <f>N90+1</f>
        <v>88</v>
      </c>
      <c r="O91">
        <f>Graph!$D$22*((Graph!$D$18-Y91)/POWER((((Graph!$D$18-$Y91)^2)+((Graph!$E$18-$Z91)^2))+(Graph!$D$23^2),(3/2)))</f>
        <v>680.67910754216859</v>
      </c>
      <c r="P91" s="84">
        <f>Graph!$D$22*((Graph!$E$18-Z91)/POWER((((Graph!$D$18-$Y91)^2)+((Graph!$E$18-$Z91)^2))+(Graph!$D$23^2),3/2))</f>
        <v>1028.3969763335215</v>
      </c>
      <c r="Q91">
        <f>Graph!$D$31*((Graph!$D$27-Y91)/POWER((((Graph!$D$27-$Y91)^2)+((Graph!$E$27-$Z91)^2))+(Graph!$D$32^2),3/2))</f>
        <v>-170.72187124643878</v>
      </c>
      <c r="R91">
        <f>Graph!$D$31*((Graph!$E$27-Z91)/POWER((((Graph!$D$27-$Y91)^2)+((Graph!$E$27-$Z91)^2))+(Graph!$D$32^2),3/2))</f>
        <v>115.88862106476205</v>
      </c>
      <c r="S91">
        <f>Graph!$D$40*((Graph!$D$36-Y91)/POWER((((Graph!$D$36-$Y91)^2)+((Graph!$E$36-$Z91)^2))+(Graph!$D$41^2),3/2))</f>
        <v>-1732.4240254458432</v>
      </c>
      <c r="T91">
        <f>Graph!$D$40*((Graph!$E$36-Z91)/POWER((((Graph!$D$36-$Y91)^2)+((Graph!$E$36-$Z91)^2))+(Graph!$D$41^2),3/2))</f>
        <v>-3593.2522034287249</v>
      </c>
      <c r="U91">
        <f>O91+Q91+S91</f>
        <v>-1222.4667891501135</v>
      </c>
      <c r="V91">
        <f>P91+R91+T91</f>
        <v>-2448.9666060304417</v>
      </c>
      <c r="W91">
        <f>W90+(U90*Graph!$D$5)</f>
        <v>4441.0895678385086</v>
      </c>
      <c r="X91">
        <f>X90+(V90*Graph!$D$5)</f>
        <v>1138.539301591637</v>
      </c>
      <c r="Y91">
        <f>Y90+(W90*Graph!$D$5)+(U90*Graph!$D$5^2)</f>
        <v>4149.6438603612223</v>
      </c>
      <c r="Z91">
        <f>Z90+(X90*Graph!$D$5)+(V90*Graph!$D$5^2)</f>
        <v>-6393.1481405944296</v>
      </c>
    </row>
    <row r="92" spans="14:26" x14ac:dyDescent="0.35">
      <c r="N92">
        <f>N91+1</f>
        <v>89</v>
      </c>
      <c r="O92">
        <f>Graph!$D$22*((Graph!$D$18-Y92)/POWER((((Graph!$D$18-$Y92)^2)+((Graph!$E$18-$Z92)^2))+(Graph!$D$23^2),(3/2)))</f>
        <v>644.29990722812033</v>
      </c>
      <c r="P92" s="84">
        <f>Graph!$D$22*((Graph!$E$18-Z92)/POWER((((Graph!$D$18-$Y92)^2)+((Graph!$E$18-$Z92)^2))+(Graph!$D$23^2),3/2))</f>
        <v>1185.1464327632345</v>
      </c>
      <c r="Q92">
        <f>Graph!$D$31*((Graph!$D$27-Y92)/POWER((((Graph!$D$27-$Y92)^2)+((Graph!$E$27-$Z92)^2))+(Graph!$D$32^2),3/2))</f>
        <v>-156.94397855525685</v>
      </c>
      <c r="R92">
        <f>Graph!$D$31*((Graph!$E$27-Z92)/POWER((((Graph!$D$27-$Y92)^2)+((Graph!$E$27-$Z92)^2))+(Graph!$D$32^2),3/2))</f>
        <v>98.967675058496013</v>
      </c>
      <c r="S92">
        <f>Graph!$D$40*((Graph!$D$36-Y92)/POWER((((Graph!$D$36-$Y92)^2)+((Graph!$E$36-$Z92)^2))+(Graph!$D$41^2),3/2))</f>
        <v>-2021.7329926795132</v>
      </c>
      <c r="T92">
        <f>Graph!$D$40*((Graph!$E$36-Z92)/POWER((((Graph!$D$36-$Y92)^2)+((Graph!$E$36-$Z92)^2))+(Graph!$D$41^2),3/2))</f>
        <v>-2854.9217664487719</v>
      </c>
      <c r="U92">
        <f>O92+Q92+S92</f>
        <v>-1534.3770640066498</v>
      </c>
      <c r="V92">
        <f>P92+R92+T92</f>
        <v>-1570.8076586270413</v>
      </c>
      <c r="W92">
        <f>W91+(U91*Graph!$D$5)</f>
        <v>3829.8561732634516</v>
      </c>
      <c r="X92">
        <f>X91+(V91*Graph!$D$5)</f>
        <v>-85.944001423583813</v>
      </c>
      <c r="Y92">
        <f>Y91+(W91*Graph!$D$5)+(U91*Graph!$D$5^2)</f>
        <v>6064.5719469929491</v>
      </c>
      <c r="Z92">
        <f>Z91+(X91*Graph!$D$5)+(V91*Graph!$D$5^2)</f>
        <v>-6436.1201413062217</v>
      </c>
    </row>
    <row r="93" spans="14:26" x14ac:dyDescent="0.35">
      <c r="N93">
        <f>N92+1</f>
        <v>90</v>
      </c>
      <c r="O93">
        <f>Graph!$D$22*((Graph!$D$18-Y93)/POWER((((Graph!$D$18-$Y93)^2)+((Graph!$E$18-$Z93)^2))+(Graph!$D$23^2),(3/2)))</f>
        <v>557.13892051009884</v>
      </c>
      <c r="P93" s="84">
        <f>Graph!$D$22*((Graph!$E$18-Z93)/POWER((((Graph!$D$18-$Y93)^2)+((Graph!$E$18-$Z93)^2))+(Graph!$D$23^2),3/2))</f>
        <v>1269.5588187816404</v>
      </c>
      <c r="Q93">
        <f>Graph!$D$31*((Graph!$D$27-Y93)/POWER((((Graph!$D$27-$Y93)^2)+((Graph!$E$27-$Z93)^2))+(Graph!$D$32^2),3/2))</f>
        <v>-143.92529793056715</v>
      </c>
      <c r="R93">
        <f>Graph!$D$31*((Graph!$E$27-Z93)/POWER((((Graph!$D$27-$Y93)^2)+((Graph!$E$27-$Z93)^2))+(Graph!$D$32^2),3/2))</f>
        <v>87.994139662524674</v>
      </c>
      <c r="S93">
        <f>Graph!$D$40*((Graph!$D$36-Y93)/POWER((((Graph!$D$36-$Y93)^2)+((Graph!$E$36-$Z93)^2))+(Graph!$D$41^2),3/2))</f>
        <v>-2191.9204068982722</v>
      </c>
      <c r="T93">
        <f>Graph!$D$40*((Graph!$E$36-Z93)/POWER((((Graph!$D$36-$Y93)^2)+((Graph!$E$36-$Z93)^2))+(Graph!$D$41^2),3/2))</f>
        <v>-2345.5241578413716</v>
      </c>
      <c r="U93">
        <f>O93+Q93+S93</f>
        <v>-1778.7067843187406</v>
      </c>
      <c r="V93">
        <f>P93+R93+T93</f>
        <v>-987.97119939720642</v>
      </c>
      <c r="W93">
        <f>W92+(U92*Graph!$D$5)</f>
        <v>3062.6676412601269</v>
      </c>
      <c r="X93">
        <f>X92+(V92*Graph!$D$5)</f>
        <v>-871.34783073710446</v>
      </c>
      <c r="Y93">
        <f>Y92+(W92*Graph!$D$5)+(U92*Graph!$D$5^2)</f>
        <v>7595.9057676230123</v>
      </c>
      <c r="Z93">
        <f>Z92+(X92*Graph!$D$5)+(V92*Graph!$D$5^2)</f>
        <v>-6871.7940566747739</v>
      </c>
    </row>
    <row r="94" spans="14:26" x14ac:dyDescent="0.35">
      <c r="N94">
        <f>N93+1</f>
        <v>91</v>
      </c>
      <c r="O94">
        <f>Graph!$D$22*((Graph!$D$18-Y94)/POWER((((Graph!$D$18-$Y94)^2)+((Graph!$E$18-$Z94)^2))+(Graph!$D$23^2),(3/2)))</f>
        <v>459.04538139265895</v>
      </c>
      <c r="P94" s="84">
        <f>Graph!$D$22*((Graph!$E$18-Z94)/POWER((((Graph!$D$18-$Y94)^2)+((Graph!$E$18-$Z94)^2))+(Graph!$D$23^2),3/2))</f>
        <v>1275.5638089681308</v>
      </c>
      <c r="Q94">
        <f>Graph!$D$31*((Graph!$D$27-Y94)/POWER((((Graph!$D$27-$Y94)^2)+((Graph!$E$27-$Z94)^2))+(Graph!$D$32^2),3/2))</f>
        <v>-133.28620742980829</v>
      </c>
      <c r="R94">
        <f>Graph!$D$31*((Graph!$E$27-Z94)/POWER((((Graph!$D$27-$Y94)^2)+((Graph!$E$27-$Z94)^2))+(Graph!$D$32^2),3/2))</f>
        <v>81.574561818510489</v>
      </c>
      <c r="S94">
        <f>Graph!$D$40*((Graph!$D$36-Y94)/POWER((((Graph!$D$36-$Y94)^2)+((Graph!$E$36-$Z94)^2))+(Graph!$D$41^2),3/2))</f>
        <v>-2337.219039217915</v>
      </c>
      <c r="T94">
        <f>Graph!$D$40*((Graph!$E$36-Z94)/POWER((((Graph!$D$36-$Y94)^2)+((Graph!$E$36-$Z94)^2))+(Graph!$D$41^2),3/2))</f>
        <v>-2004.2303473393476</v>
      </c>
      <c r="U94">
        <f>O94+Q94+S94</f>
        <v>-2011.4598652550644</v>
      </c>
      <c r="V94">
        <f>P94+R94+T94</f>
        <v>-647.09197655270623</v>
      </c>
      <c r="W94">
        <f>W93+(U93*Graph!$D$5)</f>
        <v>2173.3142491007566</v>
      </c>
      <c r="X94">
        <f>X93+(V93*Graph!$D$5)</f>
        <v>-1365.3334304357077</v>
      </c>
      <c r="Y94">
        <f>Y93+(W93*Graph!$D$5)+(U93*Graph!$D$5^2)</f>
        <v>8682.5628921733914</v>
      </c>
      <c r="Z94">
        <f>Z93+(X93*Graph!$D$5)+(V93*Graph!$D$5^2)</f>
        <v>-7554.4607718926272</v>
      </c>
    </row>
    <row r="95" spans="14:26" x14ac:dyDescent="0.35">
      <c r="N95">
        <f>N94+1</f>
        <v>92</v>
      </c>
      <c r="O95">
        <f>Graph!$D$22*((Graph!$D$18-Y95)/POWER((((Graph!$D$18-$Y95)^2)+((Graph!$E$18-$Z95)^2))+(Graph!$D$23^2),(3/2)))</f>
        <v>380.39819120021355</v>
      </c>
      <c r="P95" s="84">
        <f>Graph!$D$22*((Graph!$E$18-Z95)/POWER((((Graph!$D$18-$Y95)^2)+((Graph!$E$18-$Z95)^2))+(Graph!$D$23^2),3/2))</f>
        <v>1220.6735025753924</v>
      </c>
      <c r="Q95">
        <f>Graph!$D$31*((Graph!$D$27-Y95)/POWER((((Graph!$D$27-$Y95)^2)+((Graph!$E$27-$Z95)^2))+(Graph!$D$32^2),3/2))</f>
        <v>-125.29809623491205</v>
      </c>
      <c r="R95">
        <f>Graph!$D$31*((Graph!$E$27-Z95)/POWER((((Graph!$D$27-$Y95)^2)+((Graph!$E$27-$Z95)^2))+(Graph!$D$32^2),3/2))</f>
        <v>78.771244288713277</v>
      </c>
      <c r="S95">
        <f>Graph!$D$40*((Graph!$D$36-Y95)/POWER((((Graph!$D$36-$Y95)^2)+((Graph!$E$36-$Z95)^2))+(Graph!$D$41^2),3/2))</f>
        <v>-2527.9501113414408</v>
      </c>
      <c r="T95">
        <f>Graph!$D$40*((Graph!$E$36-Z95)/POWER((((Graph!$D$36-$Y95)^2)+((Graph!$E$36-$Z95)^2))+(Graph!$D$41^2),3/2))</f>
        <v>-1800.842960648808</v>
      </c>
      <c r="U95">
        <f>O95+Q95+S95</f>
        <v>-2272.8500163761391</v>
      </c>
      <c r="V95">
        <f>P95+R95+T95</f>
        <v>-501.39821378470242</v>
      </c>
      <c r="W95">
        <f>W94+(U94*Graph!$D$5)</f>
        <v>1167.5843164732244</v>
      </c>
      <c r="X95">
        <f>X94+(V94*Graph!$D$5)</f>
        <v>-1688.8794187120607</v>
      </c>
      <c r="Y95">
        <f>Y94+(W94*Graph!$D$5)+(U94*Graph!$D$5^2)</f>
        <v>9266.355050410004</v>
      </c>
      <c r="Z95">
        <f>Z94+(X94*Graph!$D$5)+(V94*Graph!$D$5^2)</f>
        <v>-8398.9004812486583</v>
      </c>
    </row>
    <row r="96" spans="14:26" x14ac:dyDescent="0.35">
      <c r="N96">
        <f>N95+1</f>
        <v>93</v>
      </c>
      <c r="O96">
        <f>Graph!$D$22*((Graph!$D$18-Y96)/POWER((((Graph!$D$18-$Y96)^2)+((Graph!$E$18-$Z96)^2))+(Graph!$D$23^2),(3/2)))</f>
        <v>332.47042475226993</v>
      </c>
      <c r="P96" s="84">
        <f>Graph!$D$22*((Graph!$E$18-Z96)/POWER((((Graph!$D$18-$Y96)^2)+((Graph!$E$18-$Z96)^2))+(Graph!$D$23^2),3/2))</f>
        <v>1126.1705093200856</v>
      </c>
      <c r="Q96">
        <f>Graph!$D$31*((Graph!$D$27-Y96)/POWER((((Graph!$D$27-$Y96)^2)+((Graph!$E$27-$Z96)^2))+(Graph!$D$32^2),3/2))</f>
        <v>-119.73705441964817</v>
      </c>
      <c r="R96">
        <f>Graph!$D$31*((Graph!$E$27-Z96)/POWER((((Graph!$D$27-$Y96)^2)+((Graph!$E$27-$Z96)^2))+(Graph!$D$32^2),3/2))</f>
        <v>79.200704506732365</v>
      </c>
      <c r="S96">
        <f>Graph!$D$40*((Graph!$D$36-Y96)/POWER((((Graph!$D$36-$Y96)^2)+((Graph!$E$36-$Z96)^2))+(Graph!$D$41^2),3/2))</f>
        <v>-2846.0593566740577</v>
      </c>
      <c r="T96">
        <f>Graph!$D$40*((Graph!$E$36-Z96)/POWER((((Graph!$D$36-$Y96)^2)+((Graph!$E$36-$Z96)^2))+(Graph!$D$41^2),3/2))</f>
        <v>-1726.6920910807219</v>
      </c>
      <c r="U96">
        <f>O96+Q96+S96</f>
        <v>-2633.325986341436</v>
      </c>
      <c r="V96">
        <f>P96+R96+T96</f>
        <v>-521.32087725390397</v>
      </c>
      <c r="W96">
        <f>W95+(U95*Graph!$D$5)</f>
        <v>31.159308285154793</v>
      </c>
      <c r="X96">
        <f>X95+(V95*Graph!$D$5)</f>
        <v>-1939.5785256044119</v>
      </c>
      <c r="Y96">
        <f>Y95+(W95*Graph!$D$5)+(U95*Graph!$D$5^2)</f>
        <v>9281.934704552581</v>
      </c>
      <c r="Z96">
        <f>Z95+(X95*Graph!$D$5)+(V95*Graph!$D$5^2)</f>
        <v>-9368.6897440508656</v>
      </c>
    </row>
    <row r="97" spans="14:26" x14ac:dyDescent="0.35">
      <c r="N97">
        <f>N96+1</f>
        <v>94</v>
      </c>
      <c r="O97">
        <f>Graph!$D$22*((Graph!$D$18-Y97)/POWER((((Graph!$D$18-$Y97)^2)+((Graph!$E$18-$Z97)^2))+(Graph!$D$23^2),(3/2)))</f>
        <v>312.36480986010122</v>
      </c>
      <c r="P97" s="84">
        <f>Graph!$D$22*((Graph!$E$18-Z97)/POWER((((Graph!$D$18-$Y97)^2)+((Graph!$E$18-$Z97)^2))+(Graph!$D$23^2),3/2))</f>
        <v>1005.1752099440037</v>
      </c>
      <c r="Q97">
        <f>Graph!$D$31*((Graph!$D$27-Y97)/POWER((((Graph!$D$27-$Y97)^2)+((Graph!$E$27-$Z97)^2))+(Graph!$D$32^2),3/2))</f>
        <v>-116.18395409156287</v>
      </c>
      <c r="R97">
        <f>Graph!$D$31*((Graph!$E$27-Z97)/POWER((((Graph!$D$27-$Y97)^2)+((Graph!$E$27-$Z97)^2))+(Graph!$D$32^2),3/2))</f>
        <v>83.038234815987991</v>
      </c>
      <c r="S97">
        <f>Graph!$D$40*((Graph!$D$36-Y97)/POWER((((Graph!$D$36-$Y97)^2)+((Graph!$E$36-$Z97)^2))+(Graph!$D$41^2),3/2))</f>
        <v>-3433.9386895590123</v>
      </c>
      <c r="T97">
        <f>Graph!$D$40*((Graph!$E$36-Z97)/POWER((((Graph!$D$36-$Y97)^2)+((Graph!$E$36-$Z97)^2))+(Graph!$D$41^2),3/2))</f>
        <v>-1801.0767402878682</v>
      </c>
      <c r="U97">
        <f>O97+Q97+S97</f>
        <v>-3237.7578337904738</v>
      </c>
      <c r="V97">
        <f>P97+R97+T97</f>
        <v>-712.86329552787652</v>
      </c>
      <c r="W97">
        <f>W96+(U96*Graph!$D$5)</f>
        <v>-1285.5036848855632</v>
      </c>
      <c r="X97">
        <f>X96+(V96*Graph!$D$5)</f>
        <v>-2200.2389642313638</v>
      </c>
      <c r="Y97">
        <f>Y96+(W96*Graph!$D$5)+(U96*Graph!$D$5^2)</f>
        <v>8639.1828621097993</v>
      </c>
      <c r="Z97">
        <f>Z96+(X96*Graph!$D$5)+(V96*Graph!$D$5^2)</f>
        <v>-10468.809226166548</v>
      </c>
    </row>
    <row r="98" spans="14:26" x14ac:dyDescent="0.35">
      <c r="N98">
        <f>N97+1</f>
        <v>95</v>
      </c>
      <c r="O98">
        <f>Graph!$D$22*((Graph!$D$18-Y98)/POWER((((Graph!$D$18-$Y98)^2)+((Graph!$E$18-$Z98)^2))+(Graph!$D$23^2),(3/2)))</f>
        <v>309.54292676003479</v>
      </c>
      <c r="P98" s="84">
        <f>Graph!$D$22*((Graph!$E$18-Z98)/POWER((((Graph!$D$18-$Y98)^2)+((Graph!$E$18-$Z98)^2))+(Graph!$D$23^2),3/2))</f>
        <v>861.59829723801317</v>
      </c>
      <c r="Q98">
        <f>Graph!$D$31*((Graph!$D$27-Y98)/POWER((((Graph!$D$27-$Y98)^2)+((Graph!$E$27-$Z98)^2))+(Graph!$D$32^2),3/2))</f>
        <v>-113.97538034816392</v>
      </c>
      <c r="R98">
        <f>Graph!$D$31*((Graph!$E$27-Z98)/POWER((((Graph!$D$27-$Y98)^2)+((Graph!$E$27-$Z98)^2))+(Graph!$D$32^2),3/2))</f>
        <v>91.170038581081442</v>
      </c>
      <c r="S98">
        <f>Graph!$D$40*((Graph!$D$36-Y98)/POWER((((Graph!$D$36-$Y98)^2)+((Graph!$E$36-$Z98)^2))+(Graph!$D$41^2),3/2))</f>
        <v>-4618.6781652501777</v>
      </c>
      <c r="T98">
        <f>Graph!$D$40*((Graph!$E$36-Z98)/POWER((((Graph!$D$36-$Y98)^2)+((Graph!$E$36-$Z98)^2))+(Graph!$D$41^2),3/2))</f>
        <v>-2090.4285744644458</v>
      </c>
      <c r="U98">
        <f>O98+Q98+S98</f>
        <v>-4423.1106188383064</v>
      </c>
      <c r="V98">
        <f>P98+R98+T98</f>
        <v>-1137.660238645351</v>
      </c>
      <c r="W98">
        <f>W97+(U97*Graph!$D$5)</f>
        <v>-2904.3826017808001</v>
      </c>
      <c r="X98">
        <f>X97+(V97*Graph!$D$5)</f>
        <v>-2556.6706119953019</v>
      </c>
      <c r="Y98">
        <f>Y97+(W97*Graph!$D$5)+(U97*Graph!$D$5^2)</f>
        <v>7186.991561219399</v>
      </c>
      <c r="Z98">
        <f>Z97+(X97*Graph!$D$5)+(V97*Graph!$D$5^2)</f>
        <v>-11747.144532164199</v>
      </c>
    </row>
    <row r="99" spans="14:26" x14ac:dyDescent="0.35">
      <c r="N99">
        <f>N98+1</f>
        <v>96</v>
      </c>
      <c r="O99">
        <f>Graph!$D$22*((Graph!$D$18-Y99)/POWER((((Graph!$D$18-$Y99)^2)+((Graph!$E$18-$Z99)^2))+(Graph!$D$23^2),(3/2)))</f>
        <v>309.0199877860573</v>
      </c>
      <c r="P99" s="84">
        <f>Graph!$D$22*((Graph!$E$18-Z99)/POWER((((Graph!$D$18-$Y99)^2)+((Graph!$E$18-$Z99)^2))+(Graph!$D$23^2),3/2))</f>
        <v>694.55589022135985</v>
      </c>
      <c r="Q99">
        <f>Graph!$D$31*((Graph!$D$27-Y99)/POWER((((Graph!$D$27-$Y99)^2)+((Graph!$E$27-$Z99)^2))+(Graph!$D$32^2),3/2))</f>
        <v>-111.64113516535866</v>
      </c>
      <c r="R99">
        <f>Graph!$D$31*((Graph!$E$27-Z99)/POWER((((Graph!$D$27-$Y99)^2)+((Graph!$E$27-$Z99)^2))+(Graph!$D$32^2),3/2))</f>
        <v>105.66164839949535</v>
      </c>
      <c r="S99">
        <f>Graph!$D$40*((Graph!$D$36-Y99)/POWER((((Graph!$D$36-$Y99)^2)+((Graph!$E$36-$Z99)^2))+(Graph!$D$41^2),3/2))</f>
        <v>-7005.2713429203895</v>
      </c>
      <c r="T99">
        <f>Graph!$D$40*((Graph!$E$36-Z99)/POWER((((Graph!$D$36-$Y99)^2)+((Graph!$E$36-$Z99)^2))+(Graph!$D$41^2),3/2))</f>
        <v>-2557.6986434306828</v>
      </c>
      <c r="U99">
        <f>O99+Q99+S99</f>
        <v>-6807.8924902996905</v>
      </c>
      <c r="V99">
        <f>P99+R99+T99</f>
        <v>-1757.4811048098277</v>
      </c>
      <c r="W99">
        <f>W98+(U98*Graph!$D$5)</f>
        <v>-5115.9379111999533</v>
      </c>
      <c r="X99">
        <f>X98+(V98*Graph!$D$5)</f>
        <v>-3125.5007313179776</v>
      </c>
      <c r="Y99">
        <f>Y98+(W98*Graph!$D$5)+(U98*Graph!$D$5^2)</f>
        <v>4629.0226056194224</v>
      </c>
      <c r="Z99">
        <f>Z98+(X98*Graph!$D$5)+(V98*Graph!$D$5^2)</f>
        <v>-13309.894897823187</v>
      </c>
    </row>
    <row r="100" spans="14:26" x14ac:dyDescent="0.35">
      <c r="N100">
        <f>N99+1</f>
        <v>97</v>
      </c>
      <c r="O100">
        <f>Graph!$D$22*((Graph!$D$18-Y100)/POWER((((Graph!$D$18-$Y100)^2)+((Graph!$E$18-$Z100)^2))+(Graph!$D$23^2),(3/2)))</f>
        <v>293.57731297704066</v>
      </c>
      <c r="P100" s="84">
        <f>Graph!$D$22*((Graph!$E$18-Z100)/POWER((((Graph!$D$18-$Y100)^2)+((Graph!$E$18-$Z100)^2))+(Graph!$D$23^2),3/2))</f>
        <v>507.8992828928329</v>
      </c>
      <c r="Q100">
        <f>Graph!$D$31*((Graph!$D$27-Y100)/POWER((((Graph!$D$27-$Y100)^2)+((Graph!$E$27-$Z100)^2))+(Graph!$D$32^2),3/2))</f>
        <v>-104.83354466907993</v>
      </c>
      <c r="R100">
        <f>Graph!$D$31*((Graph!$E$27-Z100)/POWER((((Graph!$D$27-$Y100)^2)+((Graph!$E$27-$Z100)^2))+(Graph!$D$32^2),3/2))</f>
        <v>130.27334779145696</v>
      </c>
      <c r="S100">
        <f>Graph!$D$40*((Graph!$D$36-Y100)/POWER((((Graph!$D$36-$Y100)^2)+((Graph!$E$36-$Z100)^2))+(Graph!$D$41^2),3/2))</f>
        <v>-1524.5848545147339</v>
      </c>
      <c r="T100">
        <f>Graph!$D$40*((Graph!$E$36-Z100)/POWER((((Graph!$D$36-$Y100)^2)+((Graph!$E$36-$Z100)^2))+(Graph!$D$41^2),3/2))</f>
        <v>1288.8628112409276</v>
      </c>
      <c r="U100">
        <f>O100+Q100+S100</f>
        <v>-1335.8410862067731</v>
      </c>
      <c r="V100">
        <f>P100+R100+T100</f>
        <v>1927.0354419252176</v>
      </c>
      <c r="W100">
        <f>W99+(U99*Graph!$D$5)</f>
        <v>-8519.884156349799</v>
      </c>
      <c r="X100">
        <f>X99+(V99*Graph!$D$5)</f>
        <v>-4004.2412837228912</v>
      </c>
      <c r="Y100">
        <f>Y99+(W99*Graph!$D$5)+(U99*Graph!$D$5^2)</f>
        <v>369.08052744452311</v>
      </c>
      <c r="Z100">
        <f>Z99+(X99*Graph!$D$5)+(V99*Graph!$D$5^2)</f>
        <v>-15312.015539684633</v>
      </c>
    </row>
    <row r="101" spans="14:26" x14ac:dyDescent="0.35">
      <c r="N101">
        <f>N100+1</f>
        <v>98</v>
      </c>
      <c r="O101">
        <f>Graph!$D$22*((Graph!$D$18-Y101)/POWER((((Graph!$D$18-$Y101)^2)+((Graph!$E$18-$Z101)^2))+(Graph!$D$23^2),(3/2)))</f>
        <v>270.52024837269494</v>
      </c>
      <c r="P101" s="84">
        <f>Graph!$D$22*((Graph!$E$18-Z101)/POWER((((Graph!$D$18-$Y101)^2)+((Graph!$E$18-$Z101)^2))+(Graph!$D$23^2),3/2))</f>
        <v>377.56924066319743</v>
      </c>
      <c r="Q101">
        <f>Graph!$D$31*((Graph!$D$27-Y101)/POWER((((Graph!$D$27-$Y101)^2)+((Graph!$E$27-$Z101)^2))+(Graph!$D$32^2),3/2))</f>
        <v>-92.195256384148806</v>
      </c>
      <c r="R101">
        <f>Graph!$D$31*((Graph!$E$27-Z101)/POWER((((Graph!$D$27-$Y101)^2)+((Graph!$E$27-$Z101)^2))+(Graph!$D$32^2),3/2))</f>
        <v>156.81711348312987</v>
      </c>
      <c r="S101">
        <f>Graph!$D$40*((Graph!$D$36-Y101)/POWER((((Graph!$D$36-$Y101)^2)+((Graph!$E$36-$Z101)^2))+(Graph!$D$41^2),3/2))</f>
        <v>7042.8627133095888</v>
      </c>
      <c r="T101">
        <f>Graph!$D$40*((Graph!$E$36-Z101)/POWER((((Graph!$D$36-$Y101)^2)+((Graph!$E$36-$Z101)^2))+(Graph!$D$41^2),3/2))</f>
        <v>3054.6097454756987</v>
      </c>
      <c r="U101">
        <f>O101+Q101+S101</f>
        <v>7221.1877052981345</v>
      </c>
      <c r="V101">
        <f>P101+R101+T101</f>
        <v>3588.9960996220261</v>
      </c>
      <c r="W101">
        <f>W100+(U100*Graph!$D$5)</f>
        <v>-9187.8046994531851</v>
      </c>
      <c r="X101">
        <f>X100+(V100*Graph!$D$5)</f>
        <v>-3040.7235627602822</v>
      </c>
      <c r="Y101">
        <f>Y100+(W100*Graph!$D$5)+(U100*Graph!$D$5^2)</f>
        <v>-4224.8218222820697</v>
      </c>
      <c r="Z101">
        <f>Z100+(X100*Graph!$D$5)+(V100*Graph!$D$5^2)</f>
        <v>-16832.377321064774</v>
      </c>
    </row>
    <row r="102" spans="14:26" x14ac:dyDescent="0.35">
      <c r="N102">
        <f>N101+1</f>
        <v>99</v>
      </c>
      <c r="O102">
        <f>Graph!$D$22*((Graph!$D$18-Y102)/POWER((((Graph!$D$18-$Y102)^2)+((Graph!$E$18-$Z102)^2))+(Graph!$D$23^2),(3/2)))</f>
        <v>256.67147026137854</v>
      </c>
      <c r="P102" s="84">
        <f>Graph!$D$22*((Graph!$E$18-Z102)/POWER((((Graph!$D$18-$Y102)^2)+((Graph!$E$18-$Z102)^2))+(Graph!$D$23^2),3/2))</f>
        <v>320.12466420149758</v>
      </c>
      <c r="Q102">
        <f>Graph!$D$31*((Graph!$D$27-Y102)/POWER((((Graph!$D$27-$Y102)^2)+((Graph!$E$27-$Z102)^2))+(Graph!$D$32^2),3/2))</f>
        <v>-81.616025405619155</v>
      </c>
      <c r="R102">
        <f>Graph!$D$31*((Graph!$E$27-Z102)/POWER((((Graph!$D$27-$Y102)^2)+((Graph!$E$27-$Z102)^2))+(Graph!$D$32^2),3/2))</f>
        <v>172.548063148338</v>
      </c>
      <c r="S102">
        <f>Graph!$D$40*((Graph!$D$36-Y102)/POWER((((Graph!$D$36-$Y102)^2)+((Graph!$E$36-$Z102)^2))+(Graph!$D$41^2),3/2))</f>
        <v>5111.2188496006793</v>
      </c>
      <c r="T102">
        <f>Graph!$D$40*((Graph!$E$36-Z102)/POWER((((Graph!$D$36-$Y102)^2)+((Graph!$E$36-$Z102)^2))+(Graph!$D$41^2),3/2))</f>
        <v>1789.5027252261191</v>
      </c>
      <c r="U102">
        <f>O102+Q102+S102</f>
        <v>5286.2742944564388</v>
      </c>
      <c r="V102">
        <f>P102+R102+T102</f>
        <v>2282.1754525759548</v>
      </c>
      <c r="W102">
        <f>W101+(U101*Graph!$D$5)</f>
        <v>-5577.2108468041179</v>
      </c>
      <c r="X102">
        <f>X101+(V101*Graph!$D$5)</f>
        <v>-1246.2255129492692</v>
      </c>
      <c r="Y102">
        <f>Y101+(W101*Graph!$D$5)+(U101*Graph!$D$5^2)</f>
        <v>-7013.4272456841281</v>
      </c>
      <c r="Z102">
        <f>Z101+(X101*Graph!$D$5)+(V101*Graph!$D$5^2)</f>
        <v>-17455.490077539409</v>
      </c>
    </row>
    <row r="103" spans="14:26" x14ac:dyDescent="0.35">
      <c r="N103">
        <f>N102+1</f>
        <v>100</v>
      </c>
      <c r="O103">
        <f>Graph!$D$22*((Graph!$D$18-Y103)/POWER((((Graph!$D$18-$Y103)^2)+((Graph!$E$18-$Z103)^2))+(Graph!$D$23^2),(3/2)))</f>
        <v>252.60829742413316</v>
      </c>
      <c r="P103" s="84">
        <f>Graph!$D$22*((Graph!$E$18-Z103)/POWER((((Graph!$D$18-$Y103)^2)+((Graph!$E$18-$Z103)^2))+(Graph!$D$23^2),3/2))</f>
        <v>295.93810044896514</v>
      </c>
      <c r="Q103">
        <f>Graph!$D$31*((Graph!$D$27-Y103)/POWER((((Graph!$D$27-$Y103)^2)+((Graph!$E$27-$Z103)^2))+(Graph!$D$32^2),3/2))</f>
        <v>-76.414502618407454</v>
      </c>
      <c r="R103">
        <f>Graph!$D$31*((Graph!$E$27-Z103)/POWER((((Graph!$D$27-$Y103)^2)+((Graph!$E$27-$Z103)^2))+(Graph!$D$32^2),3/2))</f>
        <v>182.4739001360835</v>
      </c>
      <c r="S103">
        <f>Graph!$D$40*((Graph!$D$36-Y103)/POWER((((Graph!$D$36-$Y103)^2)+((Graph!$E$36-$Z103)^2))+(Graph!$D$41^2),3/2))</f>
        <v>4234.9102953264583</v>
      </c>
      <c r="T103">
        <f>Graph!$D$40*((Graph!$E$36-Z103)/POWER((((Graph!$D$36-$Y103)^2)+((Graph!$E$36-$Z103)^2))+(Graph!$D$41^2),3/2))</f>
        <v>1252.4556011851396</v>
      </c>
      <c r="U103">
        <f>O103+Q103+S103</f>
        <v>4411.104090132184</v>
      </c>
      <c r="V103">
        <f>P103+R103+T103</f>
        <v>1730.8676017701882</v>
      </c>
      <c r="W103">
        <f>W102+(U102*Graph!$D$5)</f>
        <v>-2934.0736995758984</v>
      </c>
      <c r="X103">
        <f>X102+(V102*Graph!$D$5)</f>
        <v>-105.13778666129178</v>
      </c>
      <c r="Y103">
        <f>Y102+(W102*Graph!$D$5)+(U102*Graph!$D$5^2)</f>
        <v>-8480.464095472078</v>
      </c>
      <c r="Z103">
        <f>Z102+(X102*Graph!$D$5)+(V102*Graph!$D$5^2)</f>
        <v>-17508.058970870054</v>
      </c>
    </row>
    <row r="104" spans="14:26" x14ac:dyDescent="0.35">
      <c r="N104">
        <f>N103+1</f>
        <v>101</v>
      </c>
      <c r="O104">
        <f>Graph!$D$22*((Graph!$D$18-Y104)/POWER((((Graph!$D$18-$Y104)^2)+((Graph!$E$18-$Z104)^2))+(Graph!$D$23^2),(3/2)))</f>
        <v>257.54975501196469</v>
      </c>
      <c r="P104" s="84">
        <f>Graph!$D$22*((Graph!$E$18-Z104)/POWER((((Graph!$D$18-$Y104)^2)+((Graph!$E$18-$Z104)^2))+(Graph!$D$23^2),3/2))</f>
        <v>293.01184414348296</v>
      </c>
      <c r="Q104">
        <f>Graph!$D$31*((Graph!$D$27-Y104)/POWER((((Graph!$D$27-$Y104)^2)+((Graph!$E$27-$Z104)^2))+(Graph!$D$32^2),3/2))</f>
        <v>-77.721285337651835</v>
      </c>
      <c r="R104">
        <f>Graph!$D$31*((Graph!$E$27-Z104)/POWER((((Graph!$D$27-$Y104)^2)+((Graph!$E$27-$Z104)^2))+(Graph!$D$32^2),3/2))</f>
        <v>189.00619608423651</v>
      </c>
      <c r="S104">
        <f>Graph!$D$40*((Graph!$D$36-Y104)/POWER((((Graph!$D$36-$Y104)^2)+((Graph!$E$36-$Z104)^2))+(Graph!$D$41^2),3/2))</f>
        <v>4140.1275708159365</v>
      </c>
      <c r="T104">
        <f>Graph!$D$40*((Graph!$E$36-Z104)/POWER((((Graph!$D$36-$Y104)^2)+((Graph!$E$36-$Z104)^2))+(Graph!$D$41^2),3/2))</f>
        <v>996.05391080725713</v>
      </c>
      <c r="U104">
        <f>O104+Q104+S104</f>
        <v>4319.9560404902495</v>
      </c>
      <c r="V104">
        <f>P104+R104+T104</f>
        <v>1478.0719510349766</v>
      </c>
      <c r="W104">
        <f>W103+(U103*Graph!$D$5)</f>
        <v>-728.52165450980647</v>
      </c>
      <c r="X104">
        <f>X103+(V103*Graph!$D$5)</f>
        <v>760.29601422380233</v>
      </c>
      <c r="Y104">
        <f>Y103+(W103*Graph!$D$5)+(U103*Graph!$D$5^2)</f>
        <v>-8844.7249227269822</v>
      </c>
      <c r="Z104">
        <f>Z103+(X103*Graph!$D$5)+(V103*Graph!$D$5^2)</f>
        <v>-17127.91096375815</v>
      </c>
    </row>
    <row r="105" spans="14:26" x14ac:dyDescent="0.35">
      <c r="N105">
        <f>N104+1</f>
        <v>102</v>
      </c>
      <c r="O105">
        <f>Graph!$D$22*((Graph!$D$18-Y105)/POWER((((Graph!$D$18-$Y105)^2)+((Graph!$E$18-$Z105)^2))+(Graph!$D$23^2),(3/2)))</f>
        <v>272.14117607846487</v>
      </c>
      <c r="P105" s="84">
        <f>Graph!$D$22*((Graph!$E$18-Z105)/POWER((((Graph!$D$18-$Y105)^2)+((Graph!$E$18-$Z105)^2))+(Graph!$D$23^2),3/2))</f>
        <v>310.37258941489898</v>
      </c>
      <c r="Q105">
        <f>Graph!$D$31*((Graph!$D$27-Y105)/POWER((((Graph!$D$27-$Y105)^2)+((Graph!$E$27-$Z105)^2))+(Graph!$D$32^2),3/2))</f>
        <v>-86.185070105926741</v>
      </c>
      <c r="R105">
        <f>Graph!$D$31*((Graph!$E$27-Z105)/POWER((((Graph!$D$27-$Y105)^2)+((Graph!$E$27-$Z105)^2))+(Graph!$D$32^2),3/2))</f>
        <v>191.50958365484757</v>
      </c>
      <c r="S105">
        <f>Graph!$D$40*((Graph!$D$36-Y105)/POWER((((Graph!$D$36-$Y105)^2)+((Graph!$E$36-$Z105)^2))+(Graph!$D$41^2),3/2))</f>
        <v>4747.338809271746</v>
      </c>
      <c r="T105">
        <f>Graph!$D$40*((Graph!$E$36-Z105)/POWER((((Graph!$D$36-$Y105)^2)+((Graph!$E$36-$Z105)^2))+(Graph!$D$41^2),3/2))</f>
        <v>804.89586093700609</v>
      </c>
      <c r="U105">
        <f>O105+Q105+S105</f>
        <v>4933.2949152442843</v>
      </c>
      <c r="V105">
        <f>P105+R105+T105</f>
        <v>1306.7780340067527</v>
      </c>
      <c r="W105">
        <f>W104+(U104*Graph!$D$5)</f>
        <v>1431.4563657353183</v>
      </c>
      <c r="X105">
        <f>X104+(V104*Graph!$D$5)</f>
        <v>1499.3319897412907</v>
      </c>
      <c r="Y105">
        <f>Y104+(W104*Graph!$D$5)+(U104*Graph!$D$5^2)</f>
        <v>-8128.9967398593235</v>
      </c>
      <c r="Z105">
        <f>Z104+(X104*Graph!$D$5)+(V104*Graph!$D$5^2)</f>
        <v>-16378.244968887506</v>
      </c>
    </row>
    <row r="106" spans="14:26" x14ac:dyDescent="0.35">
      <c r="N106">
        <f>N105+1</f>
        <v>103</v>
      </c>
      <c r="O106">
        <f>Graph!$D$22*((Graph!$D$18-Y106)/POWER((((Graph!$D$18-$Y106)^2)+((Graph!$E$18-$Z106)^2))+(Graph!$D$23^2),(3/2)))</f>
        <v>298.35065989962084</v>
      </c>
      <c r="P106" s="84">
        <f>Graph!$D$22*((Graph!$E$18-Z106)/POWER((((Graph!$D$18-$Y106)^2)+((Graph!$E$18-$Z106)^2))+(Graph!$D$23^2),3/2))</f>
        <v>356.41423942457357</v>
      </c>
      <c r="Q106">
        <f>Graph!$D$31*((Graph!$D$27-Y106)/POWER((((Graph!$D$27-$Y106)^2)+((Graph!$E$27-$Z106)^2))+(Graph!$D$32^2),3/2))</f>
        <v>-101.32800842312767</v>
      </c>
      <c r="R106">
        <f>Graph!$D$31*((Graph!$E$27-Z106)/POWER((((Graph!$D$27-$Y106)^2)+((Graph!$E$27-$Z106)^2))+(Graph!$D$32^2),3/2))</f>
        <v>185.51225232953985</v>
      </c>
      <c r="S106">
        <f>Graph!$D$40*((Graph!$D$36-Y106)/POWER((((Graph!$D$36-$Y106)^2)+((Graph!$E$36-$Z106)^2))+(Graph!$D$41^2),3/2))</f>
        <v>6427.6785847026331</v>
      </c>
      <c r="T106">
        <f>Graph!$D$40*((Graph!$E$36-Z106)/POWER((((Graph!$D$36-$Y106)^2)+((Graph!$E$36-$Z106)^2))+(Graph!$D$41^2),3/2))</f>
        <v>313.98602544119103</v>
      </c>
      <c r="U106">
        <f>O106+Q106+S106</f>
        <v>6624.7012361791267</v>
      </c>
      <c r="V106">
        <f>P106+R106+T106</f>
        <v>855.91251719530442</v>
      </c>
      <c r="W106">
        <f>W105+(U105*Graph!$D$5)</f>
        <v>3898.1038233574604</v>
      </c>
      <c r="X106">
        <f>X105+(V105*Graph!$D$5)</f>
        <v>2152.7210067446672</v>
      </c>
      <c r="Y106">
        <f>Y105+(W105*Graph!$D$5)+(U105*Graph!$D$5^2)</f>
        <v>-6179.9448281805935</v>
      </c>
      <c r="Z106">
        <f>Z105+(X105*Graph!$D$5)+(V105*Graph!$D$5^2)</f>
        <v>-15301.884465515172</v>
      </c>
    </row>
    <row r="107" spans="14:26" x14ac:dyDescent="0.35">
      <c r="N107">
        <f>N106+1</f>
        <v>104</v>
      </c>
      <c r="O107">
        <f>Graph!$D$22*((Graph!$D$18-Y107)/POWER((((Graph!$D$18-$Y107)^2)+((Graph!$E$18-$Z107)^2))+(Graph!$D$23^2),(3/2)))</f>
        <v>334.98139935233905</v>
      </c>
      <c r="P107" s="84">
        <f>Graph!$D$22*((Graph!$E$18-Z107)/POWER((((Graph!$D$18-$Y107)^2)+((Graph!$E$18-$Z107)^2))+(Graph!$D$23^2),3/2))</f>
        <v>457.6700123071127</v>
      </c>
      <c r="Q107">
        <f>Graph!$D$31*((Graph!$D$27-Y107)/POWER((((Graph!$D$27-$Y107)^2)+((Graph!$E$27-$Z107)^2))+(Graph!$D$32^2),3/2))</f>
        <v>-117.38173444979746</v>
      </c>
      <c r="R107">
        <f>Graph!$D$31*((Graph!$E$27-Z107)/POWER((((Graph!$D$27-$Y107)^2)+((Graph!$E$27-$Z107)^2))+(Graph!$D$32^2),3/2))</f>
        <v>161.74870703307568</v>
      </c>
      <c r="S107">
        <f>Graph!$D$40*((Graph!$D$36-Y107)/POWER((((Graph!$D$36-$Y107)^2)+((Graph!$E$36-$Z107)^2))+(Graph!$D$41^2),3/2))</f>
        <v>7240.652341858111</v>
      </c>
      <c r="T107">
        <f>Graph!$D$40*((Graph!$E$36-Z107)/POWER((((Graph!$D$36-$Y107)^2)+((Graph!$E$36-$Z107)^2))+(Graph!$D$41^2),3/2))</f>
        <v>-2779.7428966612306</v>
      </c>
      <c r="U107">
        <f>O107+Q107+S107</f>
        <v>7458.2520067606529</v>
      </c>
      <c r="V107">
        <f>P107+R107+T107</f>
        <v>-2160.324177321042</v>
      </c>
      <c r="W107">
        <f>W106+(U106*Graph!$D$5)</f>
        <v>7210.4544414470238</v>
      </c>
      <c r="X107">
        <f>X106+(V106*Graph!$D$5)</f>
        <v>2580.6772653423195</v>
      </c>
      <c r="Y107">
        <f>Y106+(W106*Graph!$D$5)+(U106*Graph!$D$5^2)</f>
        <v>-2574.7176074570816</v>
      </c>
      <c r="Z107">
        <f>Z106+(X106*Graph!$D$5)+(V106*Graph!$D$5^2)</f>
        <v>-14011.545832844011</v>
      </c>
    </row>
    <row r="108" spans="14:26" x14ac:dyDescent="0.35">
      <c r="N108">
        <f>N107+1</f>
        <v>105</v>
      </c>
      <c r="O108">
        <f>Graph!$D$22*((Graph!$D$18-Y108)/POWER((((Graph!$D$18-$Y108)^2)+((Graph!$E$18-$Z108)^2))+(Graph!$D$23^2),(3/2)))</f>
        <v>333.17831530291289</v>
      </c>
      <c r="P108" s="84">
        <f>Graph!$D$22*((Graph!$E$18-Z108)/POWER((((Graph!$D$18-$Y108)^2)+((Graph!$E$18-$Z108)^2))+(Graph!$D$23^2),3/2))</f>
        <v>640.24810579656423</v>
      </c>
      <c r="Q108">
        <f>Graph!$D$31*((Graph!$D$27-Y108)/POWER((((Graph!$D$27-$Y108)^2)+((Graph!$E$27-$Z108)^2))+(Graph!$D$32^2),3/2))</f>
        <v>-116.25071178190824</v>
      </c>
      <c r="R108">
        <f>Graph!$D$31*((Graph!$E$27-Z108)/POWER((((Graph!$D$27-$Y108)^2)+((Graph!$E$27-$Z108)^2))+(Graph!$D$32^2),3/2))</f>
        <v>118.11018732568229</v>
      </c>
      <c r="S108">
        <f>Graph!$D$40*((Graph!$D$36-Y108)/POWER((((Graph!$D$36-$Y108)^2)+((Graph!$E$36-$Z108)^2))+(Graph!$D$41^2),3/2))</f>
        <v>-6901.1955278664982</v>
      </c>
      <c r="T108">
        <f>Graph!$D$40*((Graph!$E$36-Z108)/POWER((((Graph!$D$36-$Y108)^2)+((Graph!$E$36-$Z108)^2))+(Graph!$D$41^2),3/2))</f>
        <v>-4144.69389447903</v>
      </c>
      <c r="U108">
        <f>O108+Q108+S108</f>
        <v>-6684.2679243454932</v>
      </c>
      <c r="V108">
        <f>P108+R108+T108</f>
        <v>-3386.3356013567836</v>
      </c>
      <c r="W108">
        <f>W107+(U107*Graph!$D$5)</f>
        <v>10939.58044482735</v>
      </c>
      <c r="X108">
        <f>X107+(V107*Graph!$D$5)</f>
        <v>1500.5151766817985</v>
      </c>
      <c r="Y108">
        <f>Y107+(W107*Graph!$D$5)+(U107*Graph!$D$5^2)</f>
        <v>2895.0726149565935</v>
      </c>
      <c r="Z108">
        <f>Z107+(X107*Graph!$D$5)+(V107*Graph!$D$5^2)</f>
        <v>-13261.288244503112</v>
      </c>
    </row>
    <row r="109" spans="14:26" x14ac:dyDescent="0.35">
      <c r="N109">
        <f>N108+1</f>
        <v>106</v>
      </c>
      <c r="O109">
        <f>Graph!$D$22*((Graph!$D$18-Y109)/POWER((((Graph!$D$18-$Y109)^2)+((Graph!$E$18-$Z109)^2))+(Graph!$D$23^2),(3/2)))</f>
        <v>268.88581359817596</v>
      </c>
      <c r="P109" s="84">
        <f>Graph!$D$22*((Graph!$E$18-Z109)/POWER((((Graph!$D$18-$Y109)^2)+((Graph!$E$18-$Z109)^2))+(Graph!$D$23^2),3/2))</f>
        <v>756.12531128179546</v>
      </c>
      <c r="Q109">
        <f>Graph!$D$31*((Graph!$D$27-Y109)/POWER((((Graph!$D$27-$Y109)^2)+((Graph!$E$27-$Z109)^2))+(Graph!$D$32^2),3/2))</f>
        <v>-105.87637650020184</v>
      </c>
      <c r="R109">
        <f>Graph!$D$31*((Graph!$E$27-Z109)/POWER((((Graph!$D$27-$Y109)^2)+((Graph!$E$27-$Z109)^2))+(Graph!$D$32^2),3/2))</f>
        <v>92.643983877196433</v>
      </c>
      <c r="S109">
        <f>Graph!$D$40*((Graph!$D$36-Y109)/POWER((((Graph!$D$36-$Y109)^2)+((Graph!$E$36-$Z109)^2))+(Graph!$D$41^2),3/2))</f>
        <v>-5677.0816964695978</v>
      </c>
      <c r="T109">
        <f>Graph!$D$40*((Graph!$E$36-Z109)/POWER((((Graph!$D$36-$Y109)^2)+((Graph!$E$36-$Z109)^2))+(Graph!$D$41^2),3/2))</f>
        <v>-1392.9251115540012</v>
      </c>
      <c r="U109">
        <f>O109+Q109+S109</f>
        <v>-5514.0722593716237</v>
      </c>
      <c r="V109">
        <f>P109+R109+T109</f>
        <v>-544.15581639500931</v>
      </c>
      <c r="W109">
        <f>W108+(U108*Graph!$D$5)</f>
        <v>7597.4464826546036</v>
      </c>
      <c r="X109">
        <f>X108+(V108*Graph!$D$5)</f>
        <v>-192.65262399659332</v>
      </c>
      <c r="Y109">
        <f>Y108+(W108*Graph!$D$5)+(U108*Graph!$D$5^2)</f>
        <v>6693.7958562838958</v>
      </c>
      <c r="Z109">
        <f>Z108+(X108*Graph!$D$5)+(V108*Graph!$D$5^2)</f>
        <v>-13357.614556501409</v>
      </c>
    </row>
    <row r="110" spans="14:26" x14ac:dyDescent="0.35">
      <c r="N110">
        <f>N109+1</f>
        <v>107</v>
      </c>
      <c r="O110">
        <f>Graph!$D$22*((Graph!$D$18-Y110)/POWER((((Graph!$D$18-$Y110)^2)+((Graph!$E$18-$Z110)^2))+(Graph!$D$23^2),(3/2)))</f>
        <v>201.51529585318195</v>
      </c>
      <c r="P110" s="84">
        <f>Graph!$D$22*((Graph!$E$18-Z110)/POWER((((Graph!$D$18-$Y110)^2)+((Graph!$E$18-$Z110)^2))+(Graph!$D$23^2),3/2))</f>
        <v>807.63550751305854</v>
      </c>
      <c r="Q110">
        <f>Graph!$D$31*((Graph!$D$27-Y110)/POWER((((Graph!$D$27-$Y110)^2)+((Graph!$E$27-$Z110)^2))+(Graph!$D$32^2),3/2))</f>
        <v>-98.09189890722692</v>
      </c>
      <c r="R110">
        <f>Graph!$D$31*((Graph!$E$27-Z110)/POWER((((Graph!$D$27-$Y110)^2)+((Graph!$E$27-$Z110)^2))+(Graph!$D$32^2),3/2))</f>
        <v>79.48017565079499</v>
      </c>
      <c r="S110">
        <f>Graph!$D$40*((Graph!$D$36-Y110)/POWER((((Graph!$D$36-$Y110)^2)+((Graph!$E$36-$Z110)^2))+(Graph!$D$41^2),3/2))</f>
        <v>-4133.3658848045288</v>
      </c>
      <c r="T110">
        <f>Graph!$D$40*((Graph!$E$36-Z110)/POWER((((Graph!$D$36-$Y110)^2)+((Graph!$E$36-$Z110)^2))+(Graph!$D$41^2),3/2))</f>
        <v>-639.46989661326882</v>
      </c>
      <c r="U110">
        <f>O110+Q110+S110</f>
        <v>-4029.9424878585737</v>
      </c>
      <c r="V110">
        <f>P110+R110+T110</f>
        <v>247.64578655058472</v>
      </c>
      <c r="W110">
        <f>W109+(U109*Graph!$D$5)</f>
        <v>4840.4103529687918</v>
      </c>
      <c r="X110">
        <f>X109+(V109*Graph!$D$5)</f>
        <v>-464.73053219409798</v>
      </c>
      <c r="Y110">
        <f>Y109+(W109*Graph!$D$5)+(U109*Graph!$D$5^2)</f>
        <v>9114.0010327682903</v>
      </c>
      <c r="Z110">
        <f>Z109+(X109*Graph!$D$5)+(V109*Graph!$D$5^2)</f>
        <v>-13589.979822598458</v>
      </c>
    </row>
    <row r="111" spans="14:26" x14ac:dyDescent="0.35">
      <c r="N111">
        <f>N110+1</f>
        <v>108</v>
      </c>
      <c r="O111">
        <f>Graph!$D$22*((Graph!$D$18-Y111)/POWER((((Graph!$D$18-$Y111)^2)+((Graph!$E$18-$Z111)^2))+(Graph!$D$23^2),(3/2)))</f>
        <v>155.62914905360364</v>
      </c>
      <c r="P111" s="84">
        <f>Graph!$D$22*((Graph!$E$18-Z111)/POWER((((Graph!$D$18-$Y111)^2)+((Graph!$E$18-$Z111)^2))+(Graph!$D$23^2),3/2))</f>
        <v>826.64544905238881</v>
      </c>
      <c r="Q111">
        <f>Graph!$D$31*((Graph!$D$27-Y111)/POWER((((Graph!$D$27-$Y111)^2)+((Graph!$E$27-$Z111)^2))+(Graph!$D$32^2),3/2))</f>
        <v>-93.556369700399941</v>
      </c>
      <c r="R111">
        <f>Graph!$D$31*((Graph!$E$27-Z111)/POWER((((Graph!$D$27-$Y111)^2)+((Graph!$E$27-$Z111)^2))+(Graph!$D$32^2),3/2))</f>
        <v>72.819479829217684</v>
      </c>
      <c r="S111">
        <f>Graph!$D$40*((Graph!$D$36-Y111)/POWER((((Graph!$D$36-$Y111)^2)+((Graph!$E$36-$Z111)^2))+(Graph!$D$41^2),3/2))</f>
        <v>-3424.1789104226364</v>
      </c>
      <c r="T111">
        <f>Graph!$D$40*((Graph!$E$36-Z111)/POWER((((Graph!$D$36-$Y111)^2)+((Graph!$E$36-$Z111)^2))+(Graph!$D$41^2),3/2))</f>
        <v>-403.21170736311569</v>
      </c>
      <c r="U111">
        <f>O111+Q111+S111</f>
        <v>-3362.1061310694326</v>
      </c>
      <c r="V111">
        <f>P111+R111+T111</f>
        <v>496.25322151849082</v>
      </c>
      <c r="W111">
        <f>W110+(U110*Graph!$D$5)</f>
        <v>2825.4391090395047</v>
      </c>
      <c r="X111">
        <f>X110+(V110*Graph!$D$5)</f>
        <v>-340.90763891880562</v>
      </c>
      <c r="Y111">
        <f>Y110+(W110*Graph!$D$5)+(U110*Graph!$D$5^2)</f>
        <v>10526.720587288044</v>
      </c>
      <c r="Z111">
        <f>Z110+(X110*Graph!$D$5)+(V110*Graph!$D$5^2)</f>
        <v>-13760.43364205786</v>
      </c>
    </row>
    <row r="112" spans="14:26" x14ac:dyDescent="0.35">
      <c r="N112">
        <f>N111+1</f>
        <v>109</v>
      </c>
      <c r="O112">
        <f>Graph!$D$22*((Graph!$D$18-Y112)/POWER((((Graph!$D$18-$Y112)^2)+((Graph!$E$18-$Z112)^2))+(Graph!$D$23^2),(3/2)))</f>
        <v>136.59003662167385</v>
      </c>
      <c r="P112" s="84">
        <f>Graph!$D$22*((Graph!$E$18-Z112)/POWER((((Graph!$D$18-$Y112)^2)+((Graph!$E$18-$Z112)^2))+(Graph!$D$23^2),3/2))</f>
        <v>833.55626034540103</v>
      </c>
      <c r="Q112">
        <f>Graph!$D$31*((Graph!$D$27-Y112)/POWER((((Graph!$D$27-$Y112)^2)+((Graph!$E$27-$Z112)^2))+(Graph!$D$32^2),3/2))</f>
        <v>-91.866558183625827</v>
      </c>
      <c r="R112">
        <f>Graph!$D$31*((Graph!$E$27-Z112)/POWER((((Graph!$D$27-$Y112)^2)+((Graph!$E$27-$Z112)^2))+(Graph!$D$32^2),3/2))</f>
        <v>70.325639795706337</v>
      </c>
      <c r="S112">
        <f>Graph!$D$40*((Graph!$D$36-Y112)/POWER((((Graph!$D$36-$Y112)^2)+((Graph!$E$36-$Z112)^2))+(Graph!$D$41^2),3/2))</f>
        <v>-3175.704687281901</v>
      </c>
      <c r="T112">
        <f>Graph!$D$40*((Graph!$E$36-Z112)/POWER((((Graph!$D$36-$Y112)^2)+((Graph!$E$36-$Z112)^2))+(Graph!$D$41^2),3/2))</f>
        <v>-341.400451754019</v>
      </c>
      <c r="U112">
        <f>O112+Q112+S112</f>
        <v>-3130.981208843853</v>
      </c>
      <c r="V112">
        <f>P112+R112+T112</f>
        <v>562.48144838708845</v>
      </c>
      <c r="W112">
        <f>W111+(U111*Graph!$D$5)</f>
        <v>1144.3860435047884</v>
      </c>
      <c r="X112">
        <f>X111+(V111*Graph!$D$5)</f>
        <v>-92.781028159560208</v>
      </c>
      <c r="Y112">
        <f>Y111+(W111*Graph!$D$5)+(U111*Graph!$D$5^2)</f>
        <v>11098.913609040437</v>
      </c>
      <c r="Z112">
        <f>Z111+(X111*Graph!$D$5)+(V111*Graph!$D$5^2)</f>
        <v>-13806.82415613764</v>
      </c>
    </row>
    <row r="113" spans="14:26" x14ac:dyDescent="0.35">
      <c r="N113">
        <f>N112+1</f>
        <v>110</v>
      </c>
      <c r="O113">
        <f>Graph!$D$22*((Graph!$D$18-Y113)/POWER((((Graph!$D$18-$Y113)^2)+((Graph!$E$18-$Z113)^2))+(Graph!$D$23^2),(3/2)))</f>
        <v>144.96072497927187</v>
      </c>
      <c r="P113" s="84">
        <f>Graph!$D$22*((Graph!$E$18-Z113)/POWER((((Graph!$D$18-$Y113)^2)+((Graph!$E$18-$Z113)^2))+(Graph!$D$23^2),3/2))</f>
        <v>836.01579242344872</v>
      </c>
      <c r="Q113">
        <f>Graph!$D$31*((Graph!$D$27-Y113)/POWER((((Graph!$D$27-$Y113)^2)+((Graph!$E$27-$Z113)^2))+(Graph!$D$32^2),3/2))</f>
        <v>-92.818575344533599</v>
      </c>
      <c r="R113">
        <f>Graph!$D$31*((Graph!$E$27-Z113)/POWER((((Graph!$D$27-$Y113)^2)+((Graph!$E$27-$Z113)^2))+(Graph!$D$32^2),3/2))</f>
        <v>71.255616249413535</v>
      </c>
      <c r="S113">
        <f>Graph!$D$40*((Graph!$D$36-Y113)/POWER((((Graph!$D$36-$Y113)^2)+((Graph!$E$36-$Z113)^2))+(Graph!$D$41^2),3/2))</f>
        <v>-3257.9858618900248</v>
      </c>
      <c r="T113">
        <f>Graph!$D$40*((Graph!$E$36-Z113)/POWER((((Graph!$D$36-$Y113)^2)+((Graph!$E$36-$Z113)^2))+(Graph!$D$41^2),3/2))</f>
        <v>-385.2140295573713</v>
      </c>
      <c r="U113">
        <f>O113+Q113+S113</f>
        <v>-3205.8437122552864</v>
      </c>
      <c r="V113">
        <f>P113+R113+T113</f>
        <v>522.0573791154909</v>
      </c>
      <c r="W113">
        <f>W112+(U112*Graph!$D$5)</f>
        <v>-421.10456091713809</v>
      </c>
      <c r="X113">
        <f>X112+(V112*Graph!$D$5)</f>
        <v>188.45969603398402</v>
      </c>
      <c r="Y113">
        <f>Y112+(W112*Graph!$D$5)+(U112*Graph!$D$5^2)</f>
        <v>10888.361328581868</v>
      </c>
      <c r="Z113">
        <f>Z112+(X112*Graph!$D$5)+(V112*Graph!$D$5^2)</f>
        <v>-13712.594308120648</v>
      </c>
    </row>
    <row r="114" spans="14:26" x14ac:dyDescent="0.35">
      <c r="N114">
        <f>N113+1</f>
        <v>111</v>
      </c>
      <c r="O114">
        <f>Graph!$D$22*((Graph!$D$18-Y114)/POWER((((Graph!$D$18-$Y114)^2)+((Graph!$E$18-$Z114)^2))+(Graph!$D$23^2),(3/2)))</f>
        <v>181.20780988140791</v>
      </c>
      <c r="P114" s="84">
        <f>Graph!$D$22*((Graph!$E$18-Z114)/POWER((((Graph!$D$18-$Y114)^2)+((Graph!$E$18-$Z114)^2))+(Graph!$D$23^2),3/2))</f>
        <v>830.69302480991087</v>
      </c>
      <c r="Q114">
        <f>Graph!$D$31*((Graph!$D$27-Y114)/POWER((((Graph!$D$27-$Y114)^2)+((Graph!$E$27-$Z114)^2))+(Graph!$D$32^2),3/2))</f>
        <v>-96.525756352564727</v>
      </c>
      <c r="R114">
        <f>Graph!$D$31*((Graph!$E$27-Z114)/POWER((((Graph!$D$27-$Y114)^2)+((Graph!$E$27-$Z114)^2))+(Graph!$D$32^2),3/2))</f>
        <v>75.88552952879725</v>
      </c>
      <c r="S114">
        <f>Graph!$D$40*((Graph!$D$36-Y114)/POWER((((Graph!$D$36-$Y114)^2)+((Graph!$E$36-$Z114)^2))+(Graph!$D$41^2),3/2))</f>
        <v>-3707.8534467176923</v>
      </c>
      <c r="T114">
        <f>Graph!$D$40*((Graph!$E$36-Z114)/POWER((((Graph!$D$36-$Y114)^2)+((Graph!$E$36-$Z114)^2))+(Graph!$D$41^2),3/2))</f>
        <v>-567.70276763117954</v>
      </c>
      <c r="U114">
        <f>O114+Q114+S114</f>
        <v>-3623.1713931888494</v>
      </c>
      <c r="V114">
        <f>P114+R114+T114</f>
        <v>338.87578670752862</v>
      </c>
      <c r="W114">
        <f>W113+(U113*Graph!$D$5)</f>
        <v>-2024.0264170447813</v>
      </c>
      <c r="X114">
        <f>X113+(V113*Graph!$D$5)</f>
        <v>449.48838559172947</v>
      </c>
      <c r="Y114">
        <f>Y113+(W113*Graph!$D$5)+(U113*Graph!$D$5^2)</f>
        <v>9876.3481200594779</v>
      </c>
      <c r="Z114">
        <f>Z113+(X113*Graph!$D$5)+(V113*Graph!$D$5^2)</f>
        <v>-13487.850115324783</v>
      </c>
    </row>
    <row r="115" spans="14:26" x14ac:dyDescent="0.35">
      <c r="N115">
        <f>N114+1</f>
        <v>112</v>
      </c>
      <c r="O115">
        <f>Graph!$D$22*((Graph!$D$18-Y115)/POWER((((Graph!$D$18-$Y115)^2)+((Graph!$E$18-$Z115)^2))+(Graph!$D$23^2),(3/2)))</f>
        <v>243.62731024142371</v>
      </c>
      <c r="P115" s="84">
        <f>Graph!$D$22*((Graph!$E$18-Z115)/POWER((((Graph!$D$18-$Y115)^2)+((Graph!$E$18-$Z115)^2))+(Graph!$D$23^2),3/2))</f>
        <v>801.94870513703495</v>
      </c>
      <c r="Q115">
        <f>Graph!$D$31*((Graph!$D$27-Y115)/POWER((((Graph!$D$27-$Y115)^2)+((Graph!$E$27-$Z115)^2))+(Graph!$D$32^2),3/2))</f>
        <v>-103.38513704715309</v>
      </c>
      <c r="R115">
        <f>Graph!$D$31*((Graph!$E$27-Z115)/POWER((((Graph!$D$27-$Y115)^2)+((Graph!$E$27-$Z115)^2))+(Graph!$D$32^2),3/2))</f>
        <v>85.70907269092146</v>
      </c>
      <c r="S115">
        <f>Graph!$D$40*((Graph!$D$36-Y115)/POWER((((Graph!$D$36-$Y115)^2)+((Graph!$E$36-$Z115)^2))+(Graph!$D$41^2),3/2))</f>
        <v>-4748.8238035026125</v>
      </c>
      <c r="T115">
        <f>Graph!$D$40*((Graph!$E$36-Z115)/POWER((((Graph!$D$36-$Y115)^2)+((Graph!$E$36-$Z115)^2))+(Graph!$D$41^2),3/2))</f>
        <v>-1086.9477375511472</v>
      </c>
      <c r="U115">
        <f>O115+Q115+S115</f>
        <v>-4608.581630308342</v>
      </c>
      <c r="V115">
        <f>P115+R115+T115</f>
        <v>-199.2899597231908</v>
      </c>
      <c r="W115">
        <f>W114+(U114*Graph!$D$5)</f>
        <v>-3835.6121136392057</v>
      </c>
      <c r="X115">
        <f>X114+(V114*Graph!$D$5)</f>
        <v>618.92627894549378</v>
      </c>
      <c r="Y115">
        <f>Y114+(W114*Graph!$D$5)+(U114*Graph!$D$5^2)</f>
        <v>7958.5420632398755</v>
      </c>
      <c r="Z115">
        <f>Z114+(X114*Graph!$D$5)+(V114*Graph!$D$5^2)</f>
        <v>-13178.386975852038</v>
      </c>
    </row>
    <row r="116" spans="14:26" x14ac:dyDescent="0.35">
      <c r="N116">
        <f>N115+1</f>
        <v>113</v>
      </c>
      <c r="O116">
        <f>Graph!$D$22*((Graph!$D$18-Y116)/POWER((((Graph!$D$18-$Y116)^2)+((Graph!$E$18-$Z116)^2))+(Graph!$D$23^2),(3/2)))</f>
        <v>317.63622467111452</v>
      </c>
      <c r="P116" s="84">
        <f>Graph!$D$22*((Graph!$E$18-Z116)/POWER((((Graph!$D$18-$Y116)^2)+((Graph!$E$18-$Z116)^2))+(Graph!$D$23^2),3/2))</f>
        <v>719.96135933841731</v>
      </c>
      <c r="Q116">
        <f>Graph!$D$31*((Graph!$D$27-Y116)/POWER((((Graph!$D$27-$Y116)^2)+((Graph!$E$27-$Z116)^2))+(Graph!$D$32^2),3/2))</f>
        <v>-113.58344511596623</v>
      </c>
      <c r="R116">
        <f>Graph!$D$31*((Graph!$E$27-Z116)/POWER((((Graph!$D$27-$Y116)^2)+((Graph!$E$27-$Z116)^2))+(Graph!$D$32^2),3/2))</f>
        <v>104.59371554780566</v>
      </c>
      <c r="S116">
        <f>Graph!$D$40*((Graph!$D$36-Y116)/POWER((((Graph!$D$36-$Y116)^2)+((Graph!$E$36-$Z116)^2))+(Graph!$D$41^2),3/2))</f>
        <v>-6590.9556306662307</v>
      </c>
      <c r="T116">
        <f>Graph!$D$40*((Graph!$E$36-Z116)/POWER((((Graph!$D$36-$Y116)^2)+((Graph!$E$36-$Z116)^2))+(Graph!$D$41^2),3/2))</f>
        <v>-2806.0133779043267</v>
      </c>
      <c r="U116">
        <f>O116+Q116+S116</f>
        <v>-6386.9028511110828</v>
      </c>
      <c r="V116">
        <f>P116+R116+T116</f>
        <v>-1981.4583030181038</v>
      </c>
      <c r="W116">
        <f>W115+(U115*Graph!$D$5)</f>
        <v>-6139.9029287933772</v>
      </c>
      <c r="X116">
        <f>X115+(V115*Graph!$D$5)</f>
        <v>519.28129908389838</v>
      </c>
      <c r="Y116">
        <f>Y115+(W115*Graph!$D$5)+(U115*Graph!$D$5^2)</f>
        <v>4888.5905988431878</v>
      </c>
      <c r="Z116">
        <f>Z115+(X115*Graph!$D$5)+(V115*Graph!$D$5^2)</f>
        <v>-12918.746326310087</v>
      </c>
    </row>
    <row r="117" spans="14:26" x14ac:dyDescent="0.35">
      <c r="N117">
        <f>N116+1</f>
        <v>114</v>
      </c>
      <c r="O117">
        <f>Graph!$D$22*((Graph!$D$18-Y117)/POWER((((Graph!$D$18-$Y117)^2)+((Graph!$E$18-$Z117)^2))+(Graph!$D$23^2),(3/2)))</f>
        <v>355.52882645980975</v>
      </c>
      <c r="P117" s="84">
        <f>Graph!$D$22*((Graph!$E$18-Z117)/POWER((((Graph!$D$18-$Y117)^2)+((Graph!$E$18-$Z117)^2))+(Graph!$D$23^2),3/2))</f>
        <v>557.04651563271022</v>
      </c>
      <c r="Q117">
        <f>Graph!$D$31*((Graph!$D$27-Y117)/POWER((((Graph!$D$27-$Y117)^2)+((Graph!$E$27-$Z117)^2))+(Graph!$D$32^2),3/2))</f>
        <v>-122.6137883743273</v>
      </c>
      <c r="R117">
        <f>Graph!$D$31*((Graph!$E$27-Z117)/POWER((((Graph!$D$27-$Y117)^2)+((Graph!$E$27-$Z117)^2))+(Graph!$D$32^2),3/2))</f>
        <v>140.39508805434247</v>
      </c>
      <c r="S117">
        <f>Graph!$D$40*((Graph!$D$36-Y117)/POWER((((Graph!$D$36-$Y117)^2)+((Graph!$E$36-$Z117)^2))+(Graph!$D$41^2),3/2))</f>
        <v>-765.48933092689992</v>
      </c>
      <c r="T117">
        <f>Graph!$D$40*((Graph!$E$36-Z117)/POWER((((Graph!$D$36-$Y117)^2)+((Graph!$E$36-$Z117)^2))+(Graph!$D$41^2),3/2))</f>
        <v>-6366.1464051103676</v>
      </c>
      <c r="U117">
        <f>O117+Q117+S117</f>
        <v>-532.57429284141745</v>
      </c>
      <c r="V117">
        <f>P117+R117+T117</f>
        <v>-5668.7048014233151</v>
      </c>
      <c r="W117">
        <f>W116+(U116*Graph!$D$5)</f>
        <v>-9333.3543543489177</v>
      </c>
      <c r="X117">
        <f>X116+(V116*Graph!$D$5)</f>
        <v>-471.44785242515354</v>
      </c>
      <c r="Y117">
        <f>Y116+(W116*Graph!$D$5)+(U116*Graph!$D$5^2)</f>
        <v>221.91342166872846</v>
      </c>
      <c r="Z117">
        <f>Z116+(X116*Graph!$D$5)+(V116*Graph!$D$5^2)</f>
        <v>-13154.470252522664</v>
      </c>
    </row>
    <row r="118" spans="14:26" x14ac:dyDescent="0.35">
      <c r="N118">
        <f>N117+1</f>
        <v>115</v>
      </c>
      <c r="O118">
        <f>Graph!$D$22*((Graph!$D$18-Y118)/POWER((((Graph!$D$18-$Y118)^2)+((Graph!$E$18-$Z118)^2))+(Graph!$D$23^2),(3/2)))</f>
        <v>312.97221578340208</v>
      </c>
      <c r="P118" s="84">
        <f>Graph!$D$22*((Graph!$E$18-Z118)/POWER((((Graph!$D$18-$Y118)^2)+((Graph!$E$18-$Z118)^2))+(Graph!$D$23^2),3/2))</f>
        <v>396.57035580691092</v>
      </c>
      <c r="Q118">
        <f>Graph!$D$31*((Graph!$D$27-Y118)/POWER((((Graph!$D$27-$Y118)^2)+((Graph!$E$27-$Z118)^2))+(Graph!$D$32^2),3/2))</f>
        <v>-108.77723769556358</v>
      </c>
      <c r="R118">
        <f>Graph!$D$31*((Graph!$E$27-Z118)/POWER((((Graph!$D$27-$Y118)^2)+((Graph!$E$27-$Z118)^2))+(Graph!$D$32^2),3/2))</f>
        <v>174.97477688957628</v>
      </c>
      <c r="S118">
        <f>Graph!$D$40*((Graph!$D$36-Y118)/POWER((((Graph!$D$36-$Y118)^2)+((Graph!$E$36-$Z118)^2))+(Graph!$D$41^2),3/2))</f>
        <v>7684.3831052853866</v>
      </c>
      <c r="T118">
        <f>Graph!$D$40*((Graph!$E$36-Z118)/POWER((((Graph!$D$36-$Y118)^2)+((Graph!$E$36-$Z118)^2))+(Graph!$D$41^2),3/2))</f>
        <v>-323.34420472099441</v>
      </c>
      <c r="U118">
        <f>O118+Q118+S118</f>
        <v>7888.5780833732251</v>
      </c>
      <c r="V118">
        <f>P118+R118+T118</f>
        <v>248.20092797549273</v>
      </c>
      <c r="W118">
        <f>W117+(U117*Graph!$D$5)</f>
        <v>-9599.6415007696269</v>
      </c>
      <c r="X118">
        <f>X117+(V117*Graph!$D$5)</f>
        <v>-3305.8002531368111</v>
      </c>
      <c r="Y118">
        <f>Y117+(W117*Graph!$D$5)+(U117*Graph!$D$5^2)</f>
        <v>-4577.9073287160845</v>
      </c>
      <c r="Z118">
        <f>Z117+(X117*Graph!$D$5)+(V117*Graph!$D$5^2)</f>
        <v>-14807.370379091069</v>
      </c>
    </row>
    <row r="119" spans="14:26" x14ac:dyDescent="0.35">
      <c r="N119">
        <f>N118+1</f>
        <v>116</v>
      </c>
      <c r="O119">
        <f>Graph!$D$22*((Graph!$D$18-Y119)/POWER((((Graph!$D$18-$Y119)^2)+((Graph!$E$18-$Z119)^2))+(Graph!$D$23^2),(3/2)))</f>
        <v>273.9987891111216</v>
      </c>
      <c r="P119" s="84">
        <f>Graph!$D$22*((Graph!$E$18-Z119)/POWER((((Graph!$D$18-$Y119)^2)+((Graph!$E$18-$Z119)^2))+(Graph!$D$23^2),3/2))</f>
        <v>322.82490526819055</v>
      </c>
      <c r="Q119">
        <f>Graph!$D$31*((Graph!$D$27-Y119)/POWER((((Graph!$D$27-$Y119)^2)+((Graph!$E$27-$Z119)^2))+(Graph!$D$32^2),3/2))</f>
        <v>-88.489114584921879</v>
      </c>
      <c r="R119">
        <f>Graph!$D$31*((Graph!$E$27-Z119)/POWER((((Graph!$D$27-$Y119)^2)+((Graph!$E$27-$Z119)^2))+(Graph!$D$32^2),3/2))</f>
        <v>185.47545648023925</v>
      </c>
      <c r="S119">
        <f>Graph!$D$40*((Graph!$D$36-Y119)/POWER((((Graph!$D$36-$Y119)^2)+((Graph!$E$36-$Z119)^2))+(Graph!$D$41^2),3/2))</f>
        <v>5241.3886965620832</v>
      </c>
      <c r="T119">
        <f>Graph!$D$40*((Graph!$E$36-Z119)/POWER((((Graph!$D$36-$Y119)^2)+((Graph!$E$36-$Z119)^2))+(Graph!$D$41^2),3/2))</f>
        <v>989.60681221712332</v>
      </c>
      <c r="U119">
        <f>O119+Q119+S119</f>
        <v>5426.8983710882831</v>
      </c>
      <c r="V119">
        <f>P119+R119+T119</f>
        <v>1497.9071739655531</v>
      </c>
      <c r="W119">
        <f>W118+(U118*Graph!$D$5)</f>
        <v>-5655.3524590830148</v>
      </c>
      <c r="X119">
        <f>X118+(V118*Graph!$D$5)</f>
        <v>-3181.6997891490646</v>
      </c>
      <c r="Y119">
        <f>Y118+(W118*Graph!$D$5)+(U118*Graph!$D$5^2)</f>
        <v>-7405.5835582575919</v>
      </c>
      <c r="Z119">
        <f>Z118+(X118*Graph!$D$5)+(V118*Graph!$D$5^2)</f>
        <v>-16398.220273665604</v>
      </c>
    </row>
    <row r="120" spans="14:26" x14ac:dyDescent="0.35">
      <c r="N120">
        <f>N119+1</f>
        <v>117</v>
      </c>
      <c r="O120">
        <f>Graph!$D$22*((Graph!$D$18-Y120)/POWER((((Graph!$D$18-$Y120)^2)+((Graph!$E$18-$Z120)^2))+(Graph!$D$23^2),(3/2)))</f>
        <v>249.91132447938102</v>
      </c>
      <c r="P120" s="84">
        <f>Graph!$D$22*((Graph!$E$18-Z120)/POWER((((Graph!$D$18-$Y120)^2)+((Graph!$E$18-$Z120)^2))+(Graph!$D$23^2),3/2))</f>
        <v>289.03689538172074</v>
      </c>
      <c r="Q120">
        <f>Graph!$D$31*((Graph!$D$27-Y120)/POWER((((Graph!$D$27-$Y120)^2)+((Graph!$E$27-$Z120)^2))+(Graph!$D$32^2),3/2))</f>
        <v>-74.168835114754373</v>
      </c>
      <c r="R120">
        <f>Graph!$D$31*((Graph!$E$27-Z120)/POWER((((Graph!$D$27-$Y120)^2)+((Graph!$E$27-$Z120)^2))+(Graph!$D$32^2),3/2))</f>
        <v>184.12808047516498</v>
      </c>
      <c r="S120">
        <f>Graph!$D$40*((Graph!$D$36-Y120)/POWER((((Graph!$D$36-$Y120)^2)+((Graph!$E$36-$Z120)^2))+(Graph!$D$41^2),3/2))</f>
        <v>3994.2823877330889</v>
      </c>
      <c r="T120">
        <f>Graph!$D$40*((Graph!$E$36-Z120)/POWER((((Graph!$D$36-$Y120)^2)+((Graph!$E$36-$Z120)^2))+(Graph!$D$41^2),3/2))</f>
        <v>1176.5203470035633</v>
      </c>
      <c r="U120">
        <f>O120+Q120+S120</f>
        <v>4170.0248770977159</v>
      </c>
      <c r="V120">
        <f>P120+R120+T120</f>
        <v>1649.6853228604491</v>
      </c>
      <c r="W120">
        <f>W119+(U119*Graph!$D$5)</f>
        <v>-2941.9032735388732</v>
      </c>
      <c r="X120">
        <f>X119+(V119*Graph!$D$5)</f>
        <v>-2432.7462021662882</v>
      </c>
      <c r="Y120">
        <f>Y119+(W119*Graph!$D$5)+(U119*Graph!$D$5^2)</f>
        <v>-8876.5351950270287</v>
      </c>
      <c r="Z120">
        <f>Z119+(X119*Graph!$D$5)+(V119*Graph!$D$5^2)</f>
        <v>-17614.593374748747</v>
      </c>
    </row>
    <row r="121" spans="14:26" x14ac:dyDescent="0.35">
      <c r="N121">
        <f>N120+1</f>
        <v>118</v>
      </c>
      <c r="O121">
        <f>Graph!$D$22*((Graph!$D$18-Y121)/POWER((((Graph!$D$18-$Y121)^2)+((Graph!$E$18-$Z121)^2))+(Graph!$D$23^2),(3/2)))</f>
        <v>236.98904411866803</v>
      </c>
      <c r="P121" s="84">
        <f>Graph!$D$22*((Graph!$E$18-Z121)/POWER((((Graph!$D$18-$Y121)^2)+((Graph!$E$18-$Z121)^2))+(Graph!$D$23^2),3/2))</f>
        <v>277.09891879998446</v>
      </c>
      <c r="Q121">
        <f>Graph!$D$31*((Graph!$D$27-Y121)/POWER((((Graph!$D$27-$Y121)^2)+((Graph!$E$27-$Z121)^2))+(Graph!$D$32^2),3/2))</f>
        <v>-67.263838537020774</v>
      </c>
      <c r="R121">
        <f>Graph!$D$31*((Graph!$E$27-Z121)/POWER((((Graph!$D$27-$Y121)^2)+((Graph!$E$27-$Z121)^2))+(Graph!$D$32^2),3/2))</f>
        <v>178.73183421586475</v>
      </c>
      <c r="S121">
        <f>Graph!$D$40*((Graph!$D$36-Y121)/POWER((((Graph!$D$36-$Y121)^2)+((Graph!$E$36-$Z121)^2))+(Graph!$D$41^2),3/2))</f>
        <v>3559.8580218153102</v>
      </c>
      <c r="T121">
        <f>Graph!$D$40*((Graph!$E$36-Z121)/POWER((((Graph!$D$36-$Y121)^2)+((Graph!$E$36-$Z121)^2))+(Graph!$D$41^2),3/2))</f>
        <v>1307.8517693421934</v>
      </c>
      <c r="U121">
        <f>O121+Q121+S121</f>
        <v>3729.5832273969572</v>
      </c>
      <c r="V121">
        <f>P121+R121+T121</f>
        <v>1763.6825223580427</v>
      </c>
      <c r="W121">
        <f>W120+(U120*Graph!$D$5)</f>
        <v>-856.89083499001526</v>
      </c>
      <c r="X121">
        <f>X120+(V120*Graph!$D$5)</f>
        <v>-1607.9035407360636</v>
      </c>
      <c r="Y121">
        <f>Y120+(W120*Graph!$D$5)+(U120*Graph!$D$5^2)</f>
        <v>-9304.9806125220348</v>
      </c>
      <c r="Z121">
        <f>Z120+(X120*Graph!$D$5)+(V120*Graph!$D$5^2)</f>
        <v>-18418.545145116779</v>
      </c>
    </row>
    <row r="122" spans="14:26" x14ac:dyDescent="0.35">
      <c r="N122">
        <f>N121+1</f>
        <v>119</v>
      </c>
      <c r="O122">
        <f>Graph!$D$22*((Graph!$D$18-Y122)/POWER((((Graph!$D$18-$Y122)^2)+((Graph!$E$18-$Z122)^2))+(Graph!$D$23^2),(3/2)))</f>
        <v>232.92834528994132</v>
      </c>
      <c r="P122" s="84">
        <f>Graph!$D$22*((Graph!$E$18-Z122)/POWER((((Graph!$D$18-$Y122)^2)+((Graph!$E$18-$Z122)^2))+(Graph!$D$23^2),3/2))</f>
        <v>281.67036787975655</v>
      </c>
      <c r="Q122">
        <f>Graph!$D$31*((Graph!$D$27-Y122)/POWER((((Graph!$D$27-$Y122)^2)+((Graph!$E$27-$Z122)^2))+(Graph!$D$32^2),3/2))</f>
        <v>-66.984460868004618</v>
      </c>
      <c r="R122">
        <f>Graph!$D$31*((Graph!$E$27-Z122)/POWER((((Graph!$D$27-$Y122)^2)+((Graph!$E$27-$Z122)^2))+(Graph!$D$32^2),3/2))</f>
        <v>172.15140399462715</v>
      </c>
      <c r="S122">
        <f>Graph!$D$40*((Graph!$D$36-Y122)/POWER((((Graph!$D$36-$Y122)^2)+((Graph!$E$36-$Z122)^2))+(Graph!$D$41^2),3/2))</f>
        <v>3652.5791947203775</v>
      </c>
      <c r="T122">
        <f>Graph!$D$40*((Graph!$E$36-Z122)/POWER((((Graph!$D$36-$Y122)^2)+((Graph!$E$36-$Z122)^2))+(Graph!$D$41^2),3/2))</f>
        <v>1569.4193192402133</v>
      </c>
      <c r="U122">
        <f>O122+Q122+S122</f>
        <v>3818.5230791423141</v>
      </c>
      <c r="V122">
        <f>P122+R122+T122</f>
        <v>2023.2410911145971</v>
      </c>
      <c r="W122">
        <f>W121+(U121*Graph!$D$5)</f>
        <v>1007.9007787084633</v>
      </c>
      <c r="X122">
        <f>X121+(V121*Graph!$D$5)</f>
        <v>-726.0622795570423</v>
      </c>
      <c r="Y122">
        <f>Y121+(W121*Graph!$D$5)+(U121*Graph!$D$5^2)</f>
        <v>-8801.0302231678033</v>
      </c>
      <c r="Z122">
        <f>Z121+(X121*Graph!$D$5)+(V121*Graph!$D$5^2)</f>
        <v>-18781.576284895302</v>
      </c>
    </row>
    <row r="123" spans="14:26" x14ac:dyDescent="0.35">
      <c r="N123">
        <f>N122+1</f>
        <v>120</v>
      </c>
      <c r="O123">
        <f>Graph!$D$22*((Graph!$D$18-Y123)/POWER((((Graph!$D$18-$Y123)^2)+((Graph!$E$18-$Z123)^2))+(Graph!$D$23^2),(3/2)))</f>
        <v>237.33033266583479</v>
      </c>
      <c r="P123" s="84">
        <f>Graph!$D$22*((Graph!$E$18-Z123)/POWER((((Graph!$D$18-$Y123)^2)+((Graph!$E$18-$Z123)^2))+(Graph!$D$23^2),3/2))</f>
        <v>304.21263290029299</v>
      </c>
      <c r="Q123">
        <f>Graph!$D$31*((Graph!$D$27-Y123)/POWER((((Graph!$D$27-$Y123)^2)+((Graph!$E$27-$Z123)^2))+(Graph!$D$32^2),3/2))</f>
        <v>-72.686197153763061</v>
      </c>
      <c r="R123">
        <f>Graph!$D$31*((Graph!$E$27-Z123)/POWER((((Graph!$D$27-$Y123)^2)+((Graph!$E$27-$Z123)^2))+(Graph!$D$32^2),3/2))</f>
        <v>164.45876983306215</v>
      </c>
      <c r="S123">
        <f>Graph!$D$40*((Graph!$D$36-Y123)/POWER((((Graph!$D$36-$Y123)^2)+((Graph!$E$36-$Z123)^2))+(Graph!$D$41^2),3/2))</f>
        <v>4345.898391434509</v>
      </c>
      <c r="T123">
        <f>Graph!$D$40*((Graph!$E$36-Z123)/POWER((((Graph!$D$36-$Y123)^2)+((Graph!$E$36-$Z123)^2))+(Graph!$D$41^2),3/2))</f>
        <v>2153.7558587437302</v>
      </c>
      <c r="U123">
        <f>O123+Q123+S123</f>
        <v>4510.5425269465804</v>
      </c>
      <c r="V123">
        <f>P123+R123+T123</f>
        <v>2622.4272614770853</v>
      </c>
      <c r="W123">
        <f>W122+(U122*Graph!$D$5)</f>
        <v>2917.1623182796202</v>
      </c>
      <c r="X123">
        <f>X122+(V122*Graph!$D$5)</f>
        <v>285.55826600025625</v>
      </c>
      <c r="Y123">
        <f>Y122+(W122*Graph!$D$5)+(U122*Graph!$D$5^2)</f>
        <v>-7342.4490640279937</v>
      </c>
      <c r="Z123">
        <f>Z122+(X122*Graph!$D$5)+(V122*Graph!$D$5^2)</f>
        <v>-18638.797151895174</v>
      </c>
    </row>
    <row r="124" spans="14:26" x14ac:dyDescent="0.35">
      <c r="N124">
        <f>N123+1</f>
        <v>121</v>
      </c>
      <c r="O124">
        <f>Graph!$D$22*((Graph!$D$18-Y124)/POWER((((Graph!$D$18-$Y124)^2)+((Graph!$E$18-$Z124)^2))+(Graph!$D$23^2),(3/2)))</f>
        <v>251.86330359648719</v>
      </c>
      <c r="P124" s="84">
        <f>Graph!$D$22*((Graph!$E$18-Z124)/POWER((((Graph!$D$18-$Y124)^2)+((Graph!$E$18-$Z124)^2))+(Graph!$D$23^2),3/2))</f>
        <v>354.92485825517662</v>
      </c>
      <c r="Q124">
        <f>Graph!$D$31*((Graph!$D$27-Y124)/POWER((((Graph!$D$27-$Y124)^2)+((Graph!$E$27-$Z124)^2))+(Graph!$D$32^2),3/2))</f>
        <v>-84.075496434651185</v>
      </c>
      <c r="R124">
        <f>Graph!$D$31*((Graph!$E$27-Z124)/POWER((((Graph!$D$27-$Y124)^2)+((Graph!$E$27-$Z124)^2))+(Graph!$D$32^2),3/2))</f>
        <v>153.55104032178636</v>
      </c>
      <c r="S124">
        <f>Graph!$D$40*((Graph!$D$36-Y124)/POWER((((Graph!$D$36-$Y124)^2)+((Graph!$E$36-$Z124)^2))+(Graph!$D$41^2),3/2))</f>
        <v>5992.3832262735104</v>
      </c>
      <c r="T124">
        <f>Graph!$D$40*((Graph!$E$36-Z124)/POWER((((Graph!$D$36-$Y124)^2)+((Graph!$E$36-$Z124)^2))+(Graph!$D$41^2),3/2))</f>
        <v>3578.6377691872044</v>
      </c>
      <c r="U124">
        <f>O124+Q124+S124</f>
        <v>6160.1710334353465</v>
      </c>
      <c r="V124">
        <f>P124+R124+T124</f>
        <v>4087.1136677641675</v>
      </c>
      <c r="W124">
        <f>W123+(U123*Graph!$D$5)</f>
        <v>5172.43358175291</v>
      </c>
      <c r="X124">
        <f>X123+(V123*Graph!$D$5)</f>
        <v>1596.7718967387989</v>
      </c>
      <c r="Y124">
        <f>Y123+(W123*Graph!$D$5)+(U123*Graph!$D$5^2)</f>
        <v>-4756.2322731515387</v>
      </c>
      <c r="Z124">
        <f>Z123+(X123*Graph!$D$5)+(V123*Graph!$D$5^2)</f>
        <v>-17840.411203525775</v>
      </c>
    </row>
    <row r="125" spans="14:26" x14ac:dyDescent="0.35">
      <c r="N125">
        <f>N124+1</f>
        <v>122</v>
      </c>
      <c r="O125">
        <f>Graph!$D$22*((Graph!$D$18-Y125)/POWER((((Graph!$D$18-$Y125)^2)+((Graph!$E$18-$Z125)^2))+(Graph!$D$23^2),(3/2)))</f>
        <v>281.11217121640095</v>
      </c>
      <c r="P125" s="84">
        <f>Graph!$D$22*((Graph!$E$18-Z125)/POWER((((Graph!$D$18-$Y125)^2)+((Graph!$E$18-$Z125)^2))+(Graph!$D$23^2),3/2))</f>
        <v>467.98597882931267</v>
      </c>
      <c r="Q125">
        <f>Graph!$D$31*((Graph!$D$27-Y125)/POWER((((Graph!$D$27-$Y125)^2)+((Graph!$E$27-$Z125)^2))+(Graph!$D$32^2),3/2))</f>
        <v>-100.16217354222749</v>
      </c>
      <c r="R125">
        <f>Graph!$D$31*((Graph!$E$27-Z125)/POWER((((Graph!$D$27-$Y125)^2)+((Graph!$E$27-$Z125)^2))+(Graph!$D$32^2),3/2))</f>
        <v>134.55037735743716</v>
      </c>
      <c r="S125">
        <f>Graph!$D$40*((Graph!$D$36-Y125)/POWER((((Graph!$D$36-$Y125)^2)+((Graph!$E$36-$Z125)^2))+(Graph!$D$41^2),3/2))</f>
        <v>2426.515986954324</v>
      </c>
      <c r="T125">
        <f>Graph!$D$40*((Graph!$E$36-Z125)/POWER((((Graph!$D$36-$Y125)^2)+((Graph!$E$36-$Z125)^2))+(Graph!$D$41^2),3/2))</f>
        <v>3929.7657971271728</v>
      </c>
      <c r="U125">
        <f>O125+Q125+S125</f>
        <v>2607.4659846284976</v>
      </c>
      <c r="V125">
        <f>P125+R125+T125</f>
        <v>4532.3021533139226</v>
      </c>
      <c r="W125">
        <f>W124+(U124*Graph!$D$5)</f>
        <v>8252.5190984705841</v>
      </c>
      <c r="X125">
        <f>X124+(V124*Graph!$D$5)</f>
        <v>3640.3287306208827</v>
      </c>
      <c r="Y125">
        <f>Y124+(W124*Graph!$D$5)+(U124*Graph!$D$5^2)</f>
        <v>-629.97272391624711</v>
      </c>
      <c r="Z125">
        <f>Z124+(X124*Graph!$D$5)+(V124*Graph!$D$5^2)</f>
        <v>-16020.246838215333</v>
      </c>
    </row>
    <row r="126" spans="14:26" x14ac:dyDescent="0.35">
      <c r="N126">
        <f>N125+1</f>
        <v>123</v>
      </c>
      <c r="O126">
        <f>Graph!$D$22*((Graph!$D$18-Y126)/POWER((((Graph!$D$18-$Y126)^2)+((Graph!$E$18-$Z126)^2))+(Graph!$D$23^2),(3/2)))</f>
        <v>324.10966843654086</v>
      </c>
      <c r="P126" s="84">
        <f>Graph!$D$22*((Graph!$E$18-Z126)/POWER((((Graph!$D$18-$Y126)^2)+((Graph!$E$18-$Z126)^2))+(Graph!$D$23^2),3/2))</f>
        <v>688.93711742027085</v>
      </c>
      <c r="Q126">
        <f>Graph!$D$31*((Graph!$D$27-Y126)/POWER((((Graph!$D$27-$Y126)^2)+((Graph!$E$27-$Z126)^2))+(Graph!$D$32^2),3/2))</f>
        <v>-114.5563338889731</v>
      </c>
      <c r="R126">
        <f>Graph!$D$31*((Graph!$E$27-Z126)/POWER((((Graph!$D$27-$Y126)^2)+((Graph!$E$27-$Z126)^2))+(Graph!$D$32^2),3/2))</f>
        <v>109.42748760281019</v>
      </c>
      <c r="S126">
        <f>Graph!$D$40*((Graph!$D$36-Y126)/POWER((((Graph!$D$36-$Y126)^2)+((Graph!$E$36-$Z126)^2))+(Graph!$D$41^2),3/2))</f>
        <v>-6974.5364445917976</v>
      </c>
      <c r="T126">
        <f>Graph!$D$40*((Graph!$E$36-Z126)/POWER((((Graph!$D$36-$Y126)^2)+((Graph!$E$36-$Z126)^2))+(Graph!$D$41^2),3/2))</f>
        <v>-3250.0559977234439</v>
      </c>
      <c r="U126">
        <f>O126+Q126+S126</f>
        <v>-6764.9831100442298</v>
      </c>
      <c r="V126">
        <f>P126+R126+T126</f>
        <v>-2451.6913927003629</v>
      </c>
      <c r="W126">
        <f>W125+(U125*Graph!$D$5)</f>
        <v>9556.2520907848339</v>
      </c>
      <c r="X126">
        <f>X125+(V125*Graph!$D$5)</f>
        <v>5906.479807277844</v>
      </c>
      <c r="Y126">
        <f>Y125+(W125*Graph!$D$5)+(U125*Graph!$D$5^2)</f>
        <v>4148.1533214761694</v>
      </c>
      <c r="Z126">
        <f>Z125+(X125*Graph!$D$5)+(V125*Graph!$D$5^2)</f>
        <v>-13067.00693457641</v>
      </c>
    </row>
    <row r="127" spans="14:26" x14ac:dyDescent="0.35">
      <c r="N127">
        <f>N126+1</f>
        <v>124</v>
      </c>
      <c r="O127">
        <f>Graph!$D$22*((Graph!$D$18-Y127)/POWER((((Graph!$D$18-$Y127)^2)+((Graph!$E$18-$Z127)^2))+(Graph!$D$23^2),(3/2)))</f>
        <v>347.98942089506124</v>
      </c>
      <c r="P127" s="84">
        <f>Graph!$D$22*((Graph!$E$18-Z127)/POWER((((Graph!$D$18-$Y127)^2)+((Graph!$E$18-$Z127)^2))+(Graph!$D$23^2),3/2))</f>
        <v>928.87314982050748</v>
      </c>
      <c r="Q127">
        <f>Graph!$D$31*((Graph!$D$27-Y127)/POWER((((Graph!$D$27-$Y127)^2)+((Graph!$E$27-$Z127)^2))+(Graph!$D$32^2),3/2))</f>
        <v>-120.12052601244487</v>
      </c>
      <c r="R127">
        <f>Graph!$D$31*((Graph!$E$27-Z127)/POWER((((Graph!$D$27-$Y127)^2)+((Graph!$E$27-$Z127)^2))+(Graph!$D$32^2),3/2))</f>
        <v>91.415378013291885</v>
      </c>
      <c r="S127">
        <f>Graph!$D$40*((Graph!$D$36-Y127)/POWER((((Graph!$D$36-$Y127)^2)+((Graph!$E$36-$Z127)^2))+(Graph!$D$41^2),3/2))</f>
        <v>-4052.3354072545435</v>
      </c>
      <c r="T127">
        <f>Graph!$D$40*((Graph!$E$36-Z127)/POWER((((Graph!$D$36-$Y127)^2)+((Graph!$E$36-$Z127)^2))+(Graph!$D$41^2),3/2))</f>
        <v>-2393.4769196543607</v>
      </c>
      <c r="U127">
        <f>O127+Q127+S127</f>
        <v>-3824.4665123719269</v>
      </c>
      <c r="V127">
        <f>P127+R127+T127</f>
        <v>-1373.1883918205613</v>
      </c>
      <c r="W127">
        <f>W126+(U126*Graph!$D$5)</f>
        <v>6173.760535762719</v>
      </c>
      <c r="X127">
        <f>X126+(V126*Graph!$D$5)</f>
        <v>4680.6341109276627</v>
      </c>
      <c r="Y127">
        <f>Y126+(W126*Graph!$D$5)+(U126*Graph!$D$5^2)</f>
        <v>7235.0335893575284</v>
      </c>
      <c r="Z127">
        <f>Z126+(X126*Graph!$D$5)+(V126*Graph!$D$5^2)</f>
        <v>-10726.689879112579</v>
      </c>
    </row>
    <row r="128" spans="14:26" x14ac:dyDescent="0.35">
      <c r="N128">
        <f>N127+1</f>
        <v>125</v>
      </c>
      <c r="O128">
        <f>Graph!$D$22*((Graph!$D$18-Y128)/POWER((((Graph!$D$18-$Y128)^2)+((Graph!$E$18-$Z128)^2))+(Graph!$D$23^2),(3/2)))</f>
        <v>358.56516812084362</v>
      </c>
      <c r="P128" s="84">
        <f>Graph!$D$22*((Graph!$E$18-Z128)/POWER((((Graph!$D$18-$Y128)^2)+((Graph!$E$18-$Z128)^2))+(Graph!$D$23^2),3/2))</f>
        <v>1191.9711656507798</v>
      </c>
      <c r="Q128">
        <f>Graph!$D$31*((Graph!$D$27-Y128)/POWER((((Graph!$D$27-$Y128)^2)+((Graph!$E$27-$Z128)^2))+(Graph!$D$32^2),3/2))</f>
        <v>-122.94685233292809</v>
      </c>
      <c r="R128">
        <f>Graph!$D$31*((Graph!$E$27-Z128)/POWER((((Graph!$D$27-$Y128)^2)+((Graph!$E$27-$Z128)^2))+(Graph!$D$32^2),3/2))</f>
        <v>78.416190921948044</v>
      </c>
      <c r="S128">
        <f>Graph!$D$40*((Graph!$D$36-Y128)/POWER((((Graph!$D$36-$Y128)^2)+((Graph!$E$36-$Z128)^2))+(Graph!$D$41^2),3/2))</f>
        <v>-2615.9362820605315</v>
      </c>
      <c r="T128">
        <f>Graph!$D$40*((Graph!$E$36-Z128)/POWER((((Graph!$D$36-$Y128)^2)+((Graph!$E$36-$Z128)^2))+(Graph!$D$41^2),3/2))</f>
        <v>-1751.3494635061261</v>
      </c>
      <c r="U128">
        <f>O128+Q128+S128</f>
        <v>-2380.3179662726161</v>
      </c>
      <c r="V128">
        <f>P128+R128+T128</f>
        <v>-480.96210693339822</v>
      </c>
      <c r="W128">
        <f>W127+(U127*Graph!$D$5)</f>
        <v>4261.527279576756</v>
      </c>
      <c r="X128">
        <f>X127+(V127*Graph!$D$5)</f>
        <v>3994.0399150173821</v>
      </c>
      <c r="Y128">
        <f>Y127+(W127*Graph!$D$5)+(U127*Graph!$D$5^2)</f>
        <v>9365.7972291459064</v>
      </c>
      <c r="Z128">
        <f>Z127+(X127*Graph!$D$5)+(V127*Graph!$D$5^2)</f>
        <v>-8729.6699216038887</v>
      </c>
    </row>
    <row r="129" spans="14:26" x14ac:dyDescent="0.35">
      <c r="N129">
        <f>N128+1</f>
        <v>126</v>
      </c>
      <c r="O129">
        <f>Graph!$D$22*((Graph!$D$18-Y129)/POWER((((Graph!$D$18-$Y129)^2)+((Graph!$E$18-$Z129)^2))+(Graph!$D$23^2),(3/2)))</f>
        <v>364.89119110029219</v>
      </c>
      <c r="P129" s="84">
        <f>Graph!$D$22*((Graph!$E$18-Z129)/POWER((((Graph!$D$18-$Y129)^2)+((Graph!$E$18-$Z129)^2))+(Graph!$D$23^2),3/2))</f>
        <v>1500.4131616533496</v>
      </c>
      <c r="Q129">
        <f>Graph!$D$31*((Graph!$D$27-Y129)/POWER((((Graph!$D$27-$Y129)^2)+((Graph!$E$27-$Z129)^2))+(Graph!$D$32^2),3/2))</f>
        <v>-125.39978533467483</v>
      </c>
      <c r="R129">
        <f>Graph!$D$31*((Graph!$E$27-Z129)/POWER((((Graph!$D$27-$Y129)^2)+((Graph!$E$27-$Z129)^2))+(Graph!$D$32^2),3/2))</f>
        <v>68.389887980147464</v>
      </c>
      <c r="S129">
        <f>Graph!$D$40*((Graph!$D$36-Y129)/POWER((((Graph!$D$36-$Y129)^2)+((Graph!$E$36-$Z129)^2))+(Graph!$D$41^2),3/2))</f>
        <v>-1872.7519227494304</v>
      </c>
      <c r="T129">
        <f>Graph!$D$40*((Graph!$E$36-Z129)/POWER((((Graph!$D$36-$Y129)^2)+((Graph!$E$36-$Z129)^2))+(Graph!$D$41^2),3/2))</f>
        <v>-1399.5818063615611</v>
      </c>
      <c r="U129">
        <f>O129+Q129+S129</f>
        <v>-1633.260516983813</v>
      </c>
      <c r="V129">
        <f>P129+R129+T129</f>
        <v>169.22124327193592</v>
      </c>
      <c r="W129">
        <f>W128+(U128*Graph!$D$5)</f>
        <v>3071.3682964404479</v>
      </c>
      <c r="X129">
        <f>X128+(V128*Graph!$D$5)</f>
        <v>3753.5588615506831</v>
      </c>
      <c r="Y129">
        <f>Y128+(W128*Graph!$D$5)+(U128*Graph!$D$5^2)</f>
        <v>10901.48137736613</v>
      </c>
      <c r="Z129">
        <f>Z128+(X128*Graph!$D$5)+(V128*Graph!$D$5^2)</f>
        <v>-6852.8904908285476</v>
      </c>
    </row>
    <row r="130" spans="14:26" x14ac:dyDescent="0.35">
      <c r="N130">
        <f>N129+1</f>
        <v>127</v>
      </c>
      <c r="O130">
        <f>Graph!$D$22*((Graph!$D$18-Y130)/POWER((((Graph!$D$18-$Y130)^2)+((Graph!$E$18-$Z130)^2))+(Graph!$D$23^2),(3/2)))</f>
        <v>377.93160492493695</v>
      </c>
      <c r="P130" s="84">
        <f>Graph!$D$22*((Graph!$E$18-Z130)/POWER((((Graph!$D$18-$Y130)^2)+((Graph!$E$18-$Z130)^2))+(Graph!$D$23^2),3/2))</f>
        <v>1899.5870041326732</v>
      </c>
      <c r="Q130">
        <f>Graph!$D$31*((Graph!$D$27-Y130)/POWER((((Graph!$D$27-$Y130)^2)+((Graph!$E$27-$Z130)^2))+(Graph!$D$32^2),3/2))</f>
        <v>-128.44039630247261</v>
      </c>
      <c r="R130">
        <f>Graph!$D$31*((Graph!$E$27-Z130)/POWER((((Graph!$D$27-$Y130)^2)+((Graph!$E$27-$Z130)^2))+(Graph!$D$32^2),3/2))</f>
        <v>59.886755378365919</v>
      </c>
      <c r="S130">
        <f>Graph!$D$40*((Graph!$D$36-Y130)/POWER((((Graph!$D$36-$Y130)^2)+((Graph!$E$36-$Z130)^2))+(Graph!$D$41^2),3/2))</f>
        <v>-1411.6177427715443</v>
      </c>
      <c r="T130">
        <f>Graph!$D$40*((Graph!$E$36-Z130)/POWER((((Graph!$D$36-$Y130)^2)+((Graph!$E$36-$Z130)^2))+(Graph!$D$41^2),3/2))</f>
        <v>-1181.2947986191211</v>
      </c>
      <c r="U130">
        <f>O130+Q130+S130</f>
        <v>-1162.1265341490798</v>
      </c>
      <c r="V130">
        <f>P130+R130+T130</f>
        <v>778.178960891918</v>
      </c>
      <c r="W130">
        <f>W129+(U129*Graph!$D$5)</f>
        <v>2254.7380379485412</v>
      </c>
      <c r="X130">
        <f>X129+(V129*Graph!$D$5)</f>
        <v>3838.1694831866512</v>
      </c>
      <c r="Y130">
        <f>Y129+(W129*Graph!$D$5)+(U129*Graph!$D$5^2)</f>
        <v>12028.8503963404</v>
      </c>
      <c r="Z130">
        <f>Z129+(X129*Graph!$D$5)+(V129*Graph!$D$5^2)</f>
        <v>-4933.8057492352227</v>
      </c>
    </row>
    <row r="131" spans="14:26" x14ac:dyDescent="0.35">
      <c r="N131">
        <f>N130+1</f>
        <v>128</v>
      </c>
      <c r="O131">
        <f>Graph!$D$22*((Graph!$D$18-Y131)/POWER((((Graph!$D$18-$Y131)^2)+((Graph!$E$18-$Z131)^2))+(Graph!$D$23^2),(3/2)))</f>
        <v>413.85560846495298</v>
      </c>
      <c r="P131" s="84">
        <f>Graph!$D$22*((Graph!$E$18-Z131)/POWER((((Graph!$D$18-$Y131)^2)+((Graph!$E$18-$Z131)^2))+(Graph!$D$23^2),3/2))</f>
        <v>2485.9070779246431</v>
      </c>
      <c r="Q131">
        <f>Graph!$D$31*((Graph!$D$27-Y131)/POWER((((Graph!$D$27-$Y131)^2)+((Graph!$E$27-$Z131)^2))+(Graph!$D$32^2),3/2))</f>
        <v>-132.48196476655883</v>
      </c>
      <c r="R131">
        <f>Graph!$D$31*((Graph!$E$27-Z131)/POWER((((Graph!$D$27-$Y131)^2)+((Graph!$E$27-$Z131)^2))+(Graph!$D$32^2),3/2))</f>
        <v>51.678277717436949</v>
      </c>
      <c r="S131">
        <f>Graph!$D$40*((Graph!$D$36-Y131)/POWER((((Graph!$D$36-$Y131)^2)+((Graph!$E$36-$Z131)^2))+(Graph!$D$41^2),3/2))</f>
        <v>-1079.8767788790713</v>
      </c>
      <c r="T131">
        <f>Graph!$D$40*((Graph!$E$36-Z131)/POWER((((Graph!$D$36-$Y131)^2)+((Graph!$E$36-$Z131)^2))+(Graph!$D$41^2),3/2))</f>
        <v>-1022.3090318019106</v>
      </c>
      <c r="U131">
        <f>O131+Q131+S131</f>
        <v>-798.50313518067708</v>
      </c>
      <c r="V131">
        <f>P131+R131+T131</f>
        <v>1515.2763238401697</v>
      </c>
      <c r="W131">
        <f>W130+(U130*Graph!$D$5)</f>
        <v>1673.6747708740013</v>
      </c>
      <c r="X131">
        <f>X130+(V130*Graph!$D$5)</f>
        <v>4227.2589636326102</v>
      </c>
      <c r="Y131">
        <f>Y130+(W130*Graph!$D$5)+(U130*Graph!$D$5^2)</f>
        <v>12865.6877817774</v>
      </c>
      <c r="Z131">
        <f>Z130+(X130*Graph!$D$5)+(V130*Graph!$D$5^2)</f>
        <v>-2820.1762674189176</v>
      </c>
    </row>
    <row r="132" spans="14:26" x14ac:dyDescent="0.35">
      <c r="N132">
        <f>N131+1</f>
        <v>129</v>
      </c>
      <c r="O132">
        <f>Graph!$D$22*((Graph!$D$18-Y132)/POWER((((Graph!$D$18-$Y132)^2)+((Graph!$E$18-$Z132)^2))+(Graph!$D$23^2),(3/2)))</f>
        <v>505.89785522513324</v>
      </c>
      <c r="P132" s="84">
        <f>Graph!$D$22*((Graph!$E$18-Z132)/POWER((((Graph!$D$18-$Y132)^2)+((Graph!$E$18-$Z132)^2))+(Graph!$D$23^2),3/2))</f>
        <v>3489.9292921679103</v>
      </c>
      <c r="Q132">
        <f>Graph!$D$31*((Graph!$D$27-Y132)/POWER((((Graph!$D$27-$Y132)^2)+((Graph!$E$27-$Z132)^2))+(Graph!$D$32^2),3/2))</f>
        <v>-137.57214061091611</v>
      </c>
      <c r="R132">
        <f>Graph!$D$31*((Graph!$E$27-Z132)/POWER((((Graph!$D$27-$Y132)^2)+((Graph!$E$27-$Z132)^2))+(Graph!$D$32^2),3/2))</f>
        <v>42.408496999441994</v>
      </c>
      <c r="S132">
        <f>Graph!$D$40*((Graph!$D$36-Y132)/POWER((((Graph!$D$36-$Y132)^2)+((Graph!$E$36-$Z132)^2))+(Graph!$D$41^2),3/2))</f>
        <v>-813.81455933615655</v>
      </c>
      <c r="T132">
        <f>Graph!$D$40*((Graph!$E$36-Z132)/POWER((((Graph!$D$36-$Y132)^2)+((Graph!$E$36-$Z132)^2))+(Graph!$D$41^2),3/2))</f>
        <v>-884.29221557917026</v>
      </c>
      <c r="U132">
        <f>O132+Q132+S132</f>
        <v>-445.48884472193942</v>
      </c>
      <c r="V132">
        <f>P132+R132+T132</f>
        <v>2648.0455735881819</v>
      </c>
      <c r="W132">
        <f>W131+(U131*Graph!$D$5)</f>
        <v>1274.4232032836628</v>
      </c>
      <c r="X132">
        <f>X131+(V131*Graph!$D$5)</f>
        <v>4984.8971255526949</v>
      </c>
      <c r="Y132">
        <f>Y131+(W131*Graph!$D$5)+(U131*Graph!$D$5^2)</f>
        <v>13502.899383419232</v>
      </c>
      <c r="Z132">
        <f>Z131+(X131*Graph!$D$5)+(V131*Graph!$D$5^2)</f>
        <v>-327.72770464257013</v>
      </c>
    </row>
    <row r="133" spans="14:26" x14ac:dyDescent="0.35">
      <c r="N133">
        <f>N132+1</f>
        <v>130</v>
      </c>
      <c r="O133">
        <f>Graph!$D$22*((Graph!$D$18-Y133)/POWER((((Graph!$D$18-$Y133)^2)+((Graph!$E$18-$Z133)^2))+(Graph!$D$23^2),(3/2)))</f>
        <v>746.84529878015007</v>
      </c>
      <c r="P133" s="84">
        <f>Graph!$D$22*((Graph!$E$18-Z133)/POWER((((Graph!$D$18-$Y133)^2)+((Graph!$E$18-$Z133)^2))+(Graph!$D$23^2),3/2))</f>
        <v>5515.839766650749</v>
      </c>
      <c r="Q133">
        <f>Graph!$D$31*((Graph!$D$27-Y133)/POWER((((Graph!$D$27-$Y133)^2)+((Graph!$E$27-$Z133)^2))+(Graph!$D$32^2),3/2))</f>
        <v>-143.12405090201079</v>
      </c>
      <c r="R133">
        <f>Graph!$D$31*((Graph!$E$27-Z133)/POWER((((Graph!$D$27-$Y133)^2)+((Graph!$E$27-$Z133)^2))+(Graph!$D$32^2),3/2))</f>
        <v>30.170590370328195</v>
      </c>
      <c r="S133">
        <f>Graph!$D$40*((Graph!$D$36-Y133)/POWER((((Graph!$D$36-$Y133)^2)+((Graph!$E$36-$Z133)^2))+(Graph!$D$41^2),3/2))</f>
        <v>-586.01924865755143</v>
      </c>
      <c r="T133">
        <f>Graph!$D$40*((Graph!$E$36-Z133)/POWER((((Graph!$D$36-$Y133)^2)+((Graph!$E$36-$Z133)^2))+(Graph!$D$41^2),3/2))</f>
        <v>-744.67194866525233</v>
      </c>
      <c r="U133">
        <f>O133+Q133+S133</f>
        <v>17.701999220587822</v>
      </c>
      <c r="V133">
        <f>P133+R133+T133</f>
        <v>4801.3384083558249</v>
      </c>
      <c r="W133">
        <f>W132+(U132*Graph!$D$5)</f>
        <v>1051.678780922693</v>
      </c>
      <c r="X133">
        <f>X132+(V132*Graph!$D$5)</f>
        <v>6308.9199123467861</v>
      </c>
      <c r="Y133">
        <f>Y132+(W132*Graph!$D$5)+(U132*Graph!$D$5^2)</f>
        <v>14028.738773880577</v>
      </c>
      <c r="Z133">
        <f>Z132+(X132*Graph!$D$5)+(V132*Graph!$D$5^2)</f>
        <v>2826.7322515308229</v>
      </c>
    </row>
    <row r="134" spans="14:26" x14ac:dyDescent="0.35">
      <c r="N134">
        <f>N133+1</f>
        <v>131</v>
      </c>
      <c r="O134">
        <f>Graph!$D$22*((Graph!$D$18-Y134)/POWER((((Graph!$D$18-$Y134)^2)+((Graph!$E$18-$Z134)^2))+(Graph!$D$23^2),(3/2)))</f>
        <v>1210.4277646857972</v>
      </c>
      <c r="P134" s="84">
        <f>Graph!$D$22*((Graph!$E$18-Z134)/POWER((((Graph!$D$18-$Y134)^2)+((Graph!$E$18-$Z134)^2))+(Graph!$D$23^2),3/2))</f>
        <v>7736.0239214927151</v>
      </c>
      <c r="Q134">
        <f>Graph!$D$31*((Graph!$D$27-Y134)/POWER((((Graph!$D$27-$Y134)^2)+((Graph!$E$27-$Z134)^2))+(Graph!$D$32^2),3/2))</f>
        <v>-146.63840908908955</v>
      </c>
      <c r="R134">
        <f>Graph!$D$31*((Graph!$E$27-Z134)/POWER((((Graph!$D$27-$Y134)^2)+((Graph!$E$27-$Z134)^2))+(Graph!$D$32^2),3/2))</f>
        <v>11.959153356638886</v>
      </c>
      <c r="S134">
        <f>Graph!$D$40*((Graph!$D$36-Y134)/POWER((((Graph!$D$36-$Y134)^2)+((Graph!$E$36-$Z134)^2))+(Graph!$D$41^2),3/2))</f>
        <v>-387.30458678430551</v>
      </c>
      <c r="T134">
        <f>Graph!$D$40*((Graph!$E$36-Z134)/POWER((((Graph!$D$36-$Y134)^2)+((Graph!$E$36-$Z134)^2))+(Graph!$D$41^2),3/2))</f>
        <v>-590.08207384878347</v>
      </c>
      <c r="U134">
        <f>O134+Q134+S134</f>
        <v>676.48476881240231</v>
      </c>
      <c r="V134">
        <f>P134+R134+T134</f>
        <v>7157.9010010005704</v>
      </c>
      <c r="W134">
        <f>W133+(U133*Graph!$D$5)</f>
        <v>1060.5297805329869</v>
      </c>
      <c r="X134">
        <f>X133+(V133*Graph!$D$5)</f>
        <v>8709.5891165246976</v>
      </c>
      <c r="Y134">
        <f>Y133+(W133*Graph!$D$5)+(U133*Graph!$D$5^2)</f>
        <v>14559.003664147071</v>
      </c>
      <c r="Z134">
        <f>Z133+(X133*Graph!$D$5)+(V133*Graph!$D$5^2)</f>
        <v>7181.526809793173</v>
      </c>
    </row>
    <row r="135" spans="14:26" x14ac:dyDescent="0.35">
      <c r="N135">
        <f>N134+1</f>
        <v>132</v>
      </c>
      <c r="O135">
        <f>Graph!$D$22*((Graph!$D$18-Y135)/POWER((((Graph!$D$18-$Y135)^2)+((Graph!$E$18-$Z135)^2))+(Graph!$D$23^2),(3/2)))</f>
        <v>-623.0367099790501</v>
      </c>
      <c r="P135" s="84">
        <f>Graph!$D$22*((Graph!$E$18-Z135)/POWER((((Graph!$D$18-$Y135)^2)+((Graph!$E$18-$Z135)^2))+(Graph!$D$23^2),3/2))</f>
        <v>-8019.255447479828</v>
      </c>
      <c r="Q135">
        <f>Graph!$D$31*((Graph!$D$27-Y135)/POWER((((Graph!$D$27-$Y135)^2)+((Graph!$E$27-$Z135)^2))+(Graph!$D$32^2),3/2))</f>
        <v>-140.49647994326014</v>
      </c>
      <c r="R135">
        <f>Graph!$D$31*((Graph!$E$27-Z135)/POWER((((Graph!$D$27-$Y135)^2)+((Graph!$E$27-$Z135)^2))+(Graph!$D$32^2),3/2))</f>
        <v>-13.252525745988784</v>
      </c>
      <c r="S135">
        <f>Graph!$D$40*((Graph!$D$36-Y135)/POWER((((Graph!$D$36-$Y135)^2)+((Graph!$E$36-$Z135)^2))+(Graph!$D$41^2),3/2))</f>
        <v>-231.44326353918063</v>
      </c>
      <c r="T135">
        <f>Graph!$D$40*((Graph!$E$36-Z135)/POWER((((Graph!$D$36-$Y135)^2)+((Graph!$E$36-$Z135)^2))+(Graph!$D$41^2),3/2))</f>
        <v>-429.65312333442063</v>
      </c>
      <c r="U135">
        <f>O135+Q135+S135</f>
        <v>-994.97645346149091</v>
      </c>
      <c r="V135">
        <f>P135+R135+T135</f>
        <v>-8462.1610965602376</v>
      </c>
      <c r="W135">
        <f>W134+(U134*Graph!$D$5)</f>
        <v>1398.7721649391881</v>
      </c>
      <c r="X135">
        <f>X134+(V134*Graph!$D$5)</f>
        <v>12288.539617024982</v>
      </c>
      <c r="Y135">
        <f>Y134+(W134*Graph!$D$5)+(U134*Graph!$D$5^2)</f>
        <v>15258.389746616664</v>
      </c>
      <c r="Z135">
        <f>Z134+(X134*Graph!$D$5)+(V134*Graph!$D$5^2)</f>
        <v>13325.796618305665</v>
      </c>
    </row>
    <row r="136" spans="14:26" x14ac:dyDescent="0.35">
      <c r="N136">
        <f>N135+1</f>
        <v>133</v>
      </c>
      <c r="O136">
        <f>Graph!$D$22*((Graph!$D$18-Y136)/POWER((((Graph!$D$18-$Y136)^2)+((Graph!$E$18-$Z136)^2))+(Graph!$D$23^2),(3/2)))</f>
        <v>-522.83174725997605</v>
      </c>
      <c r="P136" s="84">
        <f>Graph!$D$22*((Graph!$E$18-Z136)/POWER((((Graph!$D$18-$Y136)^2)+((Graph!$E$18-$Z136)^2))+(Graph!$D$23^2),3/2))</f>
        <v>-5423.1421153909996</v>
      </c>
      <c r="Q136">
        <f>Graph!$D$31*((Graph!$D$27-Y136)/POWER((((Graph!$D$27-$Y136)^2)+((Graph!$E$27-$Z136)^2))+(Graph!$D$32^2),3/2))</f>
        <v>-130.52611936004871</v>
      </c>
      <c r="R136">
        <f>Graph!$D$31*((Graph!$E$27-Z136)/POWER((((Graph!$D$27-$Y136)^2)+((Graph!$E$27-$Z136)^2))+(Graph!$D$32^2),3/2))</f>
        <v>-26.8827720136259</v>
      </c>
      <c r="S136">
        <f>Graph!$D$40*((Graph!$D$36-Y136)/POWER((((Graph!$D$36-$Y136)^2)+((Graph!$E$36-$Z136)^2))+(Graph!$D$41^2),3/2))</f>
        <v>-171.78444907479016</v>
      </c>
      <c r="T136">
        <f>Graph!$D$40*((Graph!$E$36-Z136)/POWER((((Graph!$D$36-$Y136)^2)+((Graph!$E$36-$Z136)^2))+(Graph!$D$41^2),3/2))</f>
        <v>-353.80948684771562</v>
      </c>
      <c r="U136">
        <f>O136+Q136+S136</f>
        <v>-825.1423156948149</v>
      </c>
      <c r="V136">
        <f>P136+R136+T136</f>
        <v>-5803.8343742523411</v>
      </c>
      <c r="W136">
        <f>W135+(U135*Graph!$D$5)</f>
        <v>901.28393820844258</v>
      </c>
      <c r="X136">
        <f>X135+(V135*Graph!$D$5)</f>
        <v>8057.4590687448635</v>
      </c>
      <c r="Y136">
        <f>Y135+(W135*Graph!$D$5)+(U135*Graph!$D$5^2)</f>
        <v>15709.031715720886</v>
      </c>
      <c r="Z136">
        <f>Z135+(X135*Graph!$D$5)+(V135*Graph!$D$5^2)</f>
        <v>17354.526152678096</v>
      </c>
    </row>
    <row r="137" spans="14:26" x14ac:dyDescent="0.35">
      <c r="N137">
        <f>N136+1</f>
        <v>134</v>
      </c>
      <c r="O137">
        <f>Graph!$D$22*((Graph!$D$18-Y137)/POWER((((Graph!$D$18-$Y137)^2)+((Graph!$E$18-$Z137)^2))+(Graph!$D$23^2),(3/2)))</f>
        <v>-359.08990921896043</v>
      </c>
      <c r="P137" s="84">
        <f>Graph!$D$22*((Graph!$E$18-Z137)/POWER((((Graph!$D$18-$Y137)^2)+((Graph!$E$18-$Z137)^2))+(Graph!$D$23^2),3/2))</f>
        <v>-3740.9609366418872</v>
      </c>
      <c r="Q137">
        <f>Graph!$D$31*((Graph!$D$27-Y137)/POWER((((Graph!$D$27-$Y137)^2)+((Graph!$E$27-$Z137)^2))+(Graph!$D$32^2),3/2))</f>
        <v>-122.79828204876239</v>
      </c>
      <c r="R137">
        <f>Graph!$D$31*((Graph!$E$27-Z137)/POWER((((Graph!$D$27-$Y137)^2)+((Graph!$E$27-$Z137)^2))+(Graph!$D$32^2),3/2))</f>
        <v>-33.923618444125907</v>
      </c>
      <c r="S137">
        <f>Graph!$D$40*((Graph!$D$36-Y137)/POWER((((Graph!$D$36-$Y137)^2)+((Graph!$E$36-$Z137)^2))+(Graph!$D$41^2),3/2))</f>
        <v>-143.81757634094251</v>
      </c>
      <c r="T137">
        <f>Graph!$D$40*((Graph!$E$36-Z137)/POWER((((Graph!$D$36-$Y137)^2)+((Graph!$E$36-$Z137)^2))+(Graph!$D$41^2),3/2))</f>
        <v>-314.90980289940444</v>
      </c>
      <c r="U137">
        <f>O137+Q137+S137</f>
        <v>-625.70576760866538</v>
      </c>
      <c r="V137">
        <f>P137+R137+T137</f>
        <v>-4089.7943579854177</v>
      </c>
      <c r="W137">
        <f>W136+(U136*Graph!$D$5)</f>
        <v>488.71278036103513</v>
      </c>
      <c r="X137">
        <f>X136+(V136*Graph!$D$5)</f>
        <v>5155.541881618693</v>
      </c>
      <c r="Y137">
        <f>Y136+(W136*Graph!$D$5)+(U136*Graph!$D$5^2)</f>
        <v>15953.388105901404</v>
      </c>
      <c r="Z137">
        <f>Z136+(X136*Graph!$D$5)+(V136*Graph!$D$5^2)</f>
        <v>19932.297093487443</v>
      </c>
    </row>
    <row r="138" spans="14:26" x14ac:dyDescent="0.35">
      <c r="N138">
        <f>N137+1</f>
        <v>135</v>
      </c>
      <c r="O138">
        <f>Graph!$D$22*((Graph!$D$18-Y138)/POWER((((Graph!$D$18-$Y138)^2)+((Graph!$E$18-$Z138)^2))+(Graph!$D$23^2),(3/2)))</f>
        <v>-274.40456133024981</v>
      </c>
      <c r="P138" s="84">
        <f>Graph!$D$22*((Graph!$E$18-Z138)/POWER((((Graph!$D$18-$Y138)^2)+((Graph!$E$18-$Z138)^2))+(Graph!$D$23^2),3/2))</f>
        <v>-3027.1780670914586</v>
      </c>
      <c r="Q138">
        <f>Graph!$D$31*((Graph!$D$27-Y138)/POWER((((Graph!$D$27-$Y138)^2)+((Graph!$E$27-$Z138)^2))+(Graph!$D$32^2),3/2))</f>
        <v>-118.06121130598454</v>
      </c>
      <c r="R138">
        <f>Graph!$D$31*((Graph!$E$27-Z138)/POWER((((Graph!$D$27-$Y138)^2)+((Graph!$E$27-$Z138)^2))+(Graph!$D$32^2),3/2))</f>
        <v>-37.630207214856178</v>
      </c>
      <c r="S138">
        <f>Graph!$D$40*((Graph!$D$36-Y138)/POWER((((Graph!$D$36-$Y138)^2)+((Graph!$E$36-$Z138)^2))+(Graph!$D$41^2),3/2))</f>
        <v>-129.57358667810632</v>
      </c>
      <c r="T138">
        <f>Graph!$D$40*((Graph!$E$36-Z138)/POWER((((Graph!$D$36-$Y138)^2)+((Graph!$E$36-$Z138)^2))+(Graph!$D$41^2),3/2))</f>
        <v>-294.72838234615733</v>
      </c>
      <c r="U138">
        <f>O138+Q138+S138</f>
        <v>-522.03935931434069</v>
      </c>
      <c r="V138">
        <f>P138+R138+T138</f>
        <v>-3359.5366566524717</v>
      </c>
      <c r="W138">
        <f>W137+(U137*Graph!$D$5)</f>
        <v>175.85989655670244</v>
      </c>
      <c r="X138">
        <f>X137+(V137*Graph!$D$5)</f>
        <v>3110.6447026259839</v>
      </c>
      <c r="Y138">
        <f>Y137+(W137*Graph!$D$5)+(U137*Graph!$D$5^2)</f>
        <v>16041.318054179756</v>
      </c>
      <c r="Z138">
        <f>Z137+(X137*Graph!$D$5)+(V137*Graph!$D$5^2)</f>
        <v>21487.619444800435</v>
      </c>
    </row>
    <row r="139" spans="14:26" x14ac:dyDescent="0.35">
      <c r="N139">
        <f>N138+1</f>
        <v>136</v>
      </c>
      <c r="O139">
        <f>Graph!$D$22*((Graph!$D$18-Y139)/POWER((((Graph!$D$18-$Y139)^2)+((Graph!$E$18-$Z139)^2))+(Graph!$D$23^2),(3/2)))</f>
        <v>-226.05832772594883</v>
      </c>
      <c r="P139" s="84">
        <f>Graph!$D$22*((Graph!$E$18-Z139)/POWER((((Graph!$D$18-$Y139)^2)+((Graph!$E$18-$Z139)^2))+(Graph!$D$23^2),3/2))</f>
        <v>-2762.0881074165527</v>
      </c>
      <c r="Q139">
        <f>Graph!$D$31*((Graph!$D$27-Y139)/POWER((((Graph!$D$27-$Y139)^2)+((Graph!$E$27-$Z139)^2))+(Graph!$D$32^2),3/2))</f>
        <v>-116.24056505216254</v>
      </c>
      <c r="R139">
        <f>Graph!$D$31*((Graph!$E$27-Z139)/POWER((((Graph!$D$27-$Y139)^2)+((Graph!$E$27-$Z139)^2))+(Graph!$D$32^2),3/2))</f>
        <v>-39.40388988341126</v>
      </c>
      <c r="S139">
        <f>Graph!$D$40*((Graph!$D$36-Y139)/POWER((((Graph!$D$36-$Y139)^2)+((Graph!$E$36-$Z139)^2))+(Graph!$D$41^2),3/2))</f>
        <v>-123.29696474743525</v>
      </c>
      <c r="T139">
        <f>Graph!$D$40*((Graph!$E$36-Z139)/POWER((((Graph!$D$36-$Y139)^2)+((Graph!$E$36-$Z139)^2))+(Graph!$D$41^2),3/2))</f>
        <v>-286.71161679850036</v>
      </c>
      <c r="U139">
        <f>O139+Q139+S139</f>
        <v>-465.59585752554665</v>
      </c>
      <c r="V139">
        <f>P139+R139+T139</f>
        <v>-3088.2036140984646</v>
      </c>
      <c r="W139">
        <f>W138+(U138*Graph!$D$5)</f>
        <v>-85.159783100467905</v>
      </c>
      <c r="X139">
        <f>X138+(V138*Graph!$D$5)</f>
        <v>1430.876374299748</v>
      </c>
      <c r="Y139">
        <f>Y138+(W138*Graph!$D$5)+(U138*Graph!$D$5^2)</f>
        <v>15998.738162629523</v>
      </c>
      <c r="Z139">
        <f>Z138+(X138*Graph!$D$5)+(V138*Graph!$D$5^2)</f>
        <v>22203.057631950309</v>
      </c>
    </row>
    <row r="140" spans="14:26" x14ac:dyDescent="0.35">
      <c r="N140">
        <f>N139+1</f>
        <v>137</v>
      </c>
      <c r="O140">
        <f>Graph!$D$22*((Graph!$D$18-Y140)/POWER((((Graph!$D$18-$Y140)^2)+((Graph!$E$18-$Z140)^2))+(Graph!$D$23^2),(3/2)))</f>
        <v>-192.83071987405023</v>
      </c>
      <c r="P140" s="84">
        <f>Graph!$D$22*((Graph!$E$18-Z140)/POWER((((Graph!$D$18-$Y140)^2)+((Graph!$E$18-$Z140)^2))+(Graph!$D$23^2),3/2))</f>
        <v>-2789.1417198946638</v>
      </c>
      <c r="Q140">
        <f>Graph!$D$31*((Graph!$D$27-Y140)/POWER((((Graph!$D$27-$Y140)^2)+((Graph!$E$27-$Z140)^2))+(Graph!$D$32^2),3/2))</f>
        <v>-117.26900074172532</v>
      </c>
      <c r="R140">
        <f>Graph!$D$31*((Graph!$E$27-Z140)/POWER((((Graph!$D$27-$Y140)^2)+((Graph!$E$27-$Z140)^2))+(Graph!$D$32^2),3/2))</f>
        <v>-39.743611156109459</v>
      </c>
      <c r="S140">
        <f>Graph!$D$40*((Graph!$D$36-Y140)/POWER((((Graph!$D$36-$Y140)^2)+((Graph!$E$36-$Z140)^2))+(Graph!$D$41^2),3/2))</f>
        <v>-123.09844259939675</v>
      </c>
      <c r="T140">
        <f>Graph!$D$40*((Graph!$E$36-Z140)/POWER((((Graph!$D$36-$Y140)^2)+((Graph!$E$36-$Z140)^2))+(Graph!$D$41^2),3/2))</f>
        <v>-288.6830177576033</v>
      </c>
      <c r="U140">
        <f>O140+Q140+S140</f>
        <v>-433.19816321517226</v>
      </c>
      <c r="V140">
        <f>P140+R140+T140</f>
        <v>-3117.5683488083769</v>
      </c>
      <c r="W140">
        <f>W139+(U139*Graph!$D$5)</f>
        <v>-317.95771186324123</v>
      </c>
      <c r="X140">
        <f>X139+(V139*Graph!$D$5)</f>
        <v>-113.2254327494843</v>
      </c>
      <c r="Y140">
        <f>Y139+(W139*Graph!$D$5)+(U139*Graph!$D$5^2)</f>
        <v>15839.759306697901</v>
      </c>
      <c r="Z140">
        <f>Z139+(X139*Graph!$D$5)+(V139*Graph!$D$5^2)</f>
        <v>22146.444915575565</v>
      </c>
    </row>
    <row r="141" spans="14:26" x14ac:dyDescent="0.35">
      <c r="N141">
        <f>N140+1</f>
        <v>138</v>
      </c>
      <c r="O141">
        <f>Graph!$D$22*((Graph!$D$18-Y141)/POWER((((Graph!$D$18-$Y141)^2)+((Graph!$E$18-$Z141)^2))+(Graph!$D$23^2),(3/2)))</f>
        <v>-157.99480112406809</v>
      </c>
      <c r="P141" s="84">
        <f>Graph!$D$22*((Graph!$E$18-Z141)/POWER((((Graph!$D$18-$Y141)^2)+((Graph!$E$18-$Z141)^2))+(Graph!$D$23^2),3/2))</f>
        <v>-3121.4852845276837</v>
      </c>
      <c r="Q141">
        <f>Graph!$D$31*((Graph!$D$27-Y141)/POWER((((Graph!$D$27-$Y141)^2)+((Graph!$E$27-$Z141)^2))+(Graph!$D$32^2),3/2))</f>
        <v>-121.23408082533972</v>
      </c>
      <c r="R141">
        <f>Graph!$D$31*((Graph!$E$27-Z141)/POWER((((Graph!$D$27-$Y141)^2)+((Graph!$E$27-$Z141)^2))+(Graph!$D$32^2),3/2))</f>
        <v>-38.54695471420424</v>
      </c>
      <c r="S141">
        <f>Graph!$D$40*((Graph!$D$36-Y141)/POWER((((Graph!$D$36-$Y141)^2)+((Graph!$E$36-$Z141)^2))+(Graph!$D$41^2),3/2))</f>
        <v>-129.09876897081591</v>
      </c>
      <c r="T141">
        <f>Graph!$D$40*((Graph!$E$36-Z141)/POWER((((Graph!$D$36-$Y141)^2)+((Graph!$E$36-$Z141)^2))+(Graph!$D$41^2),3/2))</f>
        <v>-301.02031566779186</v>
      </c>
      <c r="U141">
        <f>O141+Q141+S141</f>
        <v>-408.32765092022373</v>
      </c>
      <c r="V141">
        <f>P141+R141+T141</f>
        <v>-3461.0525549096797</v>
      </c>
      <c r="W141">
        <f>W140+(U140*Graph!$D$5)</f>
        <v>-534.55679347082742</v>
      </c>
      <c r="X141">
        <f>X140+(V140*Graph!$D$5)</f>
        <v>-1672.0096071536727</v>
      </c>
      <c r="Y141">
        <f>Y140+(W140*Graph!$D$5)+(U140*Graph!$D$5^2)</f>
        <v>15572.480909962487</v>
      </c>
      <c r="Z141">
        <f>Z140+(X140*Graph!$D$5)+(V140*Graph!$D$5^2)</f>
        <v>21310.440111998731</v>
      </c>
    </row>
    <row r="142" spans="14:26" x14ac:dyDescent="0.35">
      <c r="N142">
        <f>N141+1</f>
        <v>139</v>
      </c>
      <c r="O142">
        <f>Graph!$D$22*((Graph!$D$18-Y142)/POWER((((Graph!$D$18-$Y142)^2)+((Graph!$E$18-$Z142)^2))+(Graph!$D$23^2),(3/2)))</f>
        <v>-83.632600486619808</v>
      </c>
      <c r="P142" s="84">
        <f>Graph!$D$22*((Graph!$E$18-Z142)/POWER((((Graph!$D$18-$Y142)^2)+((Graph!$E$18-$Z142)^2))+(Graph!$D$23^2),3/2))</f>
        <v>-3956.4675129394609</v>
      </c>
      <c r="Q142">
        <f>Graph!$D$31*((Graph!$D$27-Y142)/POWER((((Graph!$D$27-$Y142)^2)+((Graph!$E$27-$Z142)^2))+(Graph!$D$32^2),3/2))</f>
        <v>-128.33635632167091</v>
      </c>
      <c r="R142">
        <f>Graph!$D$31*((Graph!$E$27-Z142)/POWER((((Graph!$D$27-$Y142)^2)+((Graph!$E$27-$Z142)^2))+(Graph!$D$32^2),3/2))</f>
        <v>-35.031159808848948</v>
      </c>
      <c r="S142">
        <f>Graph!$D$40*((Graph!$D$36-Y142)/POWER((((Graph!$D$36-$Y142)^2)+((Graph!$E$36-$Z142)^2))+(Graph!$D$41^2),3/2))</f>
        <v>-143.5873770595999</v>
      </c>
      <c r="T142">
        <f>Graph!$D$40*((Graph!$E$36-Z142)/POWER((((Graph!$D$36-$Y142)^2)+((Graph!$E$36-$Z142)^2))+(Graph!$D$41^2),3/2))</f>
        <v>-326.86975158824112</v>
      </c>
      <c r="U142">
        <f>O142+Q142+S142</f>
        <v>-355.55633386789066</v>
      </c>
      <c r="V142">
        <f>P142+R142+T142</f>
        <v>-4318.3684243365506</v>
      </c>
      <c r="W142">
        <f>W141+(U141*Graph!$D$5)</f>
        <v>-738.72061893093928</v>
      </c>
      <c r="X142">
        <f>X141+(V141*Graph!$D$5)</f>
        <v>-3402.5358846085128</v>
      </c>
      <c r="Y142">
        <f>Y141+(W141*Graph!$D$5)+(U141*Graph!$D$5^2)</f>
        <v>15203.120600497017</v>
      </c>
      <c r="Z142">
        <f>Z141+(X141*Graph!$D$5)+(V141*Graph!$D$5^2)</f>
        <v>19609.172169694473</v>
      </c>
    </row>
    <row r="143" spans="14:26" x14ac:dyDescent="0.35">
      <c r="N143">
        <f>N142+1</f>
        <v>140</v>
      </c>
      <c r="O143">
        <f>Graph!$D$22*((Graph!$D$18-Y143)/POWER((((Graph!$D$18-$Y143)^2)+((Graph!$E$18-$Z143)^2))+(Graph!$D$23^2),(3/2)))</f>
        <v>220.07043893129855</v>
      </c>
      <c r="P143" s="84">
        <f>Graph!$D$22*((Graph!$E$18-Z143)/POWER((((Graph!$D$18-$Y143)^2)+((Graph!$E$18-$Z143)^2))+(Graph!$D$23^2),3/2))</f>
        <v>-5890.0041479092497</v>
      </c>
      <c r="Q143">
        <f>Graph!$D$31*((Graph!$D$27-Y143)/POWER((((Graph!$D$27-$Y143)^2)+((Graph!$E$27-$Z143)^2))+(Graph!$D$32^2),3/2))</f>
        <v>-138.51306429917878</v>
      </c>
      <c r="R143">
        <f>Graph!$D$31*((Graph!$E$27-Z143)/POWER((((Graph!$D$27-$Y143)^2)+((Graph!$E$27-$Z143)^2))+(Graph!$D$32^2),3/2))</f>
        <v>-27.221584165993711</v>
      </c>
      <c r="S143">
        <f>Graph!$D$40*((Graph!$D$36-Y143)/POWER((((Graph!$D$36-$Y143)^2)+((Graph!$E$36-$Z143)^2))+(Graph!$D$41^2),3/2))</f>
        <v>-173.55578086691236</v>
      </c>
      <c r="T143">
        <f>Graph!$D$40*((Graph!$E$36-Z143)/POWER((((Graph!$D$36-$Y143)^2)+((Graph!$E$36-$Z143)^2))+(Graph!$D$41^2),3/2))</f>
        <v>-374.63789857012193</v>
      </c>
      <c r="U143">
        <f>O143+Q143+S143</f>
        <v>-91.998406234792583</v>
      </c>
      <c r="V143">
        <f>P143+R143+T143</f>
        <v>-6291.8636306453654</v>
      </c>
      <c r="W143">
        <f>W142+(U142*Graph!$D$5)</f>
        <v>-916.49878586488467</v>
      </c>
      <c r="X143">
        <f>X142+(V142*Graph!$D$5)</f>
        <v>-5561.7200967767876</v>
      </c>
      <c r="Y143">
        <f>Y142+(W142*Graph!$D$5)+(U142*Graph!$D$5^2)</f>
        <v>14744.871207564574</v>
      </c>
      <c r="Z143">
        <f>Z142+(X142*Graph!$D$5)+(V142*Graph!$D$5^2)</f>
        <v>16828.312121306077</v>
      </c>
    </row>
    <row r="144" spans="14:26" x14ac:dyDescent="0.35">
      <c r="N144">
        <f>N143+1</f>
        <v>141</v>
      </c>
      <c r="O144">
        <f>Graph!$D$22*((Graph!$D$18-Y144)/POWER((((Graph!$D$18-$Y144)^2)+((Graph!$E$18-$Z144)^2))+(Graph!$D$23^2),(3/2)))</f>
        <v>2163.8302670176608</v>
      </c>
      <c r="P144" s="84">
        <f>Graph!$D$22*((Graph!$E$18-Z144)/POWER((((Graph!$D$18-$Y144)^2)+((Graph!$E$18-$Z144)^2))+(Graph!$D$23^2),3/2))</f>
        <v>-7271.2243019249154</v>
      </c>
      <c r="Q144">
        <f>Graph!$D$31*((Graph!$D$27-Y144)/POWER((((Graph!$D$27-$Y144)^2)+((Graph!$E$27-$Z144)^2))+(Graph!$D$32^2),3/2))</f>
        <v>-149.45486662197212</v>
      </c>
      <c r="R144">
        <f>Graph!$D$31*((Graph!$E$27-Z144)/POWER((((Graph!$D$27-$Y144)^2)+((Graph!$E$27-$Z144)^2))+(Graph!$D$32^2),3/2))</f>
        <v>-10.79348813404772</v>
      </c>
      <c r="S144">
        <f>Graph!$D$40*((Graph!$D$36-Y144)/POWER((((Graph!$D$36-$Y144)^2)+((Graph!$E$36-$Z144)^2))+(Graph!$D$41^2),3/2))</f>
        <v>-242.21470821621699</v>
      </c>
      <c r="T144">
        <f>Graph!$D$40*((Graph!$E$36-Z144)/POWER((((Graph!$D$36-$Y144)^2)+((Graph!$E$36-$Z144)^2))+(Graph!$D$41^2),3/2))</f>
        <v>-466.55222288547549</v>
      </c>
      <c r="U144">
        <f>O144+Q144+S144</f>
        <v>1772.1606921794719</v>
      </c>
      <c r="V144">
        <f>P144+R144+T144</f>
        <v>-7748.5700129444385</v>
      </c>
      <c r="W144">
        <f>W143+(U143*Graph!$D$5)</f>
        <v>-962.49798898228096</v>
      </c>
      <c r="X144">
        <f>X143+(V143*Graph!$D$5)</f>
        <v>-8707.6519120994708</v>
      </c>
      <c r="Y144">
        <f>Y143+(W143*Graph!$D$5)+(U143*Graph!$D$5^2)</f>
        <v>14263.622213073433</v>
      </c>
      <c r="Z144">
        <f>Z143+(X143*Graph!$D$5)+(V143*Graph!$D$5^2)</f>
        <v>12474.486165256343</v>
      </c>
    </row>
    <row r="145" spans="14:26" x14ac:dyDescent="0.35">
      <c r="N145">
        <f>N144+1</f>
        <v>142</v>
      </c>
      <c r="O145">
        <f>Graph!$D$22*((Graph!$D$18-Y145)/POWER((((Graph!$D$18-$Y145)^2)+((Graph!$E$18-$Z145)^2))+(Graph!$D$23^2),(3/2)))</f>
        <v>1593.2667437629855</v>
      </c>
      <c r="P145" s="84">
        <f>Graph!$D$22*((Graph!$E$18-Z145)/POWER((((Graph!$D$18-$Y145)^2)+((Graph!$E$18-$Z145)^2))+(Graph!$D$23^2),3/2))</f>
        <v>7850.2187508909265</v>
      </c>
      <c r="Q145">
        <f>Graph!$D$31*((Graph!$D$27-Y145)/POWER((((Graph!$D$27-$Y145)^2)+((Graph!$E$27-$Z145)^2))+(Graph!$D$32^2),3/2))</f>
        <v>-148.20077833954662</v>
      </c>
      <c r="R145">
        <f>Graph!$D$31*((Graph!$E$27-Z145)/POWER((((Graph!$D$27-$Y145)^2)+((Graph!$E$27-$Z145)^2))+(Graph!$D$32^2),3/2))</f>
        <v>16.525896707872612</v>
      </c>
      <c r="S145">
        <f>Graph!$D$40*((Graph!$D$36-Y145)/POWER((((Graph!$D$36-$Y145)^2)+((Graph!$E$36-$Z145)^2))+(Graph!$D$41^2),3/2))</f>
        <v>-423.68534728544188</v>
      </c>
      <c r="T145">
        <f>Graph!$D$40*((Graph!$E$36-Z145)/POWER((((Graph!$D$36-$Y145)^2)+((Graph!$E$36-$Z145)^2))+(Graph!$D$41^2),3/2))</f>
        <v>-630.92339103930988</v>
      </c>
      <c r="U145">
        <f>O145+Q145+S145</f>
        <v>1021.3806181379971</v>
      </c>
      <c r="V145">
        <f>P145+R145+T145</f>
        <v>7235.8212565594895</v>
      </c>
      <c r="W145">
        <f>W144+(U144*Graph!$D$5)</f>
        <v>-76.417642892545018</v>
      </c>
      <c r="X145">
        <f>X144+(V144*Graph!$D$5)</f>
        <v>-12581.93691857169</v>
      </c>
      <c r="Y145">
        <f>Y144+(W144*Graph!$D$5)+(U144*Graph!$D$5^2)</f>
        <v>14225.41339162716</v>
      </c>
      <c r="Z145">
        <f>Z144+(X144*Graph!$D$5)+(V144*Graph!$D$5^2)</f>
        <v>6183.5177059704984</v>
      </c>
    </row>
    <row r="146" spans="14:26" x14ac:dyDescent="0.35">
      <c r="N146">
        <f>N145+1</f>
        <v>143</v>
      </c>
      <c r="O146">
        <f>Graph!$D$22*((Graph!$D$18-Y146)/POWER((((Graph!$D$18-$Y146)^2)+((Graph!$E$18-$Z146)^2))+(Graph!$D$23^2),(3/2)))</f>
        <v>319.37133668968994</v>
      </c>
      <c r="P146" s="84">
        <f>Graph!$D$22*((Graph!$E$18-Z146)/POWER((((Graph!$D$18-$Y146)^2)+((Graph!$E$18-$Z146)^2))+(Graph!$D$23^2),3/2))</f>
        <v>4754.3282305666162</v>
      </c>
      <c r="Q146">
        <f>Graph!$D$31*((Graph!$D$27-Y146)/POWER((((Graph!$D$27-$Y146)^2)+((Graph!$E$27-$Z146)^2))+(Graph!$D$32^2),3/2))</f>
        <v>-137.09300423308673</v>
      </c>
      <c r="R146">
        <f>Graph!$D$31*((Graph!$E$27-Z146)/POWER((((Graph!$D$27-$Y146)^2)+((Graph!$E$27-$Z146)^2))+(Graph!$D$32^2),3/2))</f>
        <v>33.030820292458337</v>
      </c>
      <c r="S146">
        <f>Graph!$D$40*((Graph!$D$36-Y146)/POWER((((Graph!$D$36-$Y146)^2)+((Graph!$E$36-$Z146)^2))+(Graph!$D$41^2),3/2))</f>
        <v>-651.72853794637001</v>
      </c>
      <c r="T146">
        <f>Graph!$D$40*((Graph!$E$36-Z146)/POWER((((Graph!$D$36-$Y146)^2)+((Graph!$E$36-$Z146)^2))+(Graph!$D$41^2),3/2))</f>
        <v>-753.66520153319414</v>
      </c>
      <c r="U146">
        <f>O146+Q146+S146</f>
        <v>-469.4502054897668</v>
      </c>
      <c r="V146">
        <f>P146+R146+T146</f>
        <v>4033.6938493258799</v>
      </c>
      <c r="W146">
        <f>W145+(U145*Graph!$D$5)</f>
        <v>434.27266617645353</v>
      </c>
      <c r="X146">
        <f>X145+(V145*Graph!$D$5)</f>
        <v>-8964.0262902919458</v>
      </c>
      <c r="Y146">
        <f>Y145+(W145*Graph!$D$5)+(U145*Graph!$D$5^2)</f>
        <v>14442.549724715387</v>
      </c>
      <c r="Z146">
        <f>Z145+(X145*Graph!$D$5)+(V145*Graph!$D$5^2)</f>
        <v>1701.5045608245259</v>
      </c>
    </row>
    <row r="147" spans="14:26" x14ac:dyDescent="0.35">
      <c r="N147">
        <f>N146+1</f>
        <v>144</v>
      </c>
      <c r="O147">
        <f>Graph!$D$22*((Graph!$D$18-Y147)/POWER((((Graph!$D$18-$Y147)^2)+((Graph!$E$18-$Z147)^2))+(Graph!$D$23^2),(3/2)))</f>
        <v>114.31951279833284</v>
      </c>
      <c r="P147" s="84">
        <f>Graph!$D$22*((Graph!$E$18-Z147)/POWER((((Graph!$D$18-$Y147)^2)+((Graph!$E$18-$Z147)^2))+(Graph!$D$23^2),3/2))</f>
        <v>2940.4591554886383</v>
      </c>
      <c r="Q147">
        <f>Graph!$D$31*((Graph!$D$27-Y147)/POWER((((Graph!$D$27-$Y147)^2)+((Graph!$E$27-$Z147)^2))+(Graph!$D$32^2),3/2))</f>
        <v>-125.90512211715216</v>
      </c>
      <c r="R147">
        <f>Graph!$D$31*((Graph!$E$27-Z147)/POWER((((Graph!$D$27-$Y147)^2)+((Graph!$E$27-$Z147)^2))+(Graph!$D$32^2),3/2))</f>
        <v>42.908688947392463</v>
      </c>
      <c r="S147">
        <f>Graph!$D$40*((Graph!$D$36-Y147)/POWER((((Graph!$D$36-$Y147)^2)+((Graph!$E$36-$Z147)^2))+(Graph!$D$41^2),3/2))</f>
        <v>-912.31726049922736</v>
      </c>
      <c r="T147">
        <f>Graph!$D$40*((Graph!$E$36-Z147)/POWER((((Graph!$D$36-$Y147)^2)+((Graph!$E$36-$Z147)^2))+(Graph!$D$41^2),3/2))</f>
        <v>-829.85741984670597</v>
      </c>
      <c r="U147">
        <f>O147+Q147+S147</f>
        <v>-923.90286981804672</v>
      </c>
      <c r="V147">
        <f>P147+R147+T147</f>
        <v>2153.5104245893249</v>
      </c>
      <c r="W147">
        <f>W146+(U146*Graph!$D$5)</f>
        <v>199.54756343157013</v>
      </c>
      <c r="X147">
        <f>X146+(V146*Graph!$D$5)</f>
        <v>-6947.1793656290056</v>
      </c>
      <c r="Y147">
        <f>Y146+(W146*Graph!$D$5)+(U146*Graph!$D$5^2)</f>
        <v>14542.323506431172</v>
      </c>
      <c r="Z147">
        <f>Z146+(X146*Graph!$D$5)+(V146*Graph!$D$5^2)</f>
        <v>-1772.0851219899769</v>
      </c>
    </row>
    <row r="148" spans="14:26" x14ac:dyDescent="0.35">
      <c r="N148">
        <f>N147+1</f>
        <v>145</v>
      </c>
      <c r="O148">
        <f>Graph!$D$22*((Graph!$D$18-Y148)/POWER((((Graph!$D$18-$Y148)^2)+((Graph!$E$18-$Z148)^2))+(Graph!$D$23^2),(3/2)))</f>
        <v>82.080573029786237</v>
      </c>
      <c r="P148" s="84">
        <f>Graph!$D$22*((Graph!$E$18-Z148)/POWER((((Graph!$D$18-$Y148)^2)+((Graph!$E$18-$Z148)^2))+(Graph!$D$23^2),3/2))</f>
        <v>2049.970455200134</v>
      </c>
      <c r="Q148">
        <f>Graph!$D$31*((Graph!$D$27-Y148)/POWER((((Graph!$D$27-$Y148)^2)+((Graph!$E$27-$Z148)^2))+(Graph!$D$32^2),3/2))</f>
        <v>-116.39275050064681</v>
      </c>
      <c r="R148">
        <f>Graph!$D$31*((Graph!$E$27-Z148)/POWER((((Graph!$D$27-$Y148)^2)+((Graph!$E$27-$Z148)^2))+(Graph!$D$32^2),3/2))</f>
        <v>49.746206901901822</v>
      </c>
      <c r="S148">
        <f>Graph!$D$40*((Graph!$D$36-Y148)/POWER((((Graph!$D$36-$Y148)^2)+((Graph!$E$36-$Z148)^2))+(Graph!$D$41^2),3/2))</f>
        <v>-1210.9527455835216</v>
      </c>
      <c r="T148">
        <f>Graph!$D$40*((Graph!$E$36-Z148)/POWER((((Graph!$D$36-$Y148)^2)+((Graph!$E$36-$Z148)^2))+(Graph!$D$41^2),3/2))</f>
        <v>-864.88596016766826</v>
      </c>
      <c r="U148">
        <f>O148+Q148+S148</f>
        <v>-1245.2649230543823</v>
      </c>
      <c r="V148">
        <f>P148+R148+T148</f>
        <v>1234.8307019343679</v>
      </c>
      <c r="W148">
        <f>W147+(U147*Graph!$D$5)</f>
        <v>-262.40387147745321</v>
      </c>
      <c r="X148">
        <f>X147+(V147*Graph!$D$5)</f>
        <v>-5870.4241533343429</v>
      </c>
      <c r="Y148">
        <f>Y147+(W147*Graph!$D$5)+(U147*Graph!$D$5^2)</f>
        <v>14411.121570692445</v>
      </c>
      <c r="Z148">
        <f>Z147+(X147*Graph!$D$5)+(V147*Graph!$D$5^2)</f>
        <v>-4707.2971986571483</v>
      </c>
    </row>
    <row r="149" spans="14:26" x14ac:dyDescent="0.35">
      <c r="N149">
        <f>N148+1</f>
        <v>146</v>
      </c>
      <c r="O149">
        <f>Graph!$D$22*((Graph!$D$18-Y149)/POWER((((Graph!$D$18-$Y149)^2)+((Graph!$E$18-$Z149)^2))+(Graph!$D$23^2),(3/2)))</f>
        <v>91.527319240339253</v>
      </c>
      <c r="P149" s="84">
        <f>Graph!$D$22*((Graph!$E$18-Z149)/POWER((((Graph!$D$18-$Y149)^2)+((Graph!$E$18-$Z149)^2))+(Graph!$D$23^2),3/2))</f>
        <v>1538.2214747679616</v>
      </c>
      <c r="Q149">
        <f>Graph!$D$31*((Graph!$D$27-Y149)/POWER((((Graph!$D$27-$Y149)^2)+((Graph!$E$27-$Z149)^2))+(Graph!$D$32^2),3/2))</f>
        <v>-108.62086691840511</v>
      </c>
      <c r="R149">
        <f>Graph!$D$31*((Graph!$E$27-Z149)/POWER((((Graph!$D$27-$Y149)^2)+((Graph!$E$27-$Z149)^2))+(Graph!$D$32^2),3/2))</f>
        <v>55.428023765442383</v>
      </c>
      <c r="S149">
        <f>Graph!$D$40*((Graph!$D$36-Y149)/POWER((((Graph!$D$36-$Y149)^2)+((Graph!$E$36-$Z149)^2))+(Graph!$D$41^2),3/2))</f>
        <v>-1570.3498069609911</v>
      </c>
      <c r="T149">
        <f>Graph!$D$40*((Graph!$E$36-Z149)/POWER((((Graph!$D$36-$Y149)^2)+((Graph!$E$36-$Z149)^2))+(Graph!$D$41^2),3/2))</f>
        <v>-861.83370158562775</v>
      </c>
      <c r="U149">
        <f>O149+Q149+S149</f>
        <v>-1587.4433546390569</v>
      </c>
      <c r="V149">
        <f>P149+R149+T149</f>
        <v>731.81579694777611</v>
      </c>
      <c r="W149">
        <f>W148+(U148*Graph!$D$5)</f>
        <v>-885.03633300464435</v>
      </c>
      <c r="X149">
        <f>X148+(V148*Graph!$D$5)</f>
        <v>-5253.0088023671588</v>
      </c>
      <c r="Y149">
        <f>Y148+(W148*Graph!$D$5)+(U148*Graph!$D$5^2)</f>
        <v>13968.603404190122</v>
      </c>
      <c r="Z149">
        <f>Z148+(X148*Graph!$D$5)+(V148*Graph!$D$5^2)</f>
        <v>-7333.8015998407282</v>
      </c>
    </row>
    <row r="150" spans="14:26" x14ac:dyDescent="0.35">
      <c r="N150">
        <f>N149+1</f>
        <v>147</v>
      </c>
      <c r="O150">
        <f>Graph!$D$22*((Graph!$D$18-Y150)/POWER((((Graph!$D$18-$Y150)^2)+((Graph!$E$18-$Z150)^2))+(Graph!$D$23^2),(3/2)))</f>
        <v>113.94614520976609</v>
      </c>
      <c r="P150" s="84">
        <f>Graph!$D$22*((Graph!$E$18-Z150)/POWER((((Graph!$D$18-$Y150)^2)+((Graph!$E$18-$Z150)^2))+(Graph!$D$23^2),3/2))</f>
        <v>1204.6089480677374</v>
      </c>
      <c r="Q150">
        <f>Graph!$D$31*((Graph!$D$27-Y150)/POWER((((Graph!$D$27-$Y150)^2)+((Graph!$E$27-$Z150)^2))+(Graph!$D$32^2),3/2))</f>
        <v>-102.319727879409</v>
      </c>
      <c r="R150">
        <f>Graph!$D$31*((Graph!$E$27-Z150)/POWER((((Graph!$D$27-$Y150)^2)+((Graph!$E$27-$Z150)^2))+(Graph!$D$32^2),3/2))</f>
        <v>61.082422447943706</v>
      </c>
      <c r="S150">
        <f>Graph!$D$40*((Graph!$D$36-Y150)/POWER((((Graph!$D$36-$Y150)^2)+((Graph!$E$36-$Z150)^2))+(Graph!$D$41^2),3/2))</f>
        <v>-2041.5995597038702</v>
      </c>
      <c r="T150">
        <f>Graph!$D$40*((Graph!$E$36-Z150)/POWER((((Graph!$D$36-$Y150)^2)+((Graph!$E$36-$Z150)^2))+(Graph!$D$41^2),3/2))</f>
        <v>-812.12381078265332</v>
      </c>
      <c r="U150">
        <f>O150+Q150+S150</f>
        <v>-2029.9731423735132</v>
      </c>
      <c r="V150">
        <f>P150+R150+T150</f>
        <v>453.56755973302768</v>
      </c>
      <c r="W150">
        <f>W149+(U149*Graph!$D$5)</f>
        <v>-1678.7580103241728</v>
      </c>
      <c r="X150">
        <f>X149+(V149*Graph!$D$5)</f>
        <v>-4887.1009038932707</v>
      </c>
      <c r="Y150">
        <f>Y149+(W149*Graph!$D$5)+(U149*Graph!$D$5^2)</f>
        <v>13129.224399028035</v>
      </c>
      <c r="Z150">
        <f>Z149+(X149*Graph!$D$5)+(V149*Graph!$D$5^2)</f>
        <v>-9777.352051787364</v>
      </c>
    </row>
    <row r="151" spans="14:26" x14ac:dyDescent="0.35">
      <c r="N151">
        <f>N150+1</f>
        <v>148</v>
      </c>
      <c r="O151">
        <f>Graph!$D$22*((Graph!$D$18-Y151)/POWER((((Graph!$D$18-$Y151)^2)+((Graph!$E$18-$Z151)^2))+(Graph!$D$23^2),(3/2)))</f>
        <v>140.41767009244523</v>
      </c>
      <c r="P151" s="84">
        <f>Graph!$D$22*((Graph!$E$18-Z151)/POWER((((Graph!$D$18-$Y151)^2)+((Graph!$E$18-$Z151)^2))+(Graph!$D$23^2),3/2))</f>
        <v>964.76843843449069</v>
      </c>
      <c r="Q151">
        <f>Graph!$D$31*((Graph!$D$27-Y151)/POWER((((Graph!$D$27-$Y151)^2)+((Graph!$E$27-$Z151)^2))+(Graph!$D$32^2),3/2))</f>
        <v>-97.17055593883363</v>
      </c>
      <c r="R151">
        <f>Graph!$D$31*((Graph!$E$27-Z151)/POWER((((Graph!$D$27-$Y151)^2)+((Graph!$E$27-$Z151)^2))+(Graph!$D$32^2),3/2))</f>
        <v>67.590941332738325</v>
      </c>
      <c r="S151">
        <f>Graph!$D$40*((Graph!$D$36-Y151)/POWER((((Graph!$D$36-$Y151)^2)+((Graph!$E$36-$Z151)^2))+(Graph!$D$41^2),3/2))</f>
        <v>-2730.3450491834146</v>
      </c>
      <c r="T151">
        <f>Graph!$D$40*((Graph!$E$36-Z151)/POWER((((Graph!$D$36-$Y151)^2)+((Graph!$E$36-$Z151)^2))+(Graph!$D$41^2),3/2))</f>
        <v>-670.28162143276666</v>
      </c>
      <c r="U151">
        <f>O151+Q151+S151</f>
        <v>-2687.097935029803</v>
      </c>
      <c r="V151">
        <f>P151+R151+T151</f>
        <v>362.07775833446237</v>
      </c>
      <c r="W151">
        <f>W150+(U150*Graph!$D$5)</f>
        <v>-2693.7445815109295</v>
      </c>
      <c r="X151">
        <f>X150+(V150*Graph!$D$5)</f>
        <v>-4660.3171240267566</v>
      </c>
      <c r="Y151">
        <f>Y150+(W150*Graph!$D$5)+(U150*Graph!$D$5^2)</f>
        <v>11782.352108272569</v>
      </c>
      <c r="Z151">
        <f>Z150+(X150*Graph!$D$5)+(V150*Graph!$D$5^2)</f>
        <v>-12107.510613800743</v>
      </c>
    </row>
    <row r="152" spans="14:26" x14ac:dyDescent="0.35">
      <c r="N152">
        <f>N151+1</f>
        <v>149</v>
      </c>
      <c r="O152">
        <f>Graph!$D$22*((Graph!$D$18-Y152)/POWER((((Graph!$D$18-$Y152)^2)+((Graph!$E$18-$Z152)^2))+(Graph!$D$23^2),(3/2)))</f>
        <v>167.29334161033185</v>
      </c>
      <c r="P152" s="84">
        <f>Graph!$D$22*((Graph!$E$18-Z152)/POWER((((Graph!$D$18-$Y152)^2)+((Graph!$E$18-$Z152)^2))+(Graph!$D$23^2),3/2))</f>
        <v>777.86226667522601</v>
      </c>
      <c r="Q152">
        <f>Graph!$D$31*((Graph!$D$27-Y152)/POWER((((Graph!$D$27-$Y152)^2)+((Graph!$E$27-$Z152)^2))+(Graph!$D$32^2),3/2))</f>
        <v>-92.854249974389788</v>
      </c>
      <c r="R152">
        <f>Graph!$D$31*((Graph!$E$27-Z152)/POWER((((Graph!$D$27-$Y152)^2)+((Graph!$E$27-$Z152)^2))+(Graph!$D$32^2),3/2))</f>
        <v>75.956145326018685</v>
      </c>
      <c r="S152">
        <f>Graph!$D$40*((Graph!$D$36-Y152)/POWER((((Graph!$D$36-$Y152)^2)+((Graph!$E$36-$Z152)^2))+(Graph!$D$41^2),3/2))</f>
        <v>-3852.5596382255335</v>
      </c>
      <c r="T152">
        <f>Graph!$D$40*((Graph!$E$36-Z152)/POWER((((Graph!$D$36-$Y152)^2)+((Graph!$E$36-$Z152)^2))+(Graph!$D$41^2),3/2))</f>
        <v>-257.60144228305546</v>
      </c>
      <c r="U152">
        <f>O152+Q152+S152</f>
        <v>-3778.1205465895914</v>
      </c>
      <c r="V152">
        <f>P152+R152+T152</f>
        <v>596.21696971818926</v>
      </c>
      <c r="W152">
        <f>W151+(U151*Graph!$D$5)</f>
        <v>-4037.293549025831</v>
      </c>
      <c r="X152">
        <f>X151+(V151*Graph!$D$5)</f>
        <v>-4479.2782448595253</v>
      </c>
      <c r="Y152">
        <f>Y151+(W151*Graph!$D$5)+(U151*Graph!$D$5^2)</f>
        <v>9763.7053337596553</v>
      </c>
      <c r="Z152">
        <f>Z151+(X151*Graph!$D$5)+(V151*Graph!$D$5^2)</f>
        <v>-14347.149736230505</v>
      </c>
    </row>
    <row r="153" spans="14:26" x14ac:dyDescent="0.35">
      <c r="N153">
        <f>N152+1</f>
        <v>150</v>
      </c>
      <c r="O153">
        <f>Graph!$D$22*((Graph!$D$18-Y153)/POWER((((Graph!$D$18-$Y153)^2)+((Graph!$E$18-$Z153)^2))+(Graph!$D$23^2),(3/2)))</f>
        <v>192.91557852203655</v>
      </c>
      <c r="P153" s="84">
        <f>Graph!$D$22*((Graph!$E$18-Z153)/POWER((((Graph!$D$18-$Y153)^2)+((Graph!$E$18-$Z153)^2))+(Graph!$D$23^2),3/2))</f>
        <v>622.02189740610925</v>
      </c>
      <c r="Q153">
        <f>Graph!$D$31*((Graph!$D$27-Y153)/POWER((((Graph!$D$27-$Y153)^2)+((Graph!$E$27-$Z153)^2))+(Graph!$D$32^2),3/2))</f>
        <v>-89.057922161673218</v>
      </c>
      <c r="R153">
        <f>Graph!$D$31*((Graph!$E$27-Z153)/POWER((((Graph!$D$27-$Y153)^2)+((Graph!$E$27-$Z153)^2))+(Graph!$D$32^2),3/2))</f>
        <v>87.852361507836662</v>
      </c>
      <c r="S153">
        <f>Graph!$D$40*((Graph!$D$36-Y153)/POWER((((Graph!$D$36-$Y153)^2)+((Graph!$E$36-$Z153)^2))+(Graph!$D$41^2),3/2))</f>
        <v>-5672.2913709685936</v>
      </c>
      <c r="T153">
        <f>Graph!$D$40*((Graph!$E$36-Z153)/POWER((((Graph!$D$36-$Y153)^2)+((Graph!$E$36-$Z153)^2))+(Graph!$D$41^2),3/2))</f>
        <v>1199.2082306849907</v>
      </c>
      <c r="U153">
        <f>O153+Q153+S153</f>
        <v>-5568.4337146082298</v>
      </c>
      <c r="V153">
        <f>P153+R153+T153</f>
        <v>1909.0824895989367</v>
      </c>
      <c r="W153">
        <f>W152+(U152*Graph!$D$5)</f>
        <v>-5926.3538223206269</v>
      </c>
      <c r="X153">
        <f>X152+(V152*Graph!$D$5)</f>
        <v>-4181.1697600004309</v>
      </c>
      <c r="Y153">
        <f>Y152+(W152*Graph!$D$5)+(U152*Graph!$D$5^2)</f>
        <v>6800.5284225993419</v>
      </c>
      <c r="Z153">
        <f>Z152+(X152*Graph!$D$5)+(V152*Graph!$D$5^2)</f>
        <v>-16437.734616230719</v>
      </c>
    </row>
    <row r="154" spans="14:26" x14ac:dyDescent="0.35">
      <c r="N154">
        <f>N153+1</f>
        <v>151</v>
      </c>
      <c r="O154">
        <f>Graph!$D$22*((Graph!$D$18-Y154)/POWER((((Graph!$D$18-$Y154)^2)+((Graph!$E$18-$Z154)^2))+(Graph!$D$23^2),(3/2)))</f>
        <v>217.7692001981616</v>
      </c>
      <c r="P154" s="84">
        <f>Graph!$D$22*((Graph!$E$18-Z154)/POWER((((Graph!$D$18-$Y154)^2)+((Graph!$E$18-$Z154)^2))+(Graph!$D$23^2),3/2))</f>
        <v>486.56095201640858</v>
      </c>
      <c r="Q154">
        <f>Graph!$D$31*((Graph!$D$27-Y154)/POWER((((Graph!$D$27-$Y154)^2)+((Graph!$E$27-$Z154)^2))+(Graph!$D$32^2),3/2))</f>
        <v>-85.713709227937144</v>
      </c>
      <c r="R154">
        <f>Graph!$D$31*((Graph!$E$27-Z154)/POWER((((Graph!$D$27-$Y154)^2)+((Graph!$E$27-$Z154)^2))+(Graph!$D$32^2),3/2))</f>
        <v>107.12111416401189</v>
      </c>
      <c r="S154">
        <f>Graph!$D$40*((Graph!$D$36-Y154)/POWER((((Graph!$D$36-$Y154)^2)+((Graph!$E$36-$Z154)^2))+(Graph!$D$41^2),3/2))</f>
        <v>-5006.7426865317784</v>
      </c>
      <c r="T154">
        <f>Graph!$D$40*((Graph!$E$36-Z154)/POWER((((Graph!$D$36-$Y154)^2)+((Graph!$E$36-$Z154)^2))+(Graph!$D$41^2),3/2))</f>
        <v>6247.1566703686331</v>
      </c>
      <c r="U154">
        <f>O154+Q154+S154</f>
        <v>-4874.6871955615543</v>
      </c>
      <c r="V154">
        <f>P154+R154+T154</f>
        <v>6840.8387365490535</v>
      </c>
      <c r="W154">
        <f>W153+(U153*Graph!$D$5)</f>
        <v>-8710.5706796247414</v>
      </c>
      <c r="X154">
        <f>X153+(V153*Graph!$D$5)</f>
        <v>-3226.6285152009623</v>
      </c>
      <c r="Y154">
        <f>Y153+(W153*Graph!$D$5)+(U153*Graph!$D$5^2)</f>
        <v>2445.2430827869712</v>
      </c>
      <c r="Z154">
        <f>Z153+(X153*Graph!$D$5)+(V153*Graph!$D$5^2)</f>
        <v>-18051.048873831201</v>
      </c>
    </row>
    <row r="155" spans="14:26" x14ac:dyDescent="0.35">
      <c r="N155">
        <f>N154+1</f>
        <v>152</v>
      </c>
      <c r="O155">
        <f>Graph!$D$22*((Graph!$D$18-Y155)/POWER((((Graph!$D$18-$Y155)^2)+((Graph!$E$18-$Z155)^2))+(Graph!$D$23^2),(3/2)))</f>
        <v>248.21216493943754</v>
      </c>
      <c r="P155" s="84">
        <f>Graph!$D$22*((Graph!$E$18-Z155)/POWER((((Graph!$D$18-$Y155)^2)+((Graph!$E$18-$Z155)^2))+(Graph!$D$23^2),3/2))</f>
        <v>382.73872734718253</v>
      </c>
      <c r="Q155">
        <f>Graph!$D$31*((Graph!$D$27-Y155)/POWER((((Graph!$D$27-$Y155)^2)+((Graph!$E$27-$Z155)^2))+(Graph!$D$32^2),3/2))</f>
        <v>-85.568994133336574</v>
      </c>
      <c r="R155">
        <f>Graph!$D$31*((Graph!$E$27-Z155)/POWER((((Graph!$D$27-$Y155)^2)+((Graph!$E$27-$Z155)^2))+(Graph!$D$32^2),3/2))</f>
        <v>141.77987382003124</v>
      </c>
      <c r="S155">
        <f>Graph!$D$40*((Graph!$D$36-Y155)/POWER((((Graph!$D$36-$Y155)^2)+((Graph!$E$36-$Z155)^2))+(Graph!$D$41^2),3/2))</f>
        <v>5706.803595623167</v>
      </c>
      <c r="T155">
        <f>Graph!$D$40*((Graph!$E$36-Z155)/POWER((((Graph!$D$36-$Y155)^2)+((Graph!$E$36-$Z155)^2))+(Graph!$D$41^2),3/2))</f>
        <v>5388.4034187035122</v>
      </c>
      <c r="U155">
        <f>O155+Q155+S155</f>
        <v>5869.4467664292679</v>
      </c>
      <c r="V155">
        <f>P155+R155+T155</f>
        <v>5912.9220198707262</v>
      </c>
      <c r="W155">
        <f>W154+(U154*Graph!$D$5)</f>
        <v>-11147.914277405518</v>
      </c>
      <c r="X155">
        <f>X154+(V154*Graph!$D$5)</f>
        <v>193.79085307356445</v>
      </c>
      <c r="Y155">
        <f>Y154+(W154*Graph!$D$5)+(U154*Graph!$D$5^2)</f>
        <v>-3128.7140559157879</v>
      </c>
      <c r="Z155">
        <f>Z154+(X154*Graph!$D$5)+(V154*Graph!$D$5^2)</f>
        <v>-17954.153447294419</v>
      </c>
    </row>
    <row r="156" spans="14:26" x14ac:dyDescent="0.35">
      <c r="N156">
        <f>N155+1</f>
        <v>153</v>
      </c>
      <c r="O156">
        <f>Graph!$D$22*((Graph!$D$18-Y156)/POWER((((Graph!$D$18-$Y156)^2)+((Graph!$E$18-$Z156)^2))+(Graph!$D$23^2),(3/2)))</f>
        <v>274.81275148660939</v>
      </c>
      <c r="P156" s="84">
        <f>Graph!$D$22*((Graph!$E$18-Z156)/POWER((((Graph!$D$18-$Y156)^2)+((Graph!$E$18-$Z156)^2))+(Graph!$D$23^2),3/2))</f>
        <v>326.02618516164461</v>
      </c>
      <c r="Q156">
        <f>Graph!$D$31*((Graph!$D$27-Y156)/POWER((((Graph!$D$27-$Y156)^2)+((Graph!$E$27-$Z156)^2))+(Graph!$D$32^2),3/2))</f>
        <v>-89.175503751295295</v>
      </c>
      <c r="R156">
        <f>Graph!$D$31*((Graph!$E$27-Z156)/POWER((((Graph!$D$27-$Y156)^2)+((Graph!$E$27-$Z156)^2))+(Graph!$D$32^2),3/2))</f>
        <v>184.28672968959006</v>
      </c>
      <c r="S156">
        <f>Graph!$D$40*((Graph!$D$36-Y156)/POWER((((Graph!$D$36-$Y156)^2)+((Graph!$E$36-$Z156)^2))+(Graph!$D$41^2),3/2))</f>
        <v>5369.6397904326568</v>
      </c>
      <c r="T156">
        <f>Graph!$D$40*((Graph!$E$36-Z156)/POWER((((Graph!$D$36-$Y156)^2)+((Graph!$E$36-$Z156)^2))+(Graph!$D$41^2),3/2))</f>
        <v>1023.4366640162987</v>
      </c>
      <c r="U156">
        <f>O156+Q156+S156</f>
        <v>5555.2770381679711</v>
      </c>
      <c r="V156">
        <f>P156+R156+T156</f>
        <v>1533.7495788675333</v>
      </c>
      <c r="W156">
        <f>W155+(U155*Graph!$D$5)</f>
        <v>-8213.1908941908841</v>
      </c>
      <c r="X156">
        <f>X155+(V155*Graph!$D$5)</f>
        <v>3150.2518630089276</v>
      </c>
      <c r="Y156">
        <f>Y155+(W155*Graph!$D$5)+(U155*Graph!$D$5^2)</f>
        <v>-7235.309503011229</v>
      </c>
      <c r="Z156">
        <f>Z155+(X155*Graph!$D$5)+(V155*Graph!$D$5^2)</f>
        <v>-16379.027515789954</v>
      </c>
    </row>
    <row r="157" spans="14:26" x14ac:dyDescent="0.35">
      <c r="N157">
        <f>N156+1</f>
        <v>154</v>
      </c>
      <c r="O157">
        <f>Graph!$D$22*((Graph!$D$18-Y157)/POWER((((Graph!$D$18-$Y157)^2)+((Graph!$E$18-$Z157)^2))+(Graph!$D$23^2),(3/2)))</f>
        <v>297.77220938897625</v>
      </c>
      <c r="P157" s="84">
        <f>Graph!$D$22*((Graph!$E$18-Z157)/POWER((((Graph!$D$18-$Y157)^2)+((Graph!$E$18-$Z157)^2))+(Graph!$D$23^2),3/2))</f>
        <v>291.41628679541731</v>
      </c>
      <c r="Q157">
        <f>Graph!$D$31*((Graph!$D$27-Y157)/POWER((((Graph!$D$27-$Y157)^2)+((Graph!$E$27-$Z157)^2))+(Graph!$D$32^2),3/2))</f>
        <v>-95.466574446484032</v>
      </c>
      <c r="R157">
        <f>Graph!$D$31*((Graph!$E$27-Z157)/POWER((((Graph!$D$27-$Y157)^2)+((Graph!$E$27-$Z157)^2))+(Graph!$D$32^2),3/2))</f>
        <v>232.04518230853503</v>
      </c>
      <c r="S157">
        <f>Graph!$D$40*((Graph!$D$36-Y157)/POWER((((Graph!$D$36-$Y157)^2)+((Graph!$E$36-$Z157)^2))+(Graph!$D$41^2),3/2))</f>
        <v>3756.0119488066762</v>
      </c>
      <c r="T157">
        <f>Graph!$D$40*((Graph!$E$36-Z157)/POWER((((Graph!$D$36-$Y157)^2)+((Graph!$E$36-$Z157)^2))+(Graph!$D$41^2),3/2))</f>
        <v>-218.70036051283876</v>
      </c>
      <c r="U157">
        <f>O157+Q157+S157</f>
        <v>3958.3175837491685</v>
      </c>
      <c r="V157">
        <f>P157+R157+T157</f>
        <v>304.76110859111361</v>
      </c>
      <c r="W157">
        <f>W156+(U156*Graph!$D$5)</f>
        <v>-5435.5523751068986</v>
      </c>
      <c r="X157">
        <f>X156+(V156*Graph!$D$5)</f>
        <v>3917.1266524426942</v>
      </c>
      <c r="Y157">
        <f>Y156+(W156*Graph!$D$5)+(U156*Graph!$D$5^2)</f>
        <v>-9953.0856905646779</v>
      </c>
      <c r="Z157">
        <f>Z156+(X156*Graph!$D$5)+(V156*Graph!$D$5^2)</f>
        <v>-14420.464189568607</v>
      </c>
    </row>
    <row r="158" spans="14:26" x14ac:dyDescent="0.35">
      <c r="N158">
        <f>N157+1</f>
        <v>155</v>
      </c>
      <c r="O158">
        <f>Graph!$D$22*((Graph!$D$18-Y158)/POWER((((Graph!$D$18-$Y158)^2)+((Graph!$E$18-$Z158)^2))+(Graph!$D$23^2),(3/2)))</f>
        <v>320.71452885055169</v>
      </c>
      <c r="P158" s="84">
        <f>Graph!$D$22*((Graph!$E$18-Z158)/POWER((((Graph!$D$18-$Y158)^2)+((Graph!$E$18-$Z158)^2))+(Graph!$D$23^2),3/2))</f>
        <v>269.08086702476055</v>
      </c>
      <c r="Q158">
        <f>Graph!$D$31*((Graph!$D$27-Y158)/POWER((((Graph!$D$27-$Y158)^2)+((Graph!$E$27-$Z158)^2))+(Graph!$D$32^2),3/2))</f>
        <v>-106.24921134773956</v>
      </c>
      <c r="R158">
        <f>Graph!$D$31*((Graph!$E$27-Z158)/POWER((((Graph!$D$27-$Y158)^2)+((Graph!$E$27-$Z158)^2))+(Graph!$D$32^2),3/2))</f>
        <v>285.91716092626473</v>
      </c>
      <c r="S158">
        <f>Graph!$D$40*((Graph!$D$36-Y158)/POWER((((Graph!$D$36-$Y158)^2)+((Graph!$E$36-$Z158)^2))+(Graph!$D$41^2),3/2))</f>
        <v>2801.6494928857305</v>
      </c>
      <c r="T158">
        <f>Graph!$D$40*((Graph!$E$36-Z158)/POWER((((Graph!$D$36-$Y158)^2)+((Graph!$E$36-$Z158)^2))+(Graph!$D$41^2),3/2))</f>
        <v>-627.01356821082038</v>
      </c>
      <c r="U158">
        <f>O158+Q158+S158</f>
        <v>3016.1148103885425</v>
      </c>
      <c r="V158">
        <f>P158+R158+T158</f>
        <v>-72.015540259795102</v>
      </c>
      <c r="W158">
        <f>W157+(U157*Graph!$D$5)</f>
        <v>-3456.3935832323141</v>
      </c>
      <c r="X158">
        <f>X157+(V157*Graph!$D$5)</f>
        <v>4069.5072067382512</v>
      </c>
      <c r="Y158">
        <f>Y157+(W157*Graph!$D$5)+(U157*Graph!$D$5^2)</f>
        <v>-11681.282482180835</v>
      </c>
      <c r="Z158">
        <f>Z157+(X157*Graph!$D$5)+(V157*Graph!$D$5^2)</f>
        <v>-12385.710586199482</v>
      </c>
    </row>
    <row r="159" spans="14:26" x14ac:dyDescent="0.35">
      <c r="N159">
        <f>N158+1</f>
        <v>156</v>
      </c>
      <c r="O159">
        <f>Graph!$D$22*((Graph!$D$18-Y159)/POWER((((Graph!$D$18-$Y159)^2)+((Graph!$E$18-$Z159)^2))+(Graph!$D$23^2),(3/2)))</f>
        <v>346.29879823776565</v>
      </c>
      <c r="P159" s="84">
        <f>Graph!$D$22*((Graph!$E$18-Z159)/POWER((((Graph!$D$18-$Y159)^2)+((Graph!$E$18-$Z159)^2))+(Graph!$D$23^2),3/2))</f>
        <v>255.05809973133941</v>
      </c>
      <c r="Q159">
        <f>Graph!$D$31*((Graph!$D$27-Y159)/POWER((((Graph!$D$27-$Y159)^2)+((Graph!$E$27-$Z159)^2))+(Graph!$D$32^2),3/2))</f>
        <v>-125.00359537633049</v>
      </c>
      <c r="R159">
        <f>Graph!$D$31*((Graph!$E$27-Z159)/POWER((((Graph!$D$27-$Y159)^2)+((Graph!$E$27-$Z159)^2))+(Graph!$D$32^2),3/2))</f>
        <v>346.6779503971095</v>
      </c>
      <c r="S159">
        <f>Graph!$D$40*((Graph!$D$36-Y159)/POWER((((Graph!$D$36-$Y159)^2)+((Graph!$E$36-$Z159)^2))+(Graph!$D$41^2),3/2))</f>
        <v>2231.3044737777896</v>
      </c>
      <c r="T159">
        <f>Graph!$D$40*((Graph!$E$36-Z159)/POWER((((Graph!$D$36-$Y159)^2)+((Graph!$E$36-$Z159)^2))+(Graph!$D$41^2),3/2))</f>
        <v>-816.50655388127552</v>
      </c>
      <c r="U159">
        <f>O159+Q159+S159</f>
        <v>2452.5996766392245</v>
      </c>
      <c r="V159">
        <f>P159+R159+T159</f>
        <v>-214.77050375282658</v>
      </c>
      <c r="W159">
        <f>W158+(U158*Graph!$D$5)</f>
        <v>-1948.3361780380428</v>
      </c>
      <c r="X159">
        <f>X158+(V158*Graph!$D$5)</f>
        <v>4033.4994366083538</v>
      </c>
      <c r="Y159">
        <f>Y158+(W158*Graph!$D$5)+(U158*Graph!$D$5^2)</f>
        <v>-12655.450571199857</v>
      </c>
      <c r="Z159">
        <f>Z158+(X158*Graph!$D$5)+(V158*Graph!$D$5^2)</f>
        <v>-10368.960867895306</v>
      </c>
    </row>
    <row r="160" spans="14:26" x14ac:dyDescent="0.35">
      <c r="N160">
        <f>N159+1</f>
        <v>157</v>
      </c>
      <c r="O160">
        <f>Graph!$D$22*((Graph!$D$18-Y160)/POWER((((Graph!$D$18-$Y160)^2)+((Graph!$E$18-$Z160)^2))+(Graph!$D$23^2),(3/2)))</f>
        <v>376.79244899047563</v>
      </c>
      <c r="P160" s="84">
        <f>Graph!$D$22*((Graph!$E$18-Z160)/POWER((((Graph!$D$18-$Y160)^2)+((Graph!$E$18-$Z160)^2))+(Graph!$D$23^2),3/2))</f>
        <v>247.54031721710047</v>
      </c>
      <c r="Q160">
        <f>Graph!$D$31*((Graph!$D$27-Y160)/POWER((((Graph!$D$27-$Y160)^2)+((Graph!$E$27-$Z160)^2))+(Graph!$D$32^2),3/2))</f>
        <v>-156.89479031120172</v>
      </c>
      <c r="R160">
        <f>Graph!$D$31*((Graph!$E$27-Z160)/POWER((((Graph!$D$27-$Y160)^2)+((Graph!$E$27-$Z160)^2))+(Graph!$D$32^2),3/2))</f>
        <v>413.51435345157648</v>
      </c>
      <c r="S160">
        <f>Graph!$D$40*((Graph!$D$36-Y160)/POWER((((Graph!$D$36-$Y160)^2)+((Graph!$E$36-$Z160)^2))+(Graph!$D$41^2),3/2))</f>
        <v>1857.253620385663</v>
      </c>
      <c r="T160">
        <f>Graph!$D$40*((Graph!$E$36-Z160)/POWER((((Graph!$D$36-$Y160)^2)+((Graph!$E$36-$Z160)^2))+(Graph!$D$41^2),3/2))</f>
        <v>-940.87800076206474</v>
      </c>
      <c r="U160">
        <f>O160+Q160+S160</f>
        <v>2077.1512790649367</v>
      </c>
      <c r="V160">
        <f>P160+R160+T160</f>
        <v>-279.82333009338777</v>
      </c>
      <c r="W160">
        <f>W159+(U159*Graph!$D$5)</f>
        <v>-722.03633971843055</v>
      </c>
      <c r="X160">
        <f>X159+(V159*Graph!$D$5)</f>
        <v>3926.1141847319404</v>
      </c>
      <c r="Y160">
        <f>Y159+(W159*Graph!$D$5)+(U159*Graph!$D$5^2)</f>
        <v>-13016.468741059072</v>
      </c>
      <c r="Z160">
        <f>Z159+(X159*Graph!$D$5)+(V159*Graph!$D$5^2)</f>
        <v>-8405.9037755293375</v>
      </c>
    </row>
    <row r="161" spans="14:26" x14ac:dyDescent="0.35">
      <c r="N161">
        <f>N160+1</f>
        <v>158</v>
      </c>
      <c r="O161">
        <f>Graph!$D$22*((Graph!$D$18-Y161)/POWER((((Graph!$D$18-$Y161)^2)+((Graph!$E$18-$Z161)^2))+(Graph!$D$23^2),(3/2)))</f>
        <v>414.5679652400965</v>
      </c>
      <c r="P161" s="84">
        <f>Graph!$D$22*((Graph!$E$18-Z161)/POWER((((Graph!$D$18-$Y161)^2)+((Graph!$E$18-$Z161)^2))+(Graph!$D$23^2),3/2))</f>
        <v>245.73300366404592</v>
      </c>
      <c r="Q161">
        <f>Graph!$D$31*((Graph!$D$27-Y161)/POWER((((Graph!$D$27-$Y161)^2)+((Graph!$E$27-$Z161)^2))+(Graph!$D$32^2),3/2))</f>
        <v>-208.32013045173773</v>
      </c>
      <c r="R161">
        <f>Graph!$D$31*((Graph!$E$27-Z161)/POWER((((Graph!$D$27-$Y161)^2)+((Graph!$E$27-$Z161)^2))+(Graph!$D$32^2),3/2))</f>
        <v>481.66410938869785</v>
      </c>
      <c r="S161">
        <f>Graph!$D$40*((Graph!$D$36-Y161)/POWER((((Graph!$D$36-$Y161)^2)+((Graph!$E$36-$Z161)^2))+(Graph!$D$41^2),3/2))</f>
        <v>1584.2288621033249</v>
      </c>
      <c r="T161">
        <f>Graph!$D$40*((Graph!$E$36-Z161)/POWER((((Graph!$D$36-$Y161)^2)+((Graph!$E$36-$Z161)^2))+(Graph!$D$41^2),3/2))</f>
        <v>-1045.6879005919288</v>
      </c>
      <c r="U161">
        <f>O161+Q161+S161</f>
        <v>1790.4766968916838</v>
      </c>
      <c r="V161">
        <f>P161+R161+T161</f>
        <v>-318.29078753918509</v>
      </c>
      <c r="W161">
        <f>W160+(U160*Graph!$D$5)</f>
        <v>316.5392998140378</v>
      </c>
      <c r="X161">
        <f>X160+(V160*Graph!$D$5)</f>
        <v>3786.2025196852464</v>
      </c>
      <c r="Y161">
        <f>Y160+(W160*Graph!$D$5)+(U160*Graph!$D$5^2)</f>
        <v>-12858.199091152053</v>
      </c>
      <c r="Z161">
        <f>Z160+(X160*Graph!$D$5)+(V160*Graph!$D$5^2)</f>
        <v>-6512.8025156867134</v>
      </c>
    </row>
    <row r="162" spans="14:26" x14ac:dyDescent="0.35">
      <c r="N162">
        <f>N161+1</f>
        <v>159</v>
      </c>
      <c r="O162">
        <f>Graph!$D$22*((Graph!$D$18-Y162)/POWER((((Graph!$D$18-$Y162)^2)+((Graph!$E$18-$Z162)^2))+(Graph!$D$23^2),(3/2)))</f>
        <v>462.45571146556773</v>
      </c>
      <c r="P162" s="84">
        <f>Graph!$D$22*((Graph!$E$18-Z162)/POWER((((Graph!$D$18-$Y162)^2)+((Graph!$E$18-$Z162)^2))+(Graph!$D$23^2),3/2))</f>
        <v>249.43805230569626</v>
      </c>
      <c r="Q162">
        <f>Graph!$D$31*((Graph!$D$27-Y162)/POWER((((Graph!$D$27-$Y162)^2)+((Graph!$E$27-$Z162)^2))+(Graph!$D$32^2),3/2))</f>
        <v>-284.18132345818429</v>
      </c>
      <c r="R162">
        <f>Graph!$D$31*((Graph!$E$27-Z162)/POWER((((Graph!$D$27-$Y162)^2)+((Graph!$E$27-$Z162)^2))+(Graph!$D$32^2),3/2))</f>
        <v>539.16190112524657</v>
      </c>
      <c r="S162">
        <f>Graph!$D$40*((Graph!$D$36-Y162)/POWER((((Graph!$D$36-$Y162)^2)+((Graph!$E$36-$Z162)^2))+(Graph!$D$41^2),3/2))</f>
        <v>1360.309992692482</v>
      </c>
      <c r="T162">
        <f>Graph!$D$40*((Graph!$E$36-Z162)/POWER((((Graph!$D$36-$Y162)^2)+((Graph!$E$36-$Z162)^2))+(Graph!$D$41^2),3/2))</f>
        <v>-1143.6357934719722</v>
      </c>
      <c r="U162">
        <f>O162+Q162+S162</f>
        <v>1538.5843806998655</v>
      </c>
      <c r="V162">
        <f>P162+R162+T162</f>
        <v>-355.03584004102936</v>
      </c>
      <c r="W162">
        <f>W161+(U161*Graph!$D$5)</f>
        <v>1211.7776482598797</v>
      </c>
      <c r="X162">
        <f>X161+(V161*Graph!$D$5)</f>
        <v>3627.0571259156541</v>
      </c>
      <c r="Y162">
        <f>Y161+(W161*Graph!$D$5)+(U161*Graph!$D$5^2)</f>
        <v>-12252.310267022114</v>
      </c>
      <c r="Z162">
        <f>Z161+(X161*Graph!$D$5)+(V161*Graph!$D$5^2)</f>
        <v>-4699.2739527288868</v>
      </c>
    </row>
    <row r="163" spans="14:26" x14ac:dyDescent="0.35">
      <c r="N163">
        <f>N162+1</f>
        <v>160</v>
      </c>
      <c r="O163">
        <f>Graph!$D$22*((Graph!$D$18-Y163)/POWER((((Graph!$D$18-$Y163)^2)+((Graph!$E$18-$Z163)^2))+(Graph!$D$23^2),(3/2)))</f>
        <v>524.04420293515477</v>
      </c>
      <c r="P163" s="84">
        <f>Graph!$D$22*((Graph!$E$18-Z163)/POWER((((Graph!$D$18-$Y163)^2)+((Graph!$E$18-$Z163)^2))+(Graph!$D$23^2),3/2))</f>
        <v>258.90152894978854</v>
      </c>
      <c r="Q163">
        <f>Graph!$D$31*((Graph!$D$27-Y163)/POWER((((Graph!$D$27-$Y163)^2)+((Graph!$E$27-$Z163)^2))+(Graph!$D$32^2),3/2))</f>
        <v>-381.02843090762445</v>
      </c>
      <c r="R163">
        <f>Graph!$D$31*((Graph!$E$27-Z163)/POWER((((Graph!$D$27-$Y163)^2)+((Graph!$E$27-$Z163)^2))+(Graph!$D$32^2),3/2))</f>
        <v>565.75050778876835</v>
      </c>
      <c r="S163">
        <f>Graph!$D$40*((Graph!$D$36-Y163)/POWER((((Graph!$D$36-$Y163)^2)+((Graph!$E$36-$Z163)^2))+(Graph!$D$41^2),3/2))</f>
        <v>1155.3138780426737</v>
      </c>
      <c r="T163">
        <f>Graph!$D$40*((Graph!$E$36-Z163)/POWER((((Graph!$D$36-$Y163)^2)+((Graph!$E$36-$Z163)^2))+(Graph!$D$41^2),3/2))</f>
        <v>-1233.6617971921846</v>
      </c>
      <c r="U163">
        <f>O163+Q163+S163</f>
        <v>1298.329650070204</v>
      </c>
      <c r="V163">
        <f>P163+R163+T163</f>
        <v>-409.00976045362768</v>
      </c>
      <c r="W163">
        <f>W162+(U162*Graph!$D$5)</f>
        <v>1981.0698386098125</v>
      </c>
      <c r="X163">
        <f>X162+(V162*Graph!$D$5)</f>
        <v>3449.5392058951393</v>
      </c>
      <c r="Y163">
        <f>Y162+(W162*Graph!$D$5)+(U162*Graph!$D$5^2)</f>
        <v>-11261.775347717208</v>
      </c>
      <c r="Z163">
        <f>Z162+(X162*Graph!$D$5)+(V162*Graph!$D$5^2)</f>
        <v>-2974.5043497813172</v>
      </c>
    </row>
    <row r="164" spans="14:26" x14ac:dyDescent="0.35">
      <c r="N164">
        <f>N163+1</f>
        <v>161</v>
      </c>
      <c r="O164">
        <f>Graph!$D$22*((Graph!$D$18-Y164)/POWER((((Graph!$D$18-$Y164)^2)+((Graph!$E$18-$Z164)^2))+(Graph!$D$23^2),(3/2)))</f>
        <v>604.01499297504688</v>
      </c>
      <c r="P164" s="84">
        <f>Graph!$D$22*((Graph!$E$18-Z164)/POWER((((Graph!$D$18-$Y164)^2)+((Graph!$E$18-$Z164)^2))+(Graph!$D$23^2),3/2))</f>
        <v>274.85727573641003</v>
      </c>
      <c r="Q164">
        <f>Graph!$D$31*((Graph!$D$27-Y164)/POWER((((Graph!$D$27-$Y164)^2)+((Graph!$E$27-$Z164)^2))+(Graph!$D$32^2),3/2))</f>
        <v>-479.04482749903053</v>
      </c>
      <c r="R164">
        <f>Graph!$D$31*((Graph!$E$27-Z164)/POWER((((Graph!$D$27-$Y164)^2)+((Graph!$E$27-$Z164)^2))+(Graph!$D$32^2),3/2))</f>
        <v>540.92566952762411</v>
      </c>
      <c r="S164">
        <f>Graph!$D$40*((Graph!$D$36-Y164)/POWER((((Graph!$D$36-$Y164)^2)+((Graph!$E$36-$Z164)^2))+(Graph!$D$41^2),3/2))</f>
        <v>953.24420422731032</v>
      </c>
      <c r="T164">
        <f>Graph!$D$40*((Graph!$E$36-Z164)/POWER((((Graph!$D$36-$Y164)^2)+((Graph!$E$36-$Z164)^2))+(Graph!$D$41^2),3/2))</f>
        <v>-1307.9658607416586</v>
      </c>
      <c r="U164">
        <f>O164+Q164+S164</f>
        <v>1078.2143697033266</v>
      </c>
      <c r="V164">
        <f>P164+R164+T164</f>
        <v>-492.18291547762442</v>
      </c>
      <c r="W164">
        <f>W163+(U163*Graph!$D$5)</f>
        <v>2630.2346636449147</v>
      </c>
      <c r="X164">
        <f>X163+(V163*Graph!$D$5)</f>
        <v>3245.0343256683254</v>
      </c>
      <c r="Y164">
        <f>Y163+(W163*Graph!$D$5)+(U163*Graph!$D$5^2)</f>
        <v>-9946.6580158947509</v>
      </c>
      <c r="Z164">
        <f>Z163+(X163*Graph!$D$5)+(V163*Graph!$D$5^2)</f>
        <v>-1351.9871869471544</v>
      </c>
    </row>
    <row r="165" spans="14:26" x14ac:dyDescent="0.35">
      <c r="N165">
        <f>N164+1</f>
        <v>162</v>
      </c>
      <c r="O165">
        <f>Graph!$D$22*((Graph!$D$18-Y165)/POWER((((Graph!$D$18-$Y165)^2)+((Graph!$E$18-$Z165)^2))+(Graph!$D$23^2),(3/2)))</f>
        <v>708.737822121818</v>
      </c>
      <c r="P165" s="84">
        <f>Graph!$D$22*((Graph!$E$18-Z165)/POWER((((Graph!$D$18-$Y165)^2)+((Graph!$E$18-$Z165)^2))+(Graph!$D$23^2),3/2))</f>
        <v>298.89797172632211</v>
      </c>
      <c r="Q165">
        <f>Graph!$D$31*((Graph!$D$27-Y165)/POWER((((Graph!$D$27-$Y165)^2)+((Graph!$E$27-$Z165)^2))+(Graph!$D$32^2),3/2))</f>
        <v>-545.81630906547184</v>
      </c>
      <c r="R165">
        <f>Graph!$D$31*((Graph!$E$27-Z165)/POWER((((Graph!$D$27-$Y165)^2)+((Graph!$E$27-$Z165)^2))+(Graph!$D$32^2),3/2))</f>
        <v>462.07748914269456</v>
      </c>
      <c r="S165">
        <f>Graph!$D$40*((Graph!$D$36-Y165)/POWER((((Graph!$D$36-$Y165)^2)+((Graph!$E$36-$Z165)^2))+(Graph!$D$41^2),3/2))</f>
        <v>749.46073914266344</v>
      </c>
      <c r="T165">
        <f>Graph!$D$40*((Graph!$E$36-Z165)/POWER((((Graph!$D$36-$Y165)^2)+((Graph!$E$36-$Z165)^2))+(Graph!$D$41^2),3/2))</f>
        <v>-1357.6252409266019</v>
      </c>
      <c r="U165">
        <f>O165+Q165+S165</f>
        <v>912.3822521990096</v>
      </c>
      <c r="V165">
        <f>P165+R165+T165</f>
        <v>-596.6497800575853</v>
      </c>
      <c r="W165">
        <f>W164+(U164*Graph!$D$5)</f>
        <v>3169.3418484965778</v>
      </c>
      <c r="X165">
        <f>X164+(V164*Graph!$D$5)</f>
        <v>2998.9428679295133</v>
      </c>
      <c r="Y165">
        <f>Y164+(W164*Graph!$D$5)+(U164*Graph!$D$5^2)</f>
        <v>-8361.9870916464624</v>
      </c>
      <c r="Z165">
        <f>Z164+(X164*Graph!$D$5)+(V164*Graph!$D$5^2)</f>
        <v>147.48424701760217</v>
      </c>
    </row>
    <row r="166" spans="14:26" x14ac:dyDescent="0.35">
      <c r="N166">
        <f>N165+1</f>
        <v>163</v>
      </c>
      <c r="O166">
        <f>Graph!$D$22*((Graph!$D$18-Y166)/POWER((((Graph!$D$18-$Y166)^2)+((Graph!$E$18-$Z166)^2))+(Graph!$D$23^2),(3/2)))</f>
        <v>847.66468160062084</v>
      </c>
      <c r="P166" s="84">
        <f>Graph!$D$22*((Graph!$E$18-Z166)/POWER((((Graph!$D$18-$Y166)^2)+((Graph!$E$18-$Z166)^2))+(Graph!$D$23^2),3/2))</f>
        <v>334.44459648260113</v>
      </c>
      <c r="Q166">
        <f>Graph!$D$31*((Graph!$D$27-Y166)/POWER((((Graph!$D$27-$Y166)^2)+((Graph!$E$27-$Z166)^2))+(Graph!$D$32^2),3/2))</f>
        <v>-558.52052432140658</v>
      </c>
      <c r="R166">
        <f>Graph!$D$31*((Graph!$E$27-Z166)/POWER((((Graph!$D$27-$Y166)^2)+((Graph!$E$27-$Z166)^2))+(Graph!$D$32^2),3/2))</f>
        <v>353.03954068798049</v>
      </c>
      <c r="S166">
        <f>Graph!$D$40*((Graph!$D$36-Y166)/POWER((((Graph!$D$36-$Y166)^2)+((Graph!$E$36-$Z166)^2))+(Graph!$D$41^2),3/2))</f>
        <v>546.81040601847155</v>
      </c>
      <c r="T166">
        <f>Graph!$D$40*((Graph!$E$36-Z166)/POWER((((Graph!$D$36-$Y166)^2)+((Graph!$E$36-$Z166)^2))+(Graph!$D$41^2),3/2))</f>
        <v>-1377.441005999819</v>
      </c>
      <c r="U166">
        <f>O166+Q166+S166</f>
        <v>835.95456329768581</v>
      </c>
      <c r="V166">
        <f>P166+R166+T166</f>
        <v>-689.95686882923746</v>
      </c>
      <c r="W166">
        <f>W165+(U165*Graph!$D$5)</f>
        <v>3625.5329745960826</v>
      </c>
      <c r="X166">
        <f>X165+(V165*Graph!$D$5)</f>
        <v>2700.6179779007207</v>
      </c>
      <c r="Y166">
        <f>Y165+(W165*Graph!$D$5)+(U165*Graph!$D$5^2)</f>
        <v>-6549.2206043484221</v>
      </c>
      <c r="Z166">
        <f>Z165+(X165*Graph!$D$5)+(V165*Graph!$D$5^2)</f>
        <v>1497.7932359679626</v>
      </c>
    </row>
    <row r="167" spans="14:26" x14ac:dyDescent="0.35">
      <c r="N167">
        <f>N166+1</f>
        <v>164</v>
      </c>
      <c r="O167">
        <f>Graph!$D$22*((Graph!$D$18-Y167)/POWER((((Graph!$D$18-$Y167)^2)+((Graph!$E$18-$Z167)^2))+(Graph!$D$23^2),(3/2)))</f>
        <v>1036.4593886049779</v>
      </c>
      <c r="P167" s="84">
        <f>Graph!$D$22*((Graph!$E$18-Z167)/POWER((((Graph!$D$18-$Y167)^2)+((Graph!$E$18-$Z167)^2))+(Graph!$D$23^2),3/2))</f>
        <v>388.75652721938798</v>
      </c>
      <c r="Q167">
        <f>Graph!$D$31*((Graph!$D$27-Y167)/POWER((((Graph!$D$27-$Y167)^2)+((Graph!$E$27-$Z167)^2))+(Graph!$D$32^2),3/2))</f>
        <v>-520.92187700888326</v>
      </c>
      <c r="R167">
        <f>Graph!$D$31*((Graph!$E$27-Z167)/POWER((((Graph!$D$27-$Y167)^2)+((Graph!$E$27-$Z167)^2))+(Graph!$D$32^2),3/2))</f>
        <v>246.59395098457156</v>
      </c>
      <c r="S167">
        <f>Graph!$D$40*((Graph!$D$36-Y167)/POWER((((Graph!$D$36-$Y167)^2)+((Graph!$E$36-$Z167)^2))+(Graph!$D$41^2),3/2))</f>
        <v>350.07837507114226</v>
      </c>
      <c r="T167">
        <f>Graph!$D$40*((Graph!$E$36-Z167)/POWER((((Graph!$D$36-$Y167)^2)+((Graph!$E$36-$Z167)^2))+(Graph!$D$41^2),3/2))</f>
        <v>-1366.7359613493802</v>
      </c>
      <c r="U167">
        <f>O167+Q167+S167</f>
        <v>865.61588666723696</v>
      </c>
      <c r="V167">
        <f>P167+R167+T167</f>
        <v>-731.38548314542072</v>
      </c>
      <c r="W167">
        <f>W166+(U166*Graph!$D$5)</f>
        <v>4043.5102562449256</v>
      </c>
      <c r="X167">
        <f>X166+(V166*Graph!$D$5)</f>
        <v>2355.639543486102</v>
      </c>
      <c r="Y167">
        <f>Y166+(W166*Graph!$D$5)+(U166*Graph!$D$5^2)</f>
        <v>-4527.4654762259597</v>
      </c>
      <c r="Z167">
        <f>Z166+(X166*Graph!$D$5)+(V166*Graph!$D$5^2)</f>
        <v>2675.6130077110138</v>
      </c>
    </row>
    <row r="168" spans="14:26" x14ac:dyDescent="0.35">
      <c r="N168">
        <f>N167+1</f>
        <v>165</v>
      </c>
      <c r="O168">
        <f>Graph!$D$22*((Graph!$D$18-Y168)/POWER((((Graph!$D$18-$Y168)^2)+((Graph!$E$18-$Z168)^2))+(Graph!$D$23^2),(3/2)))</f>
        <v>1303.6381564119565</v>
      </c>
      <c r="P168" s="84">
        <f>Graph!$D$22*((Graph!$E$18-Z168)/POWER((((Graph!$D$18-$Y168)^2)+((Graph!$E$18-$Z168)^2))+(Graph!$D$23^2),3/2))</f>
        <v>477.2467377071136</v>
      </c>
      <c r="Q168">
        <f>Graph!$D$31*((Graph!$D$27-Y168)/POWER((((Graph!$D$27-$Y168)^2)+((Graph!$E$27-$Z168)^2))+(Graph!$D$32^2),3/2))</f>
        <v>-454.29925566510212</v>
      </c>
      <c r="R168">
        <f>Graph!$D$31*((Graph!$E$27-Z168)/POWER((((Graph!$D$27-$Y168)^2)+((Graph!$E$27-$Z168)^2))+(Graph!$D$32^2),3/2))</f>
        <v>162.35659339243387</v>
      </c>
      <c r="S168">
        <f>Graph!$D$40*((Graph!$D$36-Y168)/POWER((((Graph!$D$36-$Y168)^2)+((Graph!$E$36-$Z168)^2))+(Graph!$D$41^2),3/2))</f>
        <v>162.56724115451311</v>
      </c>
      <c r="T168">
        <f>Graph!$D$40*((Graph!$E$36-Z168)/POWER((((Graph!$D$36-$Y168)^2)+((Graph!$E$36-$Z168)^2))+(Graph!$D$41^2),3/2))</f>
        <v>-1325.8276631013441</v>
      </c>
      <c r="U168">
        <f>O168+Q168+S168</f>
        <v>1011.9061419013675</v>
      </c>
      <c r="V168">
        <f>P168+R168+T168</f>
        <v>-686.22433200179671</v>
      </c>
      <c r="W168">
        <f>W167+(U167*Graph!$D$5)</f>
        <v>4476.3181995785444</v>
      </c>
      <c r="X168">
        <f>X167+(V167*Graph!$D$5)</f>
        <v>1989.9468019133915</v>
      </c>
      <c r="Y168">
        <f>Y167+(W167*Graph!$D$5)+(U167*Graph!$D$5^2)</f>
        <v>-2289.3063764366875</v>
      </c>
      <c r="Z168">
        <f>Z167+(X167*Graph!$D$5)+(V167*Graph!$D$5^2)</f>
        <v>3670.5864086677097</v>
      </c>
    </row>
    <row r="169" spans="14:26" x14ac:dyDescent="0.35">
      <c r="N169">
        <f>N168+1</f>
        <v>166</v>
      </c>
      <c r="O169">
        <f>Graph!$D$22*((Graph!$D$18-Y169)/POWER((((Graph!$D$18-$Y169)^2)+((Graph!$E$18-$Z169)^2))+(Graph!$D$23^2),(3/2)))</f>
        <v>1705.5464268277049</v>
      </c>
      <c r="P169" s="84">
        <f>Graph!$D$22*((Graph!$E$18-Z169)/POWER((((Graph!$D$18-$Y169)^2)+((Graph!$E$18-$Z169)^2))+(Graph!$D$23^2),3/2))</f>
        <v>634.58737126582082</v>
      </c>
      <c r="Q169">
        <f>Graph!$D$31*((Graph!$D$27-Y169)/POWER((((Graph!$D$27-$Y169)^2)+((Graph!$E$27-$Z169)^2))+(Graph!$D$32^2),3/2))</f>
        <v>-379.21119859893366</v>
      </c>
      <c r="R169">
        <f>Graph!$D$31*((Graph!$E$27-Z169)/POWER((((Graph!$D$27-$Y169)^2)+((Graph!$E$27-$Z169)^2))+(Graph!$D$32^2),3/2))</f>
        <v>103.35378145995328</v>
      </c>
      <c r="S169">
        <f>Graph!$D$40*((Graph!$D$36-Y169)/POWER((((Graph!$D$36-$Y169)^2)+((Graph!$E$36-$Z169)^2))+(Graph!$D$41^2),3/2))</f>
        <v>-12.963093975754388</v>
      </c>
      <c r="T169">
        <f>Graph!$D$40*((Graph!$E$36-Z169)/POWER((((Graph!$D$36-$Y169)^2)+((Graph!$E$36-$Z169)^2))+(Graph!$D$41^2),3/2))</f>
        <v>-1252.0612905157575</v>
      </c>
      <c r="U169">
        <f>O169+Q169+S169</f>
        <v>1313.3721342530168</v>
      </c>
      <c r="V169">
        <f>P169+R169+T169</f>
        <v>-514.12013778998335</v>
      </c>
      <c r="W169">
        <f>W168+(U168*Graph!$D$5)</f>
        <v>4982.2712705292279</v>
      </c>
      <c r="X169">
        <f>X168+(V168*Graph!$D$5)</f>
        <v>1646.834635912493</v>
      </c>
      <c r="Y169">
        <f>Y168+(W168*Graph!$D$5)+(U168*Graph!$D$5^2)</f>
        <v>201.82925882792657</v>
      </c>
      <c r="Z169">
        <f>Z168+(X168*Graph!$D$5)+(V168*Graph!$D$5^2)</f>
        <v>4494.0037266239569</v>
      </c>
    </row>
    <row r="170" spans="14:26" x14ac:dyDescent="0.35">
      <c r="N170">
        <f>N169+1</f>
        <v>167</v>
      </c>
      <c r="O170">
        <f>Graph!$D$22*((Graph!$D$18-Y170)/POWER((((Graph!$D$18-$Y170)^2)+((Graph!$E$18-$Z170)^2))+(Graph!$D$23^2),(3/2)))</f>
        <v>2364.2475268332837</v>
      </c>
      <c r="P170" s="84">
        <f>Graph!$D$22*((Graph!$E$18-Z170)/POWER((((Graph!$D$18-$Y170)^2)+((Graph!$E$18-$Z170)^2))+(Graph!$D$23^2),3/2))</f>
        <v>949.5738317608434</v>
      </c>
      <c r="Q170">
        <f>Graph!$D$31*((Graph!$D$27-Y170)/POWER((((Graph!$D$27-$Y170)^2)+((Graph!$E$27-$Z170)^2))+(Graph!$D$32^2),3/2))</f>
        <v>-307.54954095519184</v>
      </c>
      <c r="R170">
        <f>Graph!$D$31*((Graph!$E$27-Z170)/POWER((((Graph!$D$27-$Y170)^2)+((Graph!$E$27-$Z170)^2))+(Graph!$D$32^2),3/2))</f>
        <v>64.273253542712695</v>
      </c>
      <c r="S170">
        <f>Graph!$D$40*((Graph!$D$36-Y170)/POWER((((Graph!$D$36-$Y170)^2)+((Graph!$E$36-$Z170)^2))+(Graph!$D$41^2),3/2))</f>
        <v>-170.40156341622847</v>
      </c>
      <c r="T170">
        <f>Graph!$D$40*((Graph!$E$36-Z170)/POWER((((Graph!$D$36-$Y170)^2)+((Graph!$E$36-$Z170)^2))+(Graph!$D$41^2),3/2))</f>
        <v>-1138.6520917898256</v>
      </c>
      <c r="U170">
        <f>O170+Q170+S170</f>
        <v>1886.2964224618634</v>
      </c>
      <c r="V170">
        <f>P170+R170+T170</f>
        <v>-124.80500648626946</v>
      </c>
      <c r="W170">
        <f>W169+(U169*Graph!$D$5)</f>
        <v>5638.9573376557364</v>
      </c>
      <c r="X170">
        <f>X169+(V169*Graph!$D$5)</f>
        <v>1389.7745670175013</v>
      </c>
      <c r="Y170">
        <f>Y169+(W169*Graph!$D$5)+(U169*Graph!$D$5^2)</f>
        <v>3021.3079276557946</v>
      </c>
      <c r="Z170">
        <f>Z169+(X169*Graph!$D$5)+(V169*Graph!$D$5^2)</f>
        <v>5188.8910101327074</v>
      </c>
    </row>
    <row r="171" spans="14:26" x14ac:dyDescent="0.35">
      <c r="N171">
        <f>N170+1</f>
        <v>168</v>
      </c>
      <c r="O171">
        <f>Graph!$D$22*((Graph!$D$18-Y171)/POWER((((Graph!$D$18-$Y171)^2)+((Graph!$E$18-$Z171)^2))+(Graph!$D$23^2),(3/2)))</f>
        <v>3563.423866569271</v>
      </c>
      <c r="P171" s="84">
        <f>Graph!$D$22*((Graph!$E$18-Z171)/POWER((((Graph!$D$18-$Y171)^2)+((Graph!$E$18-$Z171)^2))+(Graph!$D$23^2),3/2))</f>
        <v>1701.1555667135708</v>
      </c>
      <c r="Q171">
        <f>Graph!$D$31*((Graph!$D$27-Y171)/POWER((((Graph!$D$27-$Y171)^2)+((Graph!$E$27-$Z171)^2))+(Graph!$D$32^2),3/2))</f>
        <v>-243.68845966273679</v>
      </c>
      <c r="R171">
        <f>Graph!$D$31*((Graph!$E$27-Z171)/POWER((((Graph!$D$27-$Y171)^2)+((Graph!$E$27-$Z171)^2))+(Graph!$D$32^2),3/2))</f>
        <v>38.410810935691345</v>
      </c>
      <c r="S171">
        <f>Graph!$D$40*((Graph!$D$36-Y171)/POWER((((Graph!$D$36-$Y171)^2)+((Graph!$E$36-$Z171)^2))+(Graph!$D$41^2),3/2))</f>
        <v>-295.9087911576305</v>
      </c>
      <c r="T171">
        <f>Graph!$D$40*((Graph!$E$36-Z171)/POWER((((Graph!$D$36-$Y171)^2)+((Graph!$E$36-$Z171)^2))+(Graph!$D$41^2),3/2))</f>
        <v>-977.52032183039285</v>
      </c>
      <c r="U171">
        <f>O171+Q171+S171</f>
        <v>3023.8266157489034</v>
      </c>
      <c r="V171">
        <f>P171+R171+T171</f>
        <v>762.04605581886938</v>
      </c>
      <c r="W171">
        <f>W170+(U170*Graph!$D$5)</f>
        <v>6582.1055488866677</v>
      </c>
      <c r="X171">
        <f>X170+(V170*Graph!$D$5)</f>
        <v>1327.3720637743666</v>
      </c>
      <c r="Y171">
        <f>Y170+(W170*Graph!$D$5)+(U170*Graph!$D$5^2)</f>
        <v>6312.3607020991285</v>
      </c>
      <c r="Z171">
        <f>Z170+(X170*Graph!$D$5)+(V170*Graph!$D$5^2)</f>
        <v>5852.5770420198905</v>
      </c>
    </row>
    <row r="172" spans="14:26" x14ac:dyDescent="0.35">
      <c r="N172">
        <f>N171+1</f>
        <v>169</v>
      </c>
      <c r="O172">
        <f>Graph!$D$22*((Graph!$D$18-Y172)/POWER((((Graph!$D$18-$Y172)^2)+((Graph!$E$18-$Z172)^2))+(Graph!$D$23^2),(3/2)))</f>
        <v>5590.1812755589735</v>
      </c>
      <c r="P172" s="84">
        <f>Graph!$D$22*((Graph!$E$18-Z172)/POWER((((Graph!$D$18-$Y172)^2)+((Graph!$E$18-$Z172)^2))+(Graph!$D$23^2),3/2))</f>
        <v>3967.0750636772855</v>
      </c>
      <c r="Q172">
        <f>Graph!$D$31*((Graph!$D$27-Y172)/POWER((((Graph!$D$27-$Y172)^2)+((Graph!$E$27-$Z172)^2))+(Graph!$D$32^2),3/2))</f>
        <v>-187.75212058656439</v>
      </c>
      <c r="R172">
        <f>Graph!$D$31*((Graph!$E$27-Z172)/POWER((((Graph!$D$27-$Y172)^2)+((Graph!$E$27-$Z172)^2))+(Graph!$D$32^2),3/2))</f>
        <v>20.36636636534665</v>
      </c>
      <c r="S172">
        <f>Graph!$D$40*((Graph!$D$36-Y172)/POWER((((Graph!$D$36-$Y172)^2)+((Graph!$E$36-$Z172)^2))+(Graph!$D$41^2),3/2))</f>
        <v>-365.86039571182192</v>
      </c>
      <c r="T172">
        <f>Graph!$D$40*((Graph!$E$36-Z172)/POWER((((Graph!$D$36-$Y172)^2)+((Graph!$E$36-$Z172)^2))+(Graph!$D$41^2),3/2))</f>
        <v>-766.61505866811797</v>
      </c>
      <c r="U172">
        <f>O172+Q172+S172</f>
        <v>5036.5687592605873</v>
      </c>
      <c r="V172">
        <f>P172+R172+T172</f>
        <v>3220.8263713745141</v>
      </c>
      <c r="W172">
        <f>W171+(U171*Graph!$D$5)</f>
        <v>8094.0188567611194</v>
      </c>
      <c r="X172">
        <f>X171+(V171*Graph!$D$5)</f>
        <v>1708.3950916838012</v>
      </c>
      <c r="Y172">
        <f>Y171+(W171*Graph!$D$5)+(U171*Graph!$D$5^2)</f>
        <v>10359.370130479689</v>
      </c>
      <c r="Z172">
        <f>Z171+(X171*Graph!$D$5)+(V171*Graph!$D$5^2)</f>
        <v>6706.7745878617907</v>
      </c>
    </row>
    <row r="173" spans="14:26" x14ac:dyDescent="0.35">
      <c r="N173">
        <f>N172+1</f>
        <v>170</v>
      </c>
      <c r="O173">
        <f>Graph!$D$22*((Graph!$D$18-Y173)/POWER((((Graph!$D$18-$Y173)^2)+((Graph!$E$18-$Z173)^2))+(Graph!$D$23^2),(3/2)))</f>
        <v>-2337.8492943992687</v>
      </c>
      <c r="P173" s="84">
        <f>Graph!$D$22*((Graph!$E$18-Z173)/POWER((((Graph!$D$18-$Y173)^2)+((Graph!$E$18-$Z173)^2))+(Graph!$D$23^2),3/2))</f>
        <v>5739.2984059772134</v>
      </c>
      <c r="Q173">
        <f>Graph!$D$31*((Graph!$D$27-Y173)/POWER((((Graph!$D$27-$Y173)^2)+((Graph!$E$27-$Z173)^2))+(Graph!$D$32^2),3/2))</f>
        <v>-138.73927262075205</v>
      </c>
      <c r="R173">
        <f>Graph!$D$31*((Graph!$E$27-Z173)/POWER((((Graph!$D$27-$Y173)^2)+((Graph!$E$27-$Z173)^2))+(Graph!$D$32^2),3/2))</f>
        <v>6.3555827577246742</v>
      </c>
      <c r="S173">
        <f>Graph!$D$40*((Graph!$D$36-Y173)/POWER((((Graph!$D$36-$Y173)^2)+((Graph!$E$36-$Z173)^2))+(Graph!$D$41^2),3/2))</f>
        <v>-351.64096343680842</v>
      </c>
      <c r="T173">
        <f>Graph!$D$40*((Graph!$E$36-Z173)/POWER((((Graph!$D$36-$Y173)^2)+((Graph!$E$36-$Z173)^2))+(Graph!$D$41^2),3/2))</f>
        <v>-524.4961343170396</v>
      </c>
      <c r="U173">
        <f>O173+Q173+S173</f>
        <v>-2828.2295304568293</v>
      </c>
      <c r="V173">
        <f>P173+R173+T173</f>
        <v>5221.1578544178983</v>
      </c>
      <c r="W173">
        <f>W172+(U172*Graph!$D$5)</f>
        <v>10612.303236391414</v>
      </c>
      <c r="X173">
        <f>X172+(V172*Graph!$D$5)</f>
        <v>3318.8082773710585</v>
      </c>
      <c r="Y173">
        <f>Y172+(W172*Graph!$D$5)+(U172*Graph!$D$5^2)</f>
        <v>15665.521748675395</v>
      </c>
      <c r="Z173">
        <f>Z172+(X172*Graph!$D$5)+(V172*Graph!$D$5^2)</f>
        <v>8366.1787265473195</v>
      </c>
    </row>
    <row r="174" spans="14:26" x14ac:dyDescent="0.35">
      <c r="N174">
        <f>N173+1</f>
        <v>171</v>
      </c>
      <c r="O174">
        <f>Graph!$D$22*((Graph!$D$18-Y174)/POWER((((Graph!$D$18-$Y174)^2)+((Graph!$E$18-$Z174)^2))+(Graph!$D$23^2),(3/2)))</f>
        <v>-6853.6379959516653</v>
      </c>
      <c r="P174" s="84">
        <f>Graph!$D$22*((Graph!$E$18-Z174)/POWER((((Graph!$D$18-$Y174)^2)+((Graph!$E$18-$Z174)^2))+(Graph!$D$23^2),3/2))</f>
        <v>-1732.5702744428459</v>
      </c>
      <c r="Q174">
        <f>Graph!$D$31*((Graph!$D$27-Y174)/POWER((((Graph!$D$27-$Y174)^2)+((Graph!$E$27-$Z174)^2))+(Graph!$D$32^2),3/2))</f>
        <v>-109.35430269195173</v>
      </c>
      <c r="R174">
        <f>Graph!$D$31*((Graph!$E$27-Z174)/POWER((((Graph!$D$27-$Y174)^2)+((Graph!$E$27-$Z174)^2))+(Graph!$D$32^2),3/2))</f>
        <v>-3.6145039989682988</v>
      </c>
      <c r="S174">
        <f>Graph!$D$40*((Graph!$D$36-Y174)/POWER((((Graph!$D$36-$Y174)^2)+((Graph!$E$36-$Z174)^2))+(Graph!$D$41^2),3/2))</f>
        <v>-279.71366741614094</v>
      </c>
      <c r="T174">
        <f>Graph!$D$40*((Graph!$E$36-Z174)/POWER((((Graph!$D$36-$Y174)^2)+((Graph!$E$36-$Z174)^2))+(Graph!$D$41^2),3/2))</f>
        <v>-363.44655487609771</v>
      </c>
      <c r="U174">
        <f>O174+Q174+S174</f>
        <v>-7242.7059660597579</v>
      </c>
      <c r="V174">
        <f>P174+R174+T174</f>
        <v>-2099.6313333179119</v>
      </c>
      <c r="W174">
        <f>W173+(U173*Graph!$D$5)</f>
        <v>9198.1884711629991</v>
      </c>
      <c r="X174">
        <f>X173+(V173*Graph!$D$5)</f>
        <v>5929.3872045800072</v>
      </c>
      <c r="Y174">
        <f>Y173+(W173*Graph!$D$5)+(U173*Graph!$D$5^2)</f>
        <v>20264.615984256896</v>
      </c>
      <c r="Z174">
        <f>Z173+(X173*Graph!$D$5)+(V173*Graph!$D$5^2)</f>
        <v>11330.872328837324</v>
      </c>
    </row>
    <row r="175" spans="14:26" x14ac:dyDescent="0.35">
      <c r="N175">
        <f>N174+1</f>
        <v>172</v>
      </c>
      <c r="O175">
        <f>Graph!$D$22*((Graph!$D$18-Y175)/POWER((((Graph!$D$18-$Y175)^2)+((Graph!$E$18-$Z175)^2))+(Graph!$D$23^2),(3/2)))</f>
        <v>-3971.6843363416301</v>
      </c>
      <c r="P175" s="84">
        <f>Graph!$D$22*((Graph!$E$18-Z175)/POWER((((Graph!$D$18-$Y175)^2)+((Graph!$E$18-$Z175)^2))+(Graph!$D$23^2),3/2))</f>
        <v>-1859.6549089384278</v>
      </c>
      <c r="Q175">
        <f>Graph!$D$31*((Graph!$D$27-Y175)/POWER((((Graph!$D$27-$Y175)^2)+((Graph!$E$27-$Z175)^2))+(Graph!$D$32^2),3/2))</f>
        <v>-94.852501014516974</v>
      </c>
      <c r="R175">
        <f>Graph!$D$31*((Graph!$E$27-Z175)/POWER((((Graph!$D$27-$Y175)^2)+((Graph!$E$27-$Z175)^2))+(Graph!$D$32^2),3/2))</f>
        <v>-8.3073437589480328</v>
      </c>
      <c r="S175">
        <f>Graph!$D$40*((Graph!$D$36-Y175)/POWER((((Graph!$D$36-$Y175)^2)+((Graph!$E$36-$Z175)^2))+(Graph!$D$41^2),3/2))</f>
        <v>-234.38600306606773</v>
      </c>
      <c r="T175">
        <f>Graph!$D$40*((Graph!$E$36-Z175)/POWER((((Graph!$D$36-$Y175)^2)+((Graph!$E$36-$Z175)^2))+(Graph!$D$41^2),3/2))</f>
        <v>-292.51853081870513</v>
      </c>
      <c r="U175">
        <f>O175+Q175+S175</f>
        <v>-4300.9228404222149</v>
      </c>
      <c r="V175">
        <f>P175+R175+T175</f>
        <v>-2160.4807835160809</v>
      </c>
      <c r="W175">
        <f>W174+(U174*Graph!$D$5)</f>
        <v>5576.8354881331197</v>
      </c>
      <c r="X175">
        <f>X174+(V174*Graph!$D$5)</f>
        <v>4879.5715379210515</v>
      </c>
      <c r="Y175">
        <f>Y174+(W174*Graph!$D$5)+(U174*Graph!$D$5^2)</f>
        <v>23053.033728323455</v>
      </c>
      <c r="Z175">
        <f>Z174+(X174*Graph!$D$5)+(V174*Graph!$D$5^2)</f>
        <v>13770.658097797848</v>
      </c>
    </row>
    <row r="176" spans="14:26" x14ac:dyDescent="0.35">
      <c r="N176">
        <f>N175+1</f>
        <v>173</v>
      </c>
      <c r="O176">
        <f>Graph!$D$22*((Graph!$D$18-Y176)/POWER((((Graph!$D$18-$Y176)^2)+((Graph!$E$18-$Z176)^2))+(Graph!$D$23^2),(3/2)))</f>
        <v>-2714.471312117736</v>
      </c>
      <c r="P176" s="84">
        <f>Graph!$D$22*((Graph!$E$18-Z176)/POWER((((Graph!$D$18-$Y176)^2)+((Graph!$E$18-$Z176)^2))+(Graph!$D$23^2),3/2))</f>
        <v>-1576.0375799065737</v>
      </c>
      <c r="Q176">
        <f>Graph!$D$31*((Graph!$D$27-Y176)/POWER((((Graph!$D$27-$Y176)^2)+((Graph!$E$27-$Z176)^2))+(Graph!$D$32^2),3/2))</f>
        <v>-86.719264956603766</v>
      </c>
      <c r="R176">
        <f>Graph!$D$31*((Graph!$E$27-Z176)/POWER((((Graph!$D$27-$Y176)^2)+((Graph!$E$27-$Z176)^2))+(Graph!$D$32^2),3/2))</f>
        <v>-10.984315683377234</v>
      </c>
      <c r="S176">
        <f>Graph!$D$40*((Graph!$D$36-Y176)/POWER((((Graph!$D$36-$Y176)^2)+((Graph!$E$36-$Z176)^2))+(Graph!$D$41^2),3/2))</f>
        <v>-206.66691493156929</v>
      </c>
      <c r="T176">
        <f>Graph!$D$40*((Graph!$E$36-Z176)/POWER((((Graph!$D$36-$Y176)^2)+((Graph!$E$36-$Z176)^2))+(Graph!$D$41^2),3/2))</f>
        <v>-255.93493790808984</v>
      </c>
      <c r="U176">
        <f>O176+Q176+S176</f>
        <v>-3007.8574920059091</v>
      </c>
      <c r="V176">
        <f>P176+R176+T176</f>
        <v>-1842.9568334980406</v>
      </c>
      <c r="W176">
        <f>W175+(U175*Graph!$D$5)</f>
        <v>3426.3740679220123</v>
      </c>
      <c r="X176">
        <f>X175+(V175*Graph!$D$5)</f>
        <v>3799.331146163011</v>
      </c>
      <c r="Y176">
        <f>Y175+(W175*Graph!$D$5)+(U175*Graph!$D$5^2)</f>
        <v>24766.220762284462</v>
      </c>
      <c r="Z176">
        <f>Z175+(X175*Graph!$D$5)+(V175*Graph!$D$5^2)</f>
        <v>15670.323670879354</v>
      </c>
    </row>
    <row r="177" spans="14:26" x14ac:dyDescent="0.35">
      <c r="N177">
        <f>N176+1</f>
        <v>174</v>
      </c>
      <c r="O177">
        <f>Graph!$D$22*((Graph!$D$18-Y177)/POWER((((Graph!$D$18-$Y177)^2)+((Graph!$E$18-$Z177)^2))+(Graph!$D$23^2),(3/2)))</f>
        <v>-2134.2433630998789</v>
      </c>
      <c r="P177" s="84">
        <f>Graph!$D$22*((Graph!$E$18-Z177)/POWER((((Graph!$D$18-$Y177)^2)+((Graph!$E$18-$Z177)^2))+(Graph!$D$23^2),3/2))</f>
        <v>-1414.3975508825799</v>
      </c>
      <c r="Q177">
        <f>Graph!$D$31*((Graph!$D$27-Y177)/POWER((((Graph!$D$27-$Y177)^2)+((Graph!$E$27-$Z177)^2))+(Graph!$D$32^2),3/2))</f>
        <v>-82.160764637199449</v>
      </c>
      <c r="R177">
        <f>Graph!$D$31*((Graph!$E$27-Z177)/POWER((((Graph!$D$27-$Y177)^2)+((Graph!$E$27-$Z177)^2))+(Graph!$D$32^2),3/2))</f>
        <v>-12.773541995656457</v>
      </c>
      <c r="S177">
        <f>Graph!$D$40*((Graph!$D$36-Y177)/POWER((((Graph!$D$36-$Y177)^2)+((Graph!$E$36-$Z177)^2))+(Graph!$D$41^2),3/2))</f>
        <v>-189.18923942817457</v>
      </c>
      <c r="T177">
        <f>Graph!$D$40*((Graph!$E$36-Z177)/POWER((((Graph!$D$36-$Y177)^2)+((Graph!$E$36-$Z177)^2))+(Graph!$D$41^2),3/2))</f>
        <v>-236.11847057268554</v>
      </c>
      <c r="U177">
        <f>O177+Q177+S177</f>
        <v>-2405.5933671652529</v>
      </c>
      <c r="V177">
        <f>P177+R177+T177</f>
        <v>-1663.2895634509218</v>
      </c>
      <c r="W177">
        <f>W176+(U176*Graph!$D$5)</f>
        <v>1922.4453219190577</v>
      </c>
      <c r="X177">
        <f>X176+(V176*Graph!$D$5)</f>
        <v>2877.8527294139908</v>
      </c>
      <c r="Y177">
        <f>Y176+(W176*Graph!$D$5)+(U176*Graph!$D$5^2)</f>
        <v>25727.443423243993</v>
      </c>
      <c r="Z177">
        <f>Z176+(X176*Graph!$D$5)+(V176*Graph!$D$5^2)</f>
        <v>17109.250035586349</v>
      </c>
    </row>
    <row r="178" spans="14:26" x14ac:dyDescent="0.35">
      <c r="N178">
        <f>N177+1</f>
        <v>175</v>
      </c>
      <c r="O178">
        <f>Graph!$D$22*((Graph!$D$18-Y178)/POWER((((Graph!$D$18-$Y178)^2)+((Graph!$E$18-$Z178)^2))+(Graph!$D$23^2),(3/2)))</f>
        <v>-1853.5815438819945</v>
      </c>
      <c r="P178" s="84">
        <f>Graph!$D$22*((Graph!$E$18-Z178)/POWER((((Graph!$D$18-$Y178)^2)+((Graph!$E$18-$Z178)^2))+(Graph!$D$23^2),3/2))</f>
        <v>-1359.5758351295797</v>
      </c>
      <c r="Q178">
        <f>Graph!$D$31*((Graph!$D$27-Y178)/POWER((((Graph!$D$27-$Y178)^2)+((Graph!$E$27-$Z178)^2))+(Graph!$D$32^2),3/2))</f>
        <v>-80.079816289682284</v>
      </c>
      <c r="R178">
        <f>Graph!$D$31*((Graph!$E$27-Z178)/POWER((((Graph!$D$27-$Y178)^2)+((Graph!$E$27-$Z178)^2))+(Graph!$D$32^2),3/2))</f>
        <v>-14.130527735289414</v>
      </c>
      <c r="S178">
        <f>Graph!$D$40*((Graph!$D$36-Y178)/POWER((((Graph!$D$36-$Y178)^2)+((Graph!$E$36-$Z178)^2))+(Graph!$D$41^2),3/2))</f>
        <v>-178.3716437145182</v>
      </c>
      <c r="T178">
        <f>Graph!$D$40*((Graph!$E$36-Z178)/POWER((((Graph!$D$36-$Y178)^2)+((Graph!$E$36-$Z178)^2))+(Graph!$D$41^2),3/2))</f>
        <v>-226.54240770432551</v>
      </c>
      <c r="U178">
        <f>O178+Q178+S178</f>
        <v>-2112.0330038861948</v>
      </c>
      <c r="V178">
        <f>P178+R178+T178</f>
        <v>-1600.2487705691947</v>
      </c>
      <c r="W178">
        <f>W177+(U177*Graph!$D$5)</f>
        <v>719.6486383364313</v>
      </c>
      <c r="X178">
        <f>X177+(V177*Graph!$D$5)</f>
        <v>2046.2079476885299</v>
      </c>
      <c r="Y178">
        <f>Y177+(W177*Graph!$D$5)+(U177*Graph!$D$5^2)</f>
        <v>26087.267742412208</v>
      </c>
      <c r="Z178">
        <f>Z177+(X177*Graph!$D$5)+(V177*Graph!$D$5^2)</f>
        <v>18132.354009430615</v>
      </c>
    </row>
    <row r="179" spans="14:26" x14ac:dyDescent="0.35">
      <c r="N179">
        <f>N178+1</f>
        <v>176</v>
      </c>
      <c r="O179">
        <f>Graph!$D$22*((Graph!$D$18-Y179)/POWER((((Graph!$D$18-$Y179)^2)+((Graph!$E$18-$Z179)^2))+(Graph!$D$23^2),(3/2)))</f>
        <v>-1741.5676979419566</v>
      </c>
      <c r="P179" s="84">
        <f>Graph!$D$22*((Graph!$E$18-Z179)/POWER((((Graph!$D$18-$Y179)^2)+((Graph!$E$18-$Z179)^2))+(Graph!$D$23^2),3/2))</f>
        <v>-1396.4646444830621</v>
      </c>
      <c r="Q179">
        <f>Graph!$D$31*((Graph!$D$27-Y179)/POWER((((Graph!$D$27-$Y179)^2)+((Graph!$E$27-$Z179)^2))+(Graph!$D$32^2),3/2))</f>
        <v>-80.057450903880593</v>
      </c>
      <c r="R179">
        <f>Graph!$D$31*((Graph!$E$27-Z179)/POWER((((Graph!$D$27-$Y179)^2)+((Graph!$E$27-$Z179)^2))+(Graph!$D$32^2),3/2))</f>
        <v>-15.264561277911881</v>
      </c>
      <c r="S179">
        <f>Graph!$D$40*((Graph!$D$36-Y179)/POWER((((Graph!$D$36-$Y179)^2)+((Graph!$E$36-$Z179)^2))+(Graph!$D$41^2),3/2))</f>
        <v>-172.47620728120512</v>
      </c>
      <c r="T179">
        <f>Graph!$D$40*((Graph!$E$36-Z179)/POWER((((Graph!$D$36-$Y179)^2)+((Graph!$E$36-$Z179)^2))+(Graph!$D$41^2),3/2))</f>
        <v>-224.62223911098565</v>
      </c>
      <c r="U179">
        <f>O179+Q179+S179</f>
        <v>-1994.1013561270424</v>
      </c>
      <c r="V179">
        <f>P179+R179+T179</f>
        <v>-1636.3514448719598</v>
      </c>
      <c r="W179">
        <f>W178+(U178*Graph!$D$5)</f>
        <v>-336.36786360666611</v>
      </c>
      <c r="X179">
        <f>X178+(V178*Graph!$D$5)</f>
        <v>1246.0835624039325</v>
      </c>
      <c r="Y179">
        <f>Y178+(W178*Graph!$D$5)+(U178*Graph!$D$5^2)</f>
        <v>25919.083810608874</v>
      </c>
      <c r="Z179">
        <f>Z178+(X178*Graph!$D$5)+(V178*Graph!$D$5^2)</f>
        <v>18755.395790632581</v>
      </c>
    </row>
    <row r="180" spans="14:26" x14ac:dyDescent="0.35">
      <c r="N180">
        <f>N179+1</f>
        <v>177</v>
      </c>
      <c r="O180">
        <f>Graph!$D$22*((Graph!$D$18-Y180)/POWER((((Graph!$D$18-$Y180)^2)+((Graph!$E$18-$Z180)^2))+(Graph!$D$23^2),(3/2)))</f>
        <v>-1756.9442654289805</v>
      </c>
      <c r="P180" s="84">
        <f>Graph!$D$22*((Graph!$E$18-Z180)/POWER((((Graph!$D$18-$Y180)^2)+((Graph!$E$18-$Z180)^2))+(Graph!$D$23^2),3/2))</f>
        <v>-1537.0729461316148</v>
      </c>
      <c r="Q180">
        <f>Graph!$D$31*((Graph!$D$27-Y180)/POWER((((Graph!$D$27-$Y180)^2)+((Graph!$E$27-$Z180)^2))+(Graph!$D$32^2),3/2))</f>
        <v>-82.066965980106374</v>
      </c>
      <c r="R180">
        <f>Graph!$D$31*((Graph!$E$27-Z180)/POWER((((Graph!$D$27-$Y180)^2)+((Graph!$E$27-$Z180)^2))+(Graph!$D$32^2),3/2))</f>
        <v>-16.266269451073217</v>
      </c>
      <c r="S180">
        <f>Graph!$D$40*((Graph!$D$36-Y180)/POWER((((Graph!$D$36-$Y180)^2)+((Graph!$E$36-$Z180)^2))+(Graph!$D$41^2),3/2))</f>
        <v>-170.77023975486662</v>
      </c>
      <c r="T180">
        <f>Graph!$D$40*((Graph!$E$36-Z180)/POWER((((Graph!$D$36-$Y180)^2)+((Graph!$E$36-$Z180)^2))+(Graph!$D$41^2),3/2))</f>
        <v>-229.71914919375601</v>
      </c>
      <c r="U180">
        <f>O180+Q180+S180</f>
        <v>-2009.7814711639537</v>
      </c>
      <c r="V180">
        <f>P180+R180+T180</f>
        <v>-1783.058364776444</v>
      </c>
      <c r="W180">
        <f>W179+(U179*Graph!$D$5)</f>
        <v>-1333.4185416701873</v>
      </c>
      <c r="X180">
        <f>X179+(V179*Graph!$D$5)</f>
        <v>427.90783996795267</v>
      </c>
      <c r="Y180">
        <f>Y179+(W179*Graph!$D$5)+(U179*Graph!$D$5^2)</f>
        <v>25252.37453977378</v>
      </c>
      <c r="Z180">
        <f>Z179+(X179*Graph!$D$5)+(V179*Graph!$D$5^2)</f>
        <v>18969.349710616556</v>
      </c>
    </row>
    <row r="181" spans="14:26" x14ac:dyDescent="0.35">
      <c r="N181">
        <f>N180+1</f>
        <v>178</v>
      </c>
      <c r="O181">
        <f>Graph!$D$22*((Graph!$D$18-Y181)/POWER((((Graph!$D$18-$Y181)^2)+((Graph!$E$18-$Z181)^2))+(Graph!$D$23^2),(3/2)))</f>
        <v>-1907.8528250342881</v>
      </c>
      <c r="P181" s="84">
        <f>Graph!$D$22*((Graph!$E$18-Z181)/POWER((((Graph!$D$18-$Y181)^2)+((Graph!$E$18-$Z181)^2))+(Graph!$D$23^2),3/2))</f>
        <v>-1835.2455100280697</v>
      </c>
      <c r="Q181">
        <f>Graph!$D$31*((Graph!$D$27-Y181)/POWER((((Graph!$D$27-$Y181)^2)+((Graph!$E$27-$Z181)^2))+(Graph!$D$32^2),3/2))</f>
        <v>-86.437974876168425</v>
      </c>
      <c r="R181">
        <f>Graph!$D$31*((Graph!$E$27-Z181)/POWER((((Graph!$D$27-$Y181)^2)+((Graph!$E$27-$Z181)^2))+(Graph!$D$32^2),3/2))</f>
        <v>-17.132486729901732</v>
      </c>
      <c r="S181">
        <f>Graph!$D$40*((Graph!$D$36-Y181)/POWER((((Graph!$D$36-$Y181)^2)+((Graph!$E$36-$Z181)^2))+(Graph!$D$41^2),3/2))</f>
        <v>-173.25418924598685</v>
      </c>
      <c r="T181">
        <f>Graph!$D$40*((Graph!$E$36-Z181)/POWER((((Graph!$D$36-$Y181)^2)+((Graph!$E$36-$Z181)^2))+(Graph!$D$41^2),3/2))</f>
        <v>-242.70716280544502</v>
      </c>
      <c r="U181">
        <f>O181+Q181+S181</f>
        <v>-2167.5449891564435</v>
      </c>
      <c r="V181">
        <f>P181+R181+T181</f>
        <v>-2095.0851595634167</v>
      </c>
      <c r="W181">
        <f>W180+(U180*Graph!$D$5)</f>
        <v>-2338.3092772521641</v>
      </c>
      <c r="X181">
        <f>X180+(V180*Graph!$D$5)</f>
        <v>-463.62134242026934</v>
      </c>
      <c r="Y181">
        <f>Y180+(W180*Graph!$D$5)+(U180*Graph!$D$5^2)</f>
        <v>24083.219901147699</v>
      </c>
      <c r="Z181">
        <f>Z180+(X180*Graph!$D$5)+(V180*Graph!$D$5^2)</f>
        <v>18737.53903940642</v>
      </c>
    </row>
    <row r="182" spans="14:26" x14ac:dyDescent="0.35">
      <c r="N182">
        <f>N181+1</f>
        <v>179</v>
      </c>
      <c r="O182">
        <f>Graph!$D$22*((Graph!$D$18-Y182)/POWER((((Graph!$D$18-$Y182)^2)+((Graph!$E$18-$Z182)^2))+(Graph!$D$23^2),(3/2)))</f>
        <v>-2255.8704123682323</v>
      </c>
      <c r="P182" s="84">
        <f>Graph!$D$22*((Graph!$E$18-Z182)/POWER((((Graph!$D$18-$Y182)^2)+((Graph!$E$18-$Z182)^2))+(Graph!$D$23^2),3/2))</f>
        <v>-2442.4611459566568</v>
      </c>
      <c r="Q182">
        <f>Graph!$D$31*((Graph!$D$27-Y182)/POWER((((Graph!$D$27-$Y182)^2)+((Graph!$E$27-$Z182)^2))+(Graph!$D$32^2),3/2))</f>
        <v>-94.001853238073281</v>
      </c>
      <c r="R182">
        <f>Graph!$D$31*((Graph!$E$27-Z182)/POWER((((Graph!$D$27-$Y182)^2)+((Graph!$E$27-$Z182)^2))+(Graph!$D$32^2),3/2))</f>
        <v>-17.707816196040632</v>
      </c>
      <c r="S182">
        <f>Graph!$D$40*((Graph!$D$36-Y182)/POWER((((Graph!$D$36-$Y182)^2)+((Graph!$E$36-$Z182)^2))+(Graph!$D$41^2),3/2))</f>
        <v>-180.7692524917581</v>
      </c>
      <c r="T182">
        <f>Graph!$D$40*((Graph!$E$36-Z182)/POWER((((Graph!$D$36-$Y182)^2)+((Graph!$E$36-$Z182)^2))+(Graph!$D$41^2),3/2))</f>
        <v>-266.49722955913688</v>
      </c>
      <c r="U182">
        <f>O182+Q182+S182</f>
        <v>-2530.6415180980634</v>
      </c>
      <c r="V182">
        <f>P182+R182+T182</f>
        <v>-2726.6661917118345</v>
      </c>
      <c r="W182">
        <f>W181+(U181*Graph!$D$5)</f>
        <v>-3422.0817718303861</v>
      </c>
      <c r="X182">
        <f>X181+(V181*Graph!$D$5)</f>
        <v>-1511.1639222019776</v>
      </c>
      <c r="Y182">
        <f>Y181+(W181*Graph!$D$5)+(U181*Graph!$D$5^2)</f>
        <v>22372.179015232505</v>
      </c>
      <c r="Z182">
        <f>Z181+(X181*Graph!$D$5)+(V181*Graph!$D$5^2)</f>
        <v>17981.95707830543</v>
      </c>
    </row>
    <row r="183" spans="14:26" x14ac:dyDescent="0.35">
      <c r="N183">
        <f>N182+1</f>
        <v>180</v>
      </c>
      <c r="O183">
        <f>Graph!$D$22*((Graph!$D$18-Y183)/POWER((((Graph!$D$18-$Y183)^2)+((Graph!$E$18-$Z183)^2))+(Graph!$D$23^2),(3/2)))</f>
        <v>-2930.0775025726375</v>
      </c>
      <c r="P183" s="84">
        <f>Graph!$D$22*((Graph!$E$18-Z183)/POWER((((Graph!$D$18-$Y183)^2)+((Graph!$E$18-$Z183)^2))+(Graph!$D$23^2),3/2))</f>
        <v>-3813.5802312183978</v>
      </c>
      <c r="Q183">
        <f>Graph!$D$31*((Graph!$D$27-Y183)/POWER((((Graph!$D$27-$Y183)^2)+((Graph!$E$27-$Z183)^2))+(Graph!$D$32^2),3/2))</f>
        <v>-106.54563361078375</v>
      </c>
      <c r="R183">
        <f>Graph!$D$31*((Graph!$E$27-Z183)/POWER((((Graph!$D$27-$Y183)^2)+((Graph!$E$27-$Z183)^2))+(Graph!$D$32^2),3/2))</f>
        <v>-17.420350723057368</v>
      </c>
      <c r="S183">
        <f>Graph!$D$40*((Graph!$D$36-Y183)/POWER((((Graph!$D$36-$Y183)^2)+((Graph!$E$36-$Z183)^2))+(Graph!$D$41^2),3/2))</f>
        <v>-195.73110271832064</v>
      </c>
      <c r="T183">
        <f>Graph!$D$40*((Graph!$E$36-Z183)/POWER((((Graph!$D$36-$Y183)^2)+((Graph!$E$36-$Z183)^2))+(Graph!$D$41^2),3/2))</f>
        <v>-308.27508062895203</v>
      </c>
      <c r="U183">
        <f>O183+Q183+S183</f>
        <v>-3232.3542389017416</v>
      </c>
      <c r="V183">
        <f>P183+R183+T183</f>
        <v>-4139.2756625704069</v>
      </c>
      <c r="W183">
        <f>W182+(U182*Graph!$D$5)</f>
        <v>-4687.402530879418</v>
      </c>
      <c r="X183">
        <f>X182+(V182*Graph!$D$5)</f>
        <v>-2874.4970180578948</v>
      </c>
      <c r="Y183">
        <f>Y182+(W182*Graph!$D$5)+(U182*Graph!$D$5^2)</f>
        <v>20028.477749792793</v>
      </c>
      <c r="Z183">
        <f>Z182+(X182*Graph!$D$5)+(V182*Graph!$D$5^2)</f>
        <v>16544.708569276481</v>
      </c>
    </row>
    <row r="184" spans="14:26" x14ac:dyDescent="0.35">
      <c r="N184">
        <f>N183+1</f>
        <v>181</v>
      </c>
      <c r="O184">
        <f>Graph!$D$22*((Graph!$D$18-Y184)/POWER((((Graph!$D$18-$Y184)^2)+((Graph!$E$18-$Z184)^2))+(Graph!$D$23^2),(3/2)))</f>
        <v>-3243.4340767177855</v>
      </c>
      <c r="P184" s="84">
        <f>Graph!$D$22*((Graph!$E$18-Z184)/POWER((((Graph!$D$18-$Y184)^2)+((Graph!$E$18-$Z184)^2))+(Graph!$D$23^2),3/2))</f>
        <v>-7038.6465950514348</v>
      </c>
      <c r="Q184">
        <f>Graph!$D$31*((Graph!$D$27-Y184)/POWER((((Graph!$D$27-$Y184)^2)+((Graph!$E$27-$Z184)^2))+(Graph!$D$32^2),3/2))</f>
        <v>-127.97335552510222</v>
      </c>
      <c r="R184">
        <f>Graph!$D$31*((Graph!$E$27-Z184)/POWER((((Graph!$D$27-$Y184)^2)+((Graph!$E$27-$Z184)^2))+(Graph!$D$32^2),3/2))</f>
        <v>-14.133307041834851</v>
      </c>
      <c r="S184">
        <f>Graph!$D$40*((Graph!$D$36-Y184)/POWER((((Graph!$D$36-$Y184)^2)+((Graph!$E$36-$Z184)^2))+(Graph!$D$41^2),3/2))</f>
        <v>-225.10736707456226</v>
      </c>
      <c r="T184">
        <f>Graph!$D$40*((Graph!$E$36-Z184)/POWER((((Graph!$D$36-$Y184)^2)+((Graph!$E$36-$Z184)^2))+(Graph!$D$41^2),3/2))</f>
        <v>-387.78140184813509</v>
      </c>
      <c r="U184">
        <f>O184+Q184+S184</f>
        <v>-3596.5147993174501</v>
      </c>
      <c r="V184">
        <f>P184+R184+T184</f>
        <v>-7440.5613039414047</v>
      </c>
      <c r="W184">
        <f>W183+(U183*Graph!$D$5)</f>
        <v>-6303.579650330289</v>
      </c>
      <c r="X184">
        <f>X183+(V183*Graph!$D$5)</f>
        <v>-4944.1348493430978</v>
      </c>
      <c r="Y184">
        <f>Y183+(W183*Graph!$D$5)+(U183*Graph!$D$5^2)</f>
        <v>16876.687924627651</v>
      </c>
      <c r="Z184">
        <f>Z183+(X183*Graph!$D$5)+(V183*Graph!$D$5^2)</f>
        <v>14072.641144604931</v>
      </c>
    </row>
    <row r="185" spans="14:26" x14ac:dyDescent="0.35">
      <c r="N185">
        <f>N184+1</f>
        <v>182</v>
      </c>
      <c r="O185">
        <f>Graph!$D$22*((Graph!$D$18-Y185)/POWER((((Graph!$D$18-$Y185)^2)+((Graph!$E$18-$Z185)^2))+(Graph!$D$23^2),(3/2)))</f>
        <v>6999.9786725466465</v>
      </c>
      <c r="P185" s="84">
        <f>Graph!$D$22*((Graph!$E$18-Z185)/POWER((((Graph!$D$18-$Y185)^2)+((Graph!$E$18-$Z185)^2))+(Graph!$D$23^2),3/2))</f>
        <v>835.67985206469189</v>
      </c>
      <c r="Q185">
        <f>Graph!$D$31*((Graph!$D$27-Y185)/POWER((((Graph!$D$27-$Y185)^2)+((Graph!$E$27-$Z185)^2))+(Graph!$D$32^2),3/2))</f>
        <v>-163.85453035849986</v>
      </c>
      <c r="R185">
        <f>Graph!$D$31*((Graph!$E$27-Z185)/POWER((((Graph!$D$27-$Y185)^2)+((Graph!$E$27-$Z185)^2))+(Graph!$D$32^2),3/2))</f>
        <v>1.2956638978847645</v>
      </c>
      <c r="S185">
        <f>Graph!$D$40*((Graph!$D$36-Y185)/POWER((((Graph!$D$36-$Y185)^2)+((Graph!$E$36-$Z185)^2))+(Graph!$D$41^2),3/2))</f>
        <v>-295.90622190164407</v>
      </c>
      <c r="T185">
        <f>Graph!$D$40*((Graph!$E$36-Z185)/POWER((((Graph!$D$36-$Y185)^2)+((Graph!$E$36-$Z185)^2))+(Graph!$D$41^2),3/2))</f>
        <v>-570.79212526788683</v>
      </c>
      <c r="U185">
        <f>O185+Q185+S185</f>
        <v>6540.2179202865027</v>
      </c>
      <c r="V185">
        <f>P185+R185+T185</f>
        <v>266.18339069468982</v>
      </c>
      <c r="W185">
        <f>W184+(U184*Graph!$D$5)</f>
        <v>-8101.8370499890143</v>
      </c>
      <c r="X185">
        <f>X184+(V184*Graph!$D$5)</f>
        <v>-8664.4155013138006</v>
      </c>
      <c r="Y185">
        <f>Y184+(W184*Graph!$D$5)+(U184*Graph!$D$5^2)</f>
        <v>12825.769399633145</v>
      </c>
      <c r="Z185">
        <f>Z184+(X184*Graph!$D$5)+(V184*Graph!$D$5^2)</f>
        <v>9740.4333939480312</v>
      </c>
    </row>
    <row r="186" spans="14:26" x14ac:dyDescent="0.35">
      <c r="N186">
        <f>N185+1</f>
        <v>183</v>
      </c>
      <c r="O186">
        <f>Graph!$D$22*((Graph!$D$18-Y186)/POWER((((Graph!$D$18-$Y186)^2)+((Graph!$E$18-$Z186)^2))+(Graph!$D$23^2),(3/2)))</f>
        <v>4427.2174103582975</v>
      </c>
      <c r="P186" s="84">
        <f>Graph!$D$22*((Graph!$E$18-Z186)/POWER((((Graph!$D$18-$Y186)^2)+((Graph!$E$18-$Z186)^2))+(Graph!$D$23^2),3/2))</f>
        <v>4364.6530168193831</v>
      </c>
      <c r="Q186">
        <f>Graph!$D$31*((Graph!$D$27-Y186)/POWER((((Graph!$D$27-$Y186)^2)+((Graph!$E$27-$Z186)^2))+(Graph!$D$32^2),3/2))</f>
        <v>-184.33441095440332</v>
      </c>
      <c r="R186">
        <f>Graph!$D$31*((Graph!$E$27-Z186)/POWER((((Graph!$D$27-$Y186)^2)+((Graph!$E$27-$Z186)^2))+(Graph!$D$32^2),3/2))</f>
        <v>27.430382367759371</v>
      </c>
      <c r="S186">
        <f>Graph!$D$40*((Graph!$D$36-Y186)/POWER((((Graph!$D$36-$Y186)^2)+((Graph!$E$36-$Z186)^2))+(Graph!$D$41^2),3/2))</f>
        <v>-419.61386924139327</v>
      </c>
      <c r="T186">
        <f>Graph!$D$40*((Graph!$E$36-Z186)/POWER((((Graph!$D$36-$Y186)^2)+((Graph!$E$36-$Z186)^2))+(Graph!$D$41^2),3/2))</f>
        <v>-825.3195196697576</v>
      </c>
      <c r="U186">
        <f>O186+Q186+S186</f>
        <v>3823.2691301625009</v>
      </c>
      <c r="V186">
        <f>P186+R186+T186</f>
        <v>3566.7638795173848</v>
      </c>
      <c r="W186">
        <f>W185+(U185*Graph!$D$5)</f>
        <v>-4831.728089845763</v>
      </c>
      <c r="X186">
        <f>X185+(V185*Graph!$D$5)</f>
        <v>-8531.3238059664563</v>
      </c>
      <c r="Y186">
        <f>Y185+(W185*Graph!$D$5)+(U185*Graph!$D$5^2)</f>
        <v>10409.905354710263</v>
      </c>
      <c r="Z186">
        <f>Z185+(X185*Graph!$D$5)+(V185*Graph!$D$5^2)</f>
        <v>5474.771490964803</v>
      </c>
    </row>
    <row r="187" spans="14:26" x14ac:dyDescent="0.35">
      <c r="N187">
        <f>N186+1</f>
        <v>184</v>
      </c>
      <c r="O187">
        <f>Graph!$D$22*((Graph!$D$18-Y187)/POWER((((Graph!$D$18-$Y187)^2)+((Graph!$E$18-$Z187)^2))+(Graph!$D$23^2),(3/2)))</f>
        <v>2294.1584468805877</v>
      </c>
      <c r="P187" s="84">
        <f>Graph!$D$22*((Graph!$E$18-Z187)/POWER((((Graph!$D$18-$Y187)^2)+((Graph!$E$18-$Z187)^2))+(Graph!$D$23^2),3/2))</f>
        <v>2995.304390868921</v>
      </c>
      <c r="Q187">
        <f>Graph!$D$31*((Graph!$D$27-Y187)/POWER((((Graph!$D$27-$Y187)^2)+((Graph!$E$27-$Z187)^2))+(Graph!$D$32^2),3/2))</f>
        <v>-188.54602285883703</v>
      </c>
      <c r="R187">
        <f>Graph!$D$31*((Graph!$E$27-Z187)/POWER((((Graph!$D$27-$Y187)^2)+((Graph!$E$27-$Z187)^2))+(Graph!$D$32^2),3/2))</f>
        <v>51.446283712721254</v>
      </c>
      <c r="S187">
        <f>Graph!$D$40*((Graph!$D$36-Y187)/POWER((((Graph!$D$36-$Y187)^2)+((Graph!$E$36-$Z187)^2))+(Graph!$D$41^2),3/2))</f>
        <v>-591.21833041473792</v>
      </c>
      <c r="T187">
        <f>Graph!$D$40*((Graph!$E$36-Z187)/POWER((((Graph!$D$36-$Y187)^2)+((Graph!$E$36-$Z187)^2))+(Graph!$D$41^2),3/2))</f>
        <v>-1129.6610611524864</v>
      </c>
      <c r="U187">
        <f>O187+Q187+S187</f>
        <v>1514.3940936070126</v>
      </c>
      <c r="V187">
        <f>P187+R187+T187</f>
        <v>1917.0896134291559</v>
      </c>
      <c r="W187">
        <f>W186+(U186*Graph!$D$5)</f>
        <v>-2920.0935247645125</v>
      </c>
      <c r="X187">
        <f>X186+(V186*Graph!$D$5)</f>
        <v>-6747.9418662077642</v>
      </c>
      <c r="Y187">
        <f>Y186+(W186*Graph!$D$5)+(U186*Graph!$D$5^2)</f>
        <v>8949.8585923280061</v>
      </c>
      <c r="Z187">
        <f>Z186+(X186*Graph!$D$5)+(V186*Graph!$D$5^2)</f>
        <v>2100.8005578609209</v>
      </c>
    </row>
    <row r="188" spans="14:26" x14ac:dyDescent="0.35">
      <c r="N188">
        <f>N187+1</f>
        <v>185</v>
      </c>
      <c r="O188">
        <f>Graph!$D$22*((Graph!$D$18-Y188)/POWER((((Graph!$D$18-$Y188)^2)+((Graph!$E$18-$Z188)^2))+(Graph!$D$23^2),(3/2)))</f>
        <v>1399.5434503376555</v>
      </c>
      <c r="P188" s="84">
        <f>Graph!$D$22*((Graph!$E$18-Z188)/POWER((((Graph!$D$18-$Y188)^2)+((Graph!$E$18-$Z188)^2))+(Graph!$D$23^2),3/2))</f>
        <v>2118.2555304841976</v>
      </c>
      <c r="Q188">
        <f>Graph!$D$31*((Graph!$D$27-Y188)/POWER((((Graph!$D$27-$Y188)^2)+((Graph!$E$27-$Z188)^2))+(Graph!$D$32^2),3/2))</f>
        <v>-183.71283799041149</v>
      </c>
      <c r="R188">
        <f>Graph!$D$31*((Graph!$E$27-Z188)/POWER((((Graph!$D$27-$Y188)^2)+((Graph!$E$27-$Z188)^2))+(Graph!$D$32^2),3/2))</f>
        <v>71.155031960976984</v>
      </c>
      <c r="S188">
        <f>Graph!$D$40*((Graph!$D$36-Y188)/POWER((((Graph!$D$36-$Y188)^2)+((Graph!$E$36-$Z188)^2))+(Graph!$D$41^2),3/2))</f>
        <v>-839.76650891906547</v>
      </c>
      <c r="T188">
        <f>Graph!$D$40*((Graph!$E$36-Z188)/POWER((((Graph!$D$36-$Y188)^2)+((Graph!$E$36-$Z188)^2))+(Graph!$D$41^2),3/2))</f>
        <v>-1516.1650409376853</v>
      </c>
      <c r="U188">
        <f>O188+Q188+S188</f>
        <v>376.06410342817844</v>
      </c>
      <c r="V188">
        <f>P188+R188+T188</f>
        <v>673.24552150748923</v>
      </c>
      <c r="W188">
        <f>W187+(U187*Graph!$D$5)</f>
        <v>-2162.896477961006</v>
      </c>
      <c r="X188">
        <f>X187+(V187*Graph!$D$5)</f>
        <v>-5789.3970594931861</v>
      </c>
      <c r="Y188">
        <f>Y187+(W187*Graph!$D$5)+(U187*Graph!$D$5^2)</f>
        <v>7868.4103533475036</v>
      </c>
      <c r="Z188">
        <f>Z187+(X187*Graph!$D$5)+(V187*Graph!$D$5^2)</f>
        <v>-793.89797188567218</v>
      </c>
    </row>
    <row r="189" spans="14:26" x14ac:dyDescent="0.35">
      <c r="N189">
        <f>N188+1</f>
        <v>186</v>
      </c>
      <c r="O189">
        <f>Graph!$D$22*((Graph!$D$18-Y189)/POWER((((Graph!$D$18-$Y189)^2)+((Graph!$E$18-$Z189)^2))+(Graph!$D$23^2),(3/2)))</f>
        <v>938.75133305226598</v>
      </c>
      <c r="P189" s="84">
        <f>Graph!$D$22*((Graph!$E$18-Z189)/POWER((((Graph!$D$18-$Y189)^2)+((Graph!$E$18-$Z189)^2))+(Graph!$D$23^2),3/2))</f>
        <v>1563.2653662020639</v>
      </c>
      <c r="Q189">
        <f>Graph!$D$31*((Graph!$D$27-Y189)/POWER((((Graph!$D$27-$Y189)^2)+((Graph!$E$27-$Z189)^2))+(Graph!$D$32^2),3/2))</f>
        <v>-173.67319241025922</v>
      </c>
      <c r="R189">
        <f>Graph!$D$31*((Graph!$E$27-Z189)/POWER((((Graph!$D$27-$Y189)^2)+((Graph!$E$27-$Z189)^2))+(Graph!$D$32^2),3/2))</f>
        <v>87.352144220961065</v>
      </c>
      <c r="S189">
        <f>Graph!$D$40*((Graph!$D$36-Y189)/POWER((((Graph!$D$36-$Y189)^2)+((Graph!$E$36-$Z189)^2))+(Graph!$D$41^2),3/2))</f>
        <v>-1235.330253966215</v>
      </c>
      <c r="T189">
        <f>Graph!$D$40*((Graph!$E$36-Z189)/POWER((((Graph!$D$36-$Y189)^2)+((Graph!$E$36-$Z189)^2))+(Graph!$D$41^2),3/2))</f>
        <v>-2060.9336067673612</v>
      </c>
      <c r="U189">
        <f>O189+Q189+S189</f>
        <v>-470.25211332420827</v>
      </c>
      <c r="V189">
        <f>P189+R189+T189</f>
        <v>-410.3160963443363</v>
      </c>
      <c r="W189">
        <f>W188+(U188*Graph!$D$5)</f>
        <v>-1974.8644262469168</v>
      </c>
      <c r="X189">
        <f>X188+(V188*Graph!$D$5)</f>
        <v>-5452.7742987394413</v>
      </c>
      <c r="Y189">
        <f>Y188+(W188*Graph!$D$5)+(U188*Graph!$D$5^2)</f>
        <v>6880.978140224046</v>
      </c>
      <c r="Z189">
        <f>Z188+(X188*Graph!$D$5)+(V188*Graph!$D$5^2)</f>
        <v>-3520.2851212553928</v>
      </c>
    </row>
    <row r="190" spans="14:26" x14ac:dyDescent="0.35">
      <c r="N190">
        <f>N189+1</f>
        <v>187</v>
      </c>
      <c r="O190">
        <f>Graph!$D$22*((Graph!$D$18-Y190)/POWER((((Graph!$D$18-$Y190)^2)+((Graph!$E$18-$Z190)^2))+(Graph!$D$23^2),(3/2)))</f>
        <v>658.79382873729276</v>
      </c>
      <c r="P190" s="84">
        <f>Graph!$D$22*((Graph!$E$18-Z190)/POWER((((Graph!$D$18-$Y190)^2)+((Graph!$E$18-$Z190)^2))+(Graph!$D$23^2),3/2))</f>
        <v>1167.6892767245772</v>
      </c>
      <c r="Q190">
        <f>Graph!$D$31*((Graph!$D$27-Y190)/POWER((((Graph!$D$27-$Y190)^2)+((Graph!$E$27-$Z190)^2))+(Graph!$D$32^2),3/2))</f>
        <v>-159.61913967418292</v>
      </c>
      <c r="R190">
        <f>Graph!$D$31*((Graph!$E$27-Z190)/POWER((((Graph!$D$27-$Y190)^2)+((Graph!$E$27-$Z190)^2))+(Graph!$D$32^2),3/2))</f>
        <v>101.24360480171637</v>
      </c>
      <c r="S190">
        <f>Graph!$D$40*((Graph!$D$36-Y190)/POWER((((Graph!$D$36-$Y190)^2)+((Graph!$E$36-$Z190)^2))+(Graph!$D$41^2),3/2))</f>
        <v>-1967.3459932425153</v>
      </c>
      <c r="T190">
        <f>Graph!$D$40*((Graph!$E$36-Z190)/POWER((((Graph!$D$36-$Y190)^2)+((Graph!$E$36-$Z190)^2))+(Graph!$D$41^2),3/2))</f>
        <v>-2946.5142300756088</v>
      </c>
      <c r="U190">
        <f>O190+Q190+S190</f>
        <v>-1468.1713041794055</v>
      </c>
      <c r="V190">
        <f>P190+R190+T190</f>
        <v>-1677.5813485493152</v>
      </c>
      <c r="W190">
        <f>W189+(U189*Graph!$D$5)</f>
        <v>-2209.990482909021</v>
      </c>
      <c r="X190">
        <f>X189+(V189*Graph!$D$5)</f>
        <v>-5657.9323469116098</v>
      </c>
      <c r="Y190">
        <f>Y189+(W189*Graph!$D$5)+(U189*Graph!$D$5^2)</f>
        <v>5775.9828987695355</v>
      </c>
      <c r="Z190">
        <f>Z189+(X189*Graph!$D$5)+(V189*Graph!$D$5^2)</f>
        <v>-6349.2512947111973</v>
      </c>
    </row>
    <row r="191" spans="14:26" x14ac:dyDescent="0.35">
      <c r="N191">
        <f>N190+1</f>
        <v>188</v>
      </c>
      <c r="O191">
        <f>Graph!$D$22*((Graph!$D$18-Y191)/POWER((((Graph!$D$18-$Y191)^2)+((Graph!$E$18-$Z191)^2))+(Graph!$D$23^2),(3/2)))</f>
        <v>467.60811772512454</v>
      </c>
      <c r="P191" s="84">
        <f>Graph!$D$22*((Graph!$E$18-Z191)/POWER((((Graph!$D$18-$Y191)^2)+((Graph!$E$18-$Z191)^2))+(Graph!$D$23^2),3/2))</f>
        <v>856.7647315979948</v>
      </c>
      <c r="Q191">
        <f>Graph!$D$31*((Graph!$D$27-Y191)/POWER((((Graph!$D$27-$Y191)^2)+((Graph!$E$27-$Z191)^2))+(Graph!$D$32^2),3/2))</f>
        <v>-140.76510128343276</v>
      </c>
      <c r="R191">
        <f>Graph!$D$31*((Graph!$E$27-Z191)/POWER((((Graph!$D$27-$Y191)^2)+((Graph!$E$27-$Z191)^2))+(Graph!$D$32^2),3/2))</f>
        <v>113.50667435283138</v>
      </c>
      <c r="S191">
        <f>Graph!$D$40*((Graph!$D$36-Y191)/POWER((((Graph!$D$36-$Y191)^2)+((Graph!$E$36-$Z191)^2))+(Graph!$D$41^2),3/2))</f>
        <v>-3634.7666411051582</v>
      </c>
      <c r="T191">
        <f>Graph!$D$40*((Graph!$E$36-Z191)/POWER((((Graph!$D$36-$Y191)^2)+((Graph!$E$36-$Z191)^2))+(Graph!$D$41^2),3/2))</f>
        <v>-4562.4229694920214</v>
      </c>
      <c r="U191">
        <f>O191+Q191+S191</f>
        <v>-3307.9236246634664</v>
      </c>
      <c r="V191">
        <f>P191+R191+T191</f>
        <v>-3592.1515635411952</v>
      </c>
      <c r="W191">
        <f>W190+(U190*Graph!$D$5)</f>
        <v>-2944.0761349987238</v>
      </c>
      <c r="X191">
        <f>X190+(V190*Graph!$D$5)</f>
        <v>-6496.723021186267</v>
      </c>
      <c r="Y191">
        <f>Y190+(W190*Graph!$D$5)+(U190*Graph!$D$5^2)</f>
        <v>4303.9448312701734</v>
      </c>
      <c r="Z191">
        <f>Z190+(X190*Graph!$D$5)+(V190*Graph!$D$5^2)</f>
        <v>-9597.6128053043303</v>
      </c>
    </row>
    <row r="192" spans="14:26" x14ac:dyDescent="0.35">
      <c r="N192">
        <f>N191+1</f>
        <v>189</v>
      </c>
      <c r="O192">
        <f>Graph!$D$22*((Graph!$D$18-Y192)/POWER((((Graph!$D$18-$Y192)^2)+((Graph!$E$18-$Z192)^2))+(Graph!$D$23^2),(3/2)))</f>
        <v>326.26792766571862</v>
      </c>
      <c r="P192" s="84">
        <f>Graph!$D$22*((Graph!$E$18-Z192)/POWER((((Graph!$D$18-$Y192)^2)+((Graph!$E$18-$Z192)^2))+(Graph!$D$23^2),3/2))</f>
        <v>596.1420129111126</v>
      </c>
      <c r="Q192">
        <f>Graph!$D$31*((Graph!$D$27-Y192)/POWER((((Graph!$D$27-$Y192)^2)+((Graph!$E$27-$Z192)^2))+(Graph!$D$32^2),3/2))</f>
        <v>-114.47308250149516</v>
      </c>
      <c r="R192">
        <f>Graph!$D$31*((Graph!$E$27-Z192)/POWER((((Graph!$D$27-$Y192)^2)+((Graph!$E$27-$Z192)^2))+(Graph!$D$32^2),3/2))</f>
        <v>123.52008299651632</v>
      </c>
      <c r="S192">
        <f>Graph!$D$40*((Graph!$D$36-Y192)/POWER((((Graph!$D$36-$Y192)^2)+((Graph!$E$36-$Z192)^2))+(Graph!$D$41^2),3/2))</f>
        <v>-6202.5990470516581</v>
      </c>
      <c r="T192">
        <f>Graph!$D$40*((Graph!$E$36-Z192)/POWER((((Graph!$D$36-$Y192)^2)+((Graph!$E$36-$Z192)^2))+(Graph!$D$41^2),3/2))</f>
        <v>-3885.6243285844212</v>
      </c>
      <c r="U192">
        <f>O192+Q192+S192</f>
        <v>-5990.8042018874348</v>
      </c>
      <c r="V192">
        <f>P192+R192+T192</f>
        <v>-3165.9622326767922</v>
      </c>
      <c r="W192">
        <f>W191+(U191*Graph!$D$5)</f>
        <v>-4598.0379473304565</v>
      </c>
      <c r="X192">
        <f>X191+(V191*Graph!$D$5)</f>
        <v>-8292.7988029568642</v>
      </c>
      <c r="Y192">
        <f>Y191+(W191*Graph!$D$5)+(U191*Graph!$D$5^2)</f>
        <v>2004.9258576049447</v>
      </c>
      <c r="Z192">
        <f>Z191+(X191*Graph!$D$5)+(V191*Graph!$D$5^2)</f>
        <v>-13744.012206782761</v>
      </c>
    </row>
    <row r="193" spans="14:26" x14ac:dyDescent="0.35">
      <c r="N193">
        <f>N192+1</f>
        <v>190</v>
      </c>
      <c r="O193">
        <f>Graph!$D$22*((Graph!$D$18-Y193)/POWER((((Graph!$D$18-$Y193)^2)+((Graph!$E$18-$Z193)^2))+(Graph!$D$23^2),(3/2)))</f>
        <v>231.57920064098516</v>
      </c>
      <c r="P193" s="84">
        <f>Graph!$D$22*((Graph!$E$18-Z193)/POWER((((Graph!$D$18-$Y193)^2)+((Graph!$E$18-$Z193)^2))+(Graph!$D$23^2),3/2))</f>
        <v>395.55820603157321</v>
      </c>
      <c r="Q193">
        <f>Graph!$D$31*((Graph!$D$27-Y193)/POWER((((Graph!$D$27-$Y193)^2)+((Graph!$E$27-$Z193)^2))+(Graph!$D$32^2),3/2))</f>
        <v>-82.085441529977984</v>
      </c>
      <c r="R193">
        <f>Graph!$D$31*((Graph!$E$27-Z193)/POWER((((Graph!$D$27-$Y193)^2)+((Graph!$E$27-$Z193)^2))+(Graph!$D$32^2),3/2))</f>
        <v>129.30250376034266</v>
      </c>
      <c r="S193">
        <f>Graph!$D$40*((Graph!$D$36-Y193)/POWER((((Graph!$D$36-$Y193)^2)+((Graph!$E$36-$Z193)^2))+(Graph!$D$41^2),3/2))</f>
        <v>3475.6650001519915</v>
      </c>
      <c r="T193">
        <f>Graph!$D$40*((Graph!$E$36-Z193)/POWER((((Graph!$D$36-$Y193)^2)+((Graph!$E$36-$Z193)^2))+(Graph!$D$41^2),3/2))</f>
        <v>7142.0360289560867</v>
      </c>
      <c r="U193">
        <f>O193+Q193+S193</f>
        <v>3625.1587592629985</v>
      </c>
      <c r="V193">
        <f>P193+R193+T193</f>
        <v>7666.8967387480025</v>
      </c>
      <c r="W193">
        <f>W192+(U192*Graph!$D$5)</f>
        <v>-7593.4400482741739</v>
      </c>
      <c r="X193">
        <f>X192+(V192*Graph!$D$5)</f>
        <v>-9875.7799192952607</v>
      </c>
      <c r="Y193">
        <f>Y192+(W192*Graph!$D$5)+(U192*Graph!$D$5^2)</f>
        <v>-1791.7941665321423</v>
      </c>
      <c r="Z193">
        <f>Z192+(X192*Graph!$D$5)+(V192*Graph!$D$5^2)</f>
        <v>-18681.902166430391</v>
      </c>
    </row>
    <row r="194" spans="14:26" x14ac:dyDescent="0.35">
      <c r="N194">
        <f>N193+1</f>
        <v>191</v>
      </c>
      <c r="O194">
        <f>Graph!$D$22*((Graph!$D$18-Y194)/POWER((((Graph!$D$18-$Y194)^2)+((Graph!$E$18-$Z194)^2))+(Graph!$D$23^2),(3/2)))</f>
        <v>193.10785122038666</v>
      </c>
      <c r="P194" s="84">
        <f>Graph!$D$22*((Graph!$E$18-Z194)/POWER((((Graph!$D$18-$Y194)^2)+((Graph!$E$18-$Z194)^2))+(Graph!$D$23^2),3/2))</f>
        <v>311.04773380623078</v>
      </c>
      <c r="Q194">
        <f>Graph!$D$31*((Graph!$D$27-Y194)/POWER((((Graph!$D$27-$Y194)^2)+((Graph!$E$27-$Z194)^2))+(Graph!$D$32^2),3/2))</f>
        <v>-62.100944084000346</v>
      </c>
      <c r="R194">
        <f>Graph!$D$31*((Graph!$E$27-Z194)/POWER((((Graph!$D$27-$Y194)^2)+((Graph!$E$27-$Z194)^2))+(Graph!$D$32^2),3/2))</f>
        <v>128.52978878227361</v>
      </c>
      <c r="S194">
        <f>Graph!$D$40*((Graph!$D$36-Y194)/POWER((((Graph!$D$36-$Y194)^2)+((Graph!$E$36-$Z194)^2))+(Graph!$D$41^2),3/2))</f>
        <v>2784.8466844157483</v>
      </c>
      <c r="T194">
        <f>Graph!$D$40*((Graph!$E$36-Z194)/POWER((((Graph!$D$36-$Y194)^2)+((Graph!$E$36-$Z194)^2))+(Graph!$D$41^2),3/2))</f>
        <v>3986.7837453316542</v>
      </c>
      <c r="U194">
        <f>O194+Q194+S194</f>
        <v>2915.8535915521347</v>
      </c>
      <c r="V194">
        <f>P194+R194+T194</f>
        <v>4426.3612679201588</v>
      </c>
      <c r="W194">
        <f>W193+(U193*Graph!$D$5)</f>
        <v>-5780.8606686426747</v>
      </c>
      <c r="X194">
        <f>X193+(V193*Graph!$D$5)</f>
        <v>-6042.3315499212595</v>
      </c>
      <c r="Y194">
        <f>Y193+(W193*Graph!$D$5)+(U193*Graph!$D$5^2)</f>
        <v>-4682.2245008534801</v>
      </c>
      <c r="Z194">
        <f>Z193+(X193*Graph!$D$5)+(V193*Graph!$D$5^2)</f>
        <v>-21703.067941391018</v>
      </c>
    </row>
    <row r="195" spans="14:26" x14ac:dyDescent="0.35">
      <c r="N195">
        <f>N194+1</f>
        <v>192</v>
      </c>
      <c r="O195">
        <f>Graph!$D$22*((Graph!$D$18-Y195)/POWER((((Graph!$D$18-$Y195)^2)+((Graph!$E$18-$Z195)^2))+(Graph!$D$23^2),(3/2)))</f>
        <v>173.43133080495033</v>
      </c>
      <c r="P195" s="84">
        <f>Graph!$D$22*((Graph!$E$18-Z195)/POWER((((Graph!$D$18-$Y195)^2)+((Graph!$E$18-$Z195)^2))+(Graph!$D$23^2),3/2))</f>
        <v>266.91242412108818</v>
      </c>
      <c r="Q195">
        <f>Graph!$D$31*((Graph!$D$27-Y195)/POWER((((Graph!$D$27-$Y195)^2)+((Graph!$E$27-$Z195)^2))+(Graph!$D$32^2),3/2))</f>
        <v>-49.522007124897215</v>
      </c>
      <c r="R195">
        <f>Graph!$D$31*((Graph!$E$27-Z195)/POWER((((Graph!$D$27-$Y195)^2)+((Graph!$E$27-$Z195)^2))+(Graph!$D$32^2),3/2))</f>
        <v>126.54105579921129</v>
      </c>
      <c r="S195">
        <f>Graph!$D$40*((Graph!$D$36-Y195)/POWER((((Graph!$D$36-$Y195)^2)+((Graph!$E$36-$Z195)^2))+(Graph!$D$41^2),3/2))</f>
        <v>2029.1502597472893</v>
      </c>
      <c r="T195">
        <f>Graph!$D$40*((Graph!$E$36-Z195)/POWER((((Graph!$D$36-$Y195)^2)+((Graph!$E$36-$Z195)^2))+(Graph!$D$41^2),3/2))</f>
        <v>2555.1259144987143</v>
      </c>
      <c r="U195">
        <f>O195+Q195+S195</f>
        <v>2153.0595834273422</v>
      </c>
      <c r="V195">
        <f>P195+R195+T195</f>
        <v>2948.5793944190136</v>
      </c>
      <c r="W195">
        <f>W194+(U194*Graph!$D$5)</f>
        <v>-4322.9338728666071</v>
      </c>
      <c r="X195">
        <f>X194+(V194*Graph!$D$5)</f>
        <v>-3829.1509159611801</v>
      </c>
      <c r="Y195">
        <f>Y194+(W194*Graph!$D$5)+(U194*Graph!$D$5^2)</f>
        <v>-6843.6914372867832</v>
      </c>
      <c r="Z195">
        <f>Z194+(X194*Graph!$D$5)+(V194*Graph!$D$5^2)</f>
        <v>-23617.643399371609</v>
      </c>
    </row>
    <row r="196" spans="14:26" x14ac:dyDescent="0.35">
      <c r="N196">
        <f>N195+1</f>
        <v>193</v>
      </c>
      <c r="O196">
        <f>Graph!$D$22*((Graph!$D$18-Y196)/POWER((((Graph!$D$18-$Y196)^2)+((Graph!$E$18-$Z196)^2))+(Graph!$D$23^2),(3/2)))</f>
        <v>162.73800210791069</v>
      </c>
      <c r="P196" s="84">
        <f>Graph!$D$22*((Graph!$E$18-Z196)/POWER((((Graph!$D$18-$Y196)^2)+((Graph!$E$18-$Z196)^2))+(Graph!$D$23^2),3/2))</f>
        <v>241.29656670244708</v>
      </c>
      <c r="Q196">
        <f>Graph!$D$31*((Graph!$D$27-Y196)/POWER((((Graph!$D$27-$Y196)^2)+((Graph!$E$27-$Z196)^2))+(Graph!$D$32^2),3/2))</f>
        <v>-41.482876358890316</v>
      </c>
      <c r="R196">
        <f>Graph!$D$31*((Graph!$E$27-Z196)/POWER((((Graph!$D$27-$Y196)^2)+((Graph!$E$27-$Z196)^2))+(Graph!$D$32^2),3/2))</f>
        <v>125.15272881879952</v>
      </c>
      <c r="S196">
        <f>Graph!$D$40*((Graph!$D$36-Y196)/POWER((((Graph!$D$36-$Y196)^2)+((Graph!$E$36-$Z196)^2))+(Graph!$D$41^2),3/2))</f>
        <v>1658.1769709591345</v>
      </c>
      <c r="T196">
        <f>Graph!$D$40*((Graph!$E$36-Z196)/POWER((((Graph!$D$36-$Y196)^2)+((Graph!$E$36-$Z196)^2))+(Graph!$D$41^2),3/2))</f>
        <v>1918.2910701085489</v>
      </c>
      <c r="U196">
        <f>O196+Q196+S196</f>
        <v>1779.4320967081549</v>
      </c>
      <c r="V196">
        <f>P196+R196+T196</f>
        <v>2284.7403656297956</v>
      </c>
      <c r="W196">
        <f>W195+(U195*Graph!$D$5)</f>
        <v>-3246.4040811529358</v>
      </c>
      <c r="X196">
        <f>X195+(V195*Graph!$D$5)</f>
        <v>-2354.8612187516733</v>
      </c>
      <c r="Y196">
        <f>Y195+(W195*Graph!$D$5)+(U195*Graph!$D$5^2)</f>
        <v>-8466.893477863252</v>
      </c>
      <c r="Z196">
        <f>Z195+(X195*Graph!$D$5)+(V195*Graph!$D$5^2)</f>
        <v>-24795.074008747448</v>
      </c>
    </row>
    <row r="197" spans="14:26" x14ac:dyDescent="0.35">
      <c r="N197">
        <f>N196+1</f>
        <v>194</v>
      </c>
      <c r="O197">
        <f>Graph!$D$22*((Graph!$D$18-Y197)/POWER((((Graph!$D$18-$Y197)^2)+((Graph!$E$18-$Z197)^2))+(Graph!$D$23^2),(3/2)))</f>
        <v>157.5952259882165</v>
      </c>
      <c r="P197" s="84">
        <f>Graph!$D$22*((Graph!$E$18-Z197)/POWER((((Graph!$D$18-$Y197)^2)+((Graph!$E$18-$Z197)^2))+(Graph!$D$23^2),3/2))</f>
        <v>226.37554019889771</v>
      </c>
      <c r="Q197">
        <f>Graph!$D$31*((Graph!$D$27-Y197)/POWER((((Graph!$D$27-$Y197)^2)+((Graph!$E$27-$Z197)^2))+(Graph!$D$32^2),3/2))</f>
        <v>-36.564344562370891</v>
      </c>
      <c r="R197">
        <f>Graph!$D$31*((Graph!$E$27-Z197)/POWER((((Graph!$D$27-$Y197)^2)+((Graph!$E$27-$Z197)^2))+(Graph!$D$32^2),3/2))</f>
        <v>125.00779659796318</v>
      </c>
      <c r="S197">
        <f>Graph!$D$40*((Graph!$D$36-Y197)/POWER((((Graph!$D$36-$Y197)^2)+((Graph!$E$36-$Z197)^2))+(Graph!$D$41^2),3/2))</f>
        <v>1484.2964687039455</v>
      </c>
      <c r="T197">
        <f>Graph!$D$40*((Graph!$E$36-Z197)/POWER((((Graph!$D$36-$Y197)^2)+((Graph!$E$36-$Z197)^2))+(Graph!$D$41^2),3/2))</f>
        <v>1600.6492170409633</v>
      </c>
      <c r="U197">
        <f>O197+Q197+S197</f>
        <v>1605.3273501297911</v>
      </c>
      <c r="V197">
        <f>P197+R197+T197</f>
        <v>1952.0325538378243</v>
      </c>
      <c r="W197">
        <f>W196+(U196*Graph!$D$5)</f>
        <v>-2356.6880327988583</v>
      </c>
      <c r="X197">
        <f>X196+(V196*Graph!$D$5)</f>
        <v>-1212.4910359367755</v>
      </c>
      <c r="Y197">
        <f>Y196+(W196*Graph!$D$5)+(U196*Graph!$D$5^2)</f>
        <v>-9645.2374942626811</v>
      </c>
      <c r="Z197">
        <f>Z196+(X196*Graph!$D$5)+(V196*Graph!$D$5^2)</f>
        <v>-25401.319526715833</v>
      </c>
    </row>
    <row r="198" spans="14:26" x14ac:dyDescent="0.35">
      <c r="N198">
        <f>N197+1</f>
        <v>195</v>
      </c>
      <c r="O198">
        <f>Graph!$D$22*((Graph!$D$18-Y198)/POWER((((Graph!$D$18-$Y198)^2)+((Graph!$E$18-$Z198)^2))+(Graph!$D$23^2),(3/2)))</f>
        <v>156.6348922854383</v>
      </c>
      <c r="P198" s="84">
        <f>Graph!$D$22*((Graph!$E$18-Z198)/POWER((((Graph!$D$18-$Y198)^2)+((Graph!$E$18-$Z198)^2))+(Graph!$D$23^2),3/2))</f>
        <v>218.84774327873603</v>
      </c>
      <c r="Q198">
        <f>Graph!$D$31*((Graph!$D$27-Y198)/POWER((((Graph!$D$27-$Y198)^2)+((Graph!$E$27-$Z198)^2))+(Graph!$D$32^2),3/2))</f>
        <v>-34.084771759370135</v>
      </c>
      <c r="R198">
        <f>Graph!$D$31*((Graph!$E$27-Z198)/POWER((((Graph!$D$27-$Y198)^2)+((Graph!$E$27-$Z198)^2))+(Graph!$D$32^2),3/2))</f>
        <v>126.40504803576725</v>
      </c>
      <c r="S198">
        <f>Graph!$D$40*((Graph!$D$36-Y198)/POWER((((Graph!$D$36-$Y198)^2)+((Graph!$E$36-$Z198)^2))+(Graph!$D$41^2),3/2))</f>
        <v>1429.2775945462736</v>
      </c>
      <c r="T198">
        <f>Graph!$D$40*((Graph!$E$36-Z198)/POWER((((Graph!$D$36-$Y198)^2)+((Graph!$E$36-$Z198)^2))+(Graph!$D$41^2),3/2))</f>
        <v>1442.62203095991</v>
      </c>
      <c r="U198">
        <f>O198+Q198+S198</f>
        <v>1551.8277150723418</v>
      </c>
      <c r="V198">
        <f>P198+R198+T198</f>
        <v>1787.8748222744134</v>
      </c>
      <c r="W198">
        <f>W197+(U197*Graph!$D$5)</f>
        <v>-1554.0243577339629</v>
      </c>
      <c r="X198">
        <f>X197+(V197*Graph!$D$5)</f>
        <v>-236.47475901786333</v>
      </c>
      <c r="Y198">
        <f>Y197+(W197*Graph!$D$5)+(U197*Graph!$D$5^2)</f>
        <v>-10422.249673129663</v>
      </c>
      <c r="Z198">
        <f>Z197+(X197*Graph!$D$5)+(V197*Graph!$D$5^2)</f>
        <v>-25519.556906224767</v>
      </c>
    </row>
    <row r="199" spans="14:26" x14ac:dyDescent="0.35">
      <c r="N199">
        <f>N198+1</f>
        <v>196</v>
      </c>
      <c r="O199">
        <f>Graph!$D$22*((Graph!$D$18-Y199)/POWER((((Graph!$D$18-$Y199)^2)+((Graph!$E$18-$Z199)^2))+(Graph!$D$23^2),(3/2)))</f>
        <v>159.44161460267176</v>
      </c>
      <c r="P199" s="84">
        <f>Graph!$D$22*((Graph!$E$18-Z199)/POWER((((Graph!$D$18-$Y199)^2)+((Graph!$E$18-$Z199)^2))+(Graph!$D$23^2),3/2))</f>
        <v>217.38079753779064</v>
      </c>
      <c r="Q199">
        <f>Graph!$D$31*((Graph!$D$27-Y199)/POWER((((Graph!$D$27-$Y199)^2)+((Graph!$E$27-$Z199)^2))+(Graph!$D$32^2),3/2))</f>
        <v>-33.828866149980144</v>
      </c>
      <c r="R199">
        <f>Graph!$D$31*((Graph!$E$27-Z199)/POWER((((Graph!$D$27-$Y199)^2)+((Graph!$E$27-$Z199)^2))+(Graph!$D$32^2),3/2))</f>
        <v>129.55764864459809</v>
      </c>
      <c r="S199">
        <f>Graph!$D$40*((Graph!$D$36-Y199)/POWER((((Graph!$D$36-$Y199)^2)+((Graph!$E$36-$Z199)^2))+(Graph!$D$41^2),3/2))</f>
        <v>1469.5023132130657</v>
      </c>
      <c r="T199">
        <f>Graph!$D$40*((Graph!$E$36-Z199)/POWER((((Graph!$D$36-$Y199)^2)+((Graph!$E$36-$Z199)^2))+(Graph!$D$41^2),3/2))</f>
        <v>1385.165053612363</v>
      </c>
      <c r="U199">
        <f>O199+Q199+S199</f>
        <v>1595.1150616657574</v>
      </c>
      <c r="V199">
        <f>P199+R199+T199</f>
        <v>1732.1034997947518</v>
      </c>
      <c r="W199">
        <f>W198+(U198*Graph!$D$5)</f>
        <v>-778.11050019779202</v>
      </c>
      <c r="X199">
        <f>X198+(V198*Graph!$D$5)</f>
        <v>657.46265211934337</v>
      </c>
      <c r="Y199">
        <f>Y198+(W198*Graph!$D$5)+(U198*Graph!$D$5^2)</f>
        <v>-10811.304923228559</v>
      </c>
      <c r="Z199">
        <f>Z198+(X198*Graph!$D$5)+(V198*Graph!$D$5^2)</f>
        <v>-25190.825580165096</v>
      </c>
    </row>
    <row r="200" spans="14:26" x14ac:dyDescent="0.35">
      <c r="N200">
        <f>N199+1</f>
        <v>197</v>
      </c>
      <c r="O200">
        <f>Graph!$D$22*((Graph!$D$18-Y200)/POWER((((Graph!$D$18-$Y200)^2)+((Graph!$E$18-$Z200)^2))+(Graph!$D$23^2),(3/2)))</f>
        <v>166.2520848061651</v>
      </c>
      <c r="P200" s="84">
        <f>Graph!$D$22*((Graph!$E$18-Z200)/POWER((((Graph!$D$18-$Y200)^2)+((Graph!$E$18-$Z200)^2))+(Graph!$D$23^2),3/2))</f>
        <v>221.84316168364077</v>
      </c>
      <c r="Q200">
        <f>Graph!$D$31*((Graph!$D$27-Y200)/POWER((((Graph!$D$27-$Y200)^2)+((Graph!$E$27-$Z200)^2))+(Graph!$D$32^2),3/2))</f>
        <v>-35.980007625766973</v>
      </c>
      <c r="R200">
        <f>Graph!$D$31*((Graph!$E$27-Z200)/POWER((((Graph!$D$27-$Y200)^2)+((Graph!$E$27-$Z200)^2))+(Graph!$D$32^2),3/2))</f>
        <v>134.67077307130756</v>
      </c>
      <c r="S200">
        <f>Graph!$D$40*((Graph!$D$36-Y200)/POWER((((Graph!$D$36-$Y200)^2)+((Graph!$E$36-$Z200)^2))+(Graph!$D$41^2),3/2))</f>
        <v>1615.2855187955292</v>
      </c>
      <c r="T200">
        <f>Graph!$D$40*((Graph!$E$36-Z200)/POWER((((Graph!$D$36-$Y200)^2)+((Graph!$E$36-$Z200)^2))+(Graph!$D$41^2),3/2))</f>
        <v>1410.0377559002493</v>
      </c>
      <c r="U200">
        <f>O200+Q200+S200</f>
        <v>1745.5575959759274</v>
      </c>
      <c r="V200">
        <f>P200+R200+T200</f>
        <v>1766.5516906551975</v>
      </c>
      <c r="W200">
        <f>W199+(U199*Graph!$D$5)</f>
        <v>19.447030635086662</v>
      </c>
      <c r="X200">
        <f>X199+(V199*Graph!$D$5)</f>
        <v>1523.5144020167193</v>
      </c>
      <c r="Y200">
        <f>Y199+(W199*Graph!$D$5)+(U199*Graph!$D$5^2)</f>
        <v>-10801.581407911017</v>
      </c>
      <c r="Z200">
        <f>Z199+(X199*Graph!$D$5)+(V199*Graph!$D$5^2)</f>
        <v>-24429.068379156735</v>
      </c>
    </row>
    <row r="201" spans="14:26" x14ac:dyDescent="0.35">
      <c r="N201">
        <f>N200+1</f>
        <v>198</v>
      </c>
      <c r="O201">
        <f>Graph!$D$22*((Graph!$D$18-Y201)/POWER((((Graph!$D$18-$Y201)^2)+((Graph!$E$18-$Z201)^2))+(Graph!$D$23^2),(3/2)))</f>
        <v>178.00476048892662</v>
      </c>
      <c r="P201" s="84">
        <f>Graph!$D$22*((Graph!$E$18-Z201)/POWER((((Graph!$D$18-$Y201)^2)+((Graph!$E$18-$Z201)^2))+(Graph!$D$23^2),3/2))</f>
        <v>233.25650683278943</v>
      </c>
      <c r="Q201">
        <f>Graph!$D$31*((Graph!$D$27-Y201)/POWER((((Graph!$D$27-$Y201)^2)+((Graph!$E$27-$Z201)^2))+(Graph!$D$32^2),3/2))</f>
        <v>-41.192677020366148</v>
      </c>
      <c r="R201">
        <f>Graph!$D$31*((Graph!$E$27-Z201)/POWER((((Graph!$D$27-$Y201)^2)+((Graph!$E$27-$Z201)^2))+(Graph!$D$32^2),3/2))</f>
        <v>141.90989228342491</v>
      </c>
      <c r="S201">
        <f>Graph!$D$40*((Graph!$D$36-Y201)/POWER((((Graph!$D$36-$Y201)^2)+((Graph!$E$36-$Z201)^2))+(Graph!$D$41^2),3/2))</f>
        <v>1918.4812712191949</v>
      </c>
      <c r="T201">
        <f>Graph!$D$40*((Graph!$E$36-Z201)/POWER((((Graph!$D$36-$Y201)^2)+((Graph!$E$36-$Z201)^2))+(Graph!$D$41^2),3/2))</f>
        <v>1523.9098157238932</v>
      </c>
      <c r="U201">
        <f>O201+Q201+S201</f>
        <v>2055.2933546877553</v>
      </c>
      <c r="V201">
        <f>P201+R201+T201</f>
        <v>1899.0762148401075</v>
      </c>
      <c r="W201">
        <f>W200+(U200*Graph!$D$5)</f>
        <v>892.22582862305035</v>
      </c>
      <c r="X201">
        <f>X200+(V200*Graph!$D$5)</f>
        <v>2406.7902473443182</v>
      </c>
      <c r="Y201">
        <f>Y200+(W200*Graph!$D$5)+(U200*Graph!$D$5^2)</f>
        <v>-10355.468493599492</v>
      </c>
      <c r="Z201">
        <f>Z200+(X200*Graph!$D$5)+(V200*Graph!$D$5^2)</f>
        <v>-23225.673255484577</v>
      </c>
    </row>
    <row r="202" spans="14:26" x14ac:dyDescent="0.35">
      <c r="N202">
        <f>N201+1</f>
        <v>199</v>
      </c>
      <c r="O202">
        <f>Graph!$D$22*((Graph!$D$18-Y202)/POWER((((Graph!$D$18-$Y202)^2)+((Graph!$E$18-$Z202)^2))+(Graph!$D$23^2),(3/2)))</f>
        <v>196.7405651718924</v>
      </c>
      <c r="P202" s="84">
        <f>Graph!$D$22*((Graph!$E$18-Z202)/POWER((((Graph!$D$18-$Y202)^2)+((Graph!$E$18-$Z202)^2))+(Graph!$D$23^2),3/2))</f>
        <v>254.41850190330348</v>
      </c>
      <c r="Q202">
        <f>Graph!$D$31*((Graph!$D$27-Y202)/POWER((((Graph!$D$27-$Y202)^2)+((Graph!$E$27-$Z202)^2))+(Graph!$D$32^2),3/2))</f>
        <v>-50.814028775113904</v>
      </c>
      <c r="R202">
        <f>Graph!$D$31*((Graph!$E$27-Z202)/POWER((((Graph!$D$27-$Y202)^2)+((Graph!$E$27-$Z202)^2))+(Graph!$D$32^2),3/2))</f>
        <v>151.1679860273332</v>
      </c>
      <c r="S202">
        <f>Graph!$D$40*((Graph!$D$36-Y202)/POWER((((Graph!$D$36-$Y202)^2)+((Graph!$E$36-$Z202)^2))+(Graph!$D$41^2),3/2))</f>
        <v>2521.2976937728681</v>
      </c>
      <c r="T202">
        <f>Graph!$D$40*((Graph!$E$36-Z202)/POWER((((Graph!$D$36-$Y202)^2)+((Graph!$E$36-$Z202)^2))+(Graph!$D$41^2),3/2))</f>
        <v>1757.028672331403</v>
      </c>
      <c r="U202">
        <f>O202+Q202+S202</f>
        <v>2667.2242301696465</v>
      </c>
      <c r="V202">
        <f>P202+R202+T202</f>
        <v>2162.6151602620398</v>
      </c>
      <c r="W202">
        <f>W201+(U201*Graph!$D$5)</f>
        <v>1919.872505966928</v>
      </c>
      <c r="X202">
        <f>X201+(V201*Graph!$D$5)</f>
        <v>3356.3283547643719</v>
      </c>
      <c r="Y202">
        <f>Y201+(W201*Graph!$D$5)+(U201*Graph!$D$5^2)</f>
        <v>-9395.5322406160285</v>
      </c>
      <c r="Z202">
        <f>Z201+(X201*Graph!$D$5)+(V201*Graph!$D$5^2)</f>
        <v>-21547.50907810239</v>
      </c>
    </row>
    <row r="203" spans="14:26" x14ac:dyDescent="0.35">
      <c r="N203">
        <f>N202+1</f>
        <v>200</v>
      </c>
      <c r="O203">
        <f>Graph!$D$22*((Graph!$D$18-Y203)/POWER((((Graph!$D$18-$Y203)^2)+((Graph!$E$18-$Z203)^2))+(Graph!$D$23^2),(3/2)))</f>
        <v>226.71393395314783</v>
      </c>
      <c r="P203" s="84">
        <f>Graph!$D$22*((Graph!$E$18-Z203)/POWER((((Graph!$D$18-$Y203)^2)+((Graph!$E$18-$Z203)^2))+(Graph!$D$23^2),3/2))</f>
        <v>292.0323372392287</v>
      </c>
      <c r="Q203">
        <f>Graph!$D$31*((Graph!$D$27-Y203)/POWER((((Graph!$D$27-$Y203)^2)+((Graph!$E$27-$Z203)^2))+(Graph!$D$32^2),3/2))</f>
        <v>-67.231086453510613</v>
      </c>
      <c r="R203">
        <f>Graph!$D$31*((Graph!$E$27-Z203)/POWER((((Graph!$D$27-$Y203)^2)+((Graph!$E$27-$Z203)^2))+(Graph!$D$32^2),3/2))</f>
        <v>161.21052261865597</v>
      </c>
      <c r="S203">
        <f>Graph!$D$40*((Graph!$D$36-Y203)/POWER((((Graph!$D$36-$Y203)^2)+((Graph!$E$36-$Z203)^2))+(Graph!$D$41^2),3/2))</f>
        <v>3830.2584163269853</v>
      </c>
      <c r="T203">
        <f>Graph!$D$40*((Graph!$E$36-Z203)/POWER((((Graph!$D$36-$Y203)^2)+((Graph!$E$36-$Z203)^2))+(Graph!$D$41^2),3/2))</f>
        <v>2134.181218370587</v>
      </c>
      <c r="U203">
        <f>O203+Q203+S203</f>
        <v>3989.7412638266223</v>
      </c>
      <c r="V203">
        <f>P203+R203+T203</f>
        <v>2587.4240782284714</v>
      </c>
      <c r="W203">
        <f>W202+(U202*Graph!$D$5)</f>
        <v>3253.4846210517512</v>
      </c>
      <c r="X203">
        <f>X202+(V202*Graph!$D$5)</f>
        <v>4437.635934895392</v>
      </c>
      <c r="Y203">
        <f>Y202+(W202*Graph!$D$5)+(U202*Graph!$D$5^2)</f>
        <v>-7768.7899300901536</v>
      </c>
      <c r="Z203">
        <f>Z202+(X202*Graph!$D$5)+(V202*Graph!$D$5^2)</f>
        <v>-19328.691110654694</v>
      </c>
    </row>
    <row r="204" spans="14:26" x14ac:dyDescent="0.35">
      <c r="N204">
        <f>N203+1</f>
        <v>201</v>
      </c>
      <c r="O204">
        <f>Graph!$D$22*((Graph!$D$18-Y204)/POWER((((Graph!$D$18-$Y204)^2)+((Graph!$E$18-$Z204)^2))+(Graph!$D$23^2),(3/2)))</f>
        <v>277.27323170039455</v>
      </c>
      <c r="P204" s="84">
        <f>Graph!$D$22*((Graph!$E$18-Z204)/POWER((((Graph!$D$18-$Y204)^2)+((Graph!$E$18-$Z204)^2))+(Graph!$D$23^2),3/2))</f>
        <v>364.24063009161205</v>
      </c>
      <c r="Q204">
        <f>Graph!$D$31*((Graph!$D$27-Y204)/POWER((((Graph!$D$27-$Y204)^2)+((Graph!$E$27-$Z204)^2))+(Graph!$D$32^2),3/2))</f>
        <v>-93.583225669070615</v>
      </c>
      <c r="R204">
        <f>Graph!$D$31*((Graph!$E$27-Z204)/POWER((((Graph!$D$27-$Y204)^2)+((Graph!$E$27-$Z204)^2))+(Graph!$D$32^2),3/2))</f>
        <v>166.70682408163754</v>
      </c>
      <c r="S204">
        <f>Graph!$D$40*((Graph!$D$36-Y204)/POWER((((Graph!$D$36-$Y204)^2)+((Graph!$E$36-$Z204)^2))+(Graph!$D$41^2),3/2))</f>
        <v>6862.9919821753465</v>
      </c>
      <c r="T204">
        <f>Graph!$D$40*((Graph!$E$36-Z204)/POWER((((Graph!$D$36-$Y204)^2)+((Graph!$E$36-$Z204)^2))+(Graph!$D$41^2),3/2))</f>
        <v>1951.6873569565985</v>
      </c>
      <c r="U204">
        <f>O204+Q204+S204</f>
        <v>7046.6819882066702</v>
      </c>
      <c r="V204">
        <f>P204+R204+T204</f>
        <v>2482.634811129848</v>
      </c>
      <c r="W204">
        <f>W203+(U203*Graph!$D$5)</f>
        <v>5248.3552529650624</v>
      </c>
      <c r="X204">
        <f>X203+(V203*Graph!$D$5)</f>
        <v>5731.3479740096282</v>
      </c>
      <c r="Y204">
        <f>Y203+(W203*Graph!$D$5)+(U203*Graph!$D$5^2)</f>
        <v>-5144.6123036076224</v>
      </c>
      <c r="Z204">
        <f>Z203+(X203*Graph!$D$5)+(V203*Graph!$D$5^2)</f>
        <v>-16463.017123649879</v>
      </c>
    </row>
    <row r="205" spans="14:26" x14ac:dyDescent="0.35">
      <c r="N205">
        <f>N204+1</f>
        <v>202</v>
      </c>
      <c r="O205">
        <f>Graph!$D$22*((Graph!$D$18-Y205)/POWER((((Graph!$D$18-$Y205)^2)+((Graph!$E$18-$Z205)^2))+(Graph!$D$23^2),(3/2)))</f>
        <v>363.79368595393947</v>
      </c>
      <c r="P205" s="84">
        <f>Graph!$D$22*((Graph!$E$18-Z205)/POWER((((Graph!$D$18-$Y205)^2)+((Graph!$E$18-$Z205)^2))+(Graph!$D$23^2),3/2))</f>
        <v>530.42057268455403</v>
      </c>
      <c r="Q205">
        <f>Graph!$D$31*((Graph!$D$27-Y205)/POWER((((Graph!$D$27-$Y205)^2)+((Graph!$E$27-$Z205)^2))+(Graph!$D$32^2),3/2))</f>
        <v>-125.79838137856783</v>
      </c>
      <c r="R205">
        <f>Graph!$D$31*((Graph!$E$27-Z205)/POWER((((Graph!$D$27-$Y205)^2)+((Graph!$E$27-$Z205)^2))+(Graph!$D$32^2),3/2))</f>
        <v>150.22058553186426</v>
      </c>
      <c r="S205">
        <f>Graph!$D$40*((Graph!$D$36-Y205)/POWER((((Graph!$D$36-$Y205)^2)+((Graph!$E$36-$Z205)^2))+(Graph!$D$41^2),3/2))</f>
        <v>2458.3259500426616</v>
      </c>
      <c r="T205">
        <f>Graph!$D$40*((Graph!$E$36-Z205)/POWER((((Graph!$D$36-$Y205)^2)+((Graph!$E$36-$Z205)^2))+(Graph!$D$41^2),3/2))</f>
        <v>-6555.3557903583533</v>
      </c>
      <c r="U205">
        <f>O205+Q205+S205</f>
        <v>2696.3212546180334</v>
      </c>
      <c r="V205">
        <f>P205+R205+T205</f>
        <v>-5874.714632141935</v>
      </c>
      <c r="W205">
        <f>W204+(U204*Graph!$D$5)</f>
        <v>8771.6962470683975</v>
      </c>
      <c r="X205">
        <f>X204+(V204*Graph!$D$5)</f>
        <v>6972.6653795745524</v>
      </c>
      <c r="Y205">
        <f>Y204+(W204*Graph!$D$5)+(U204*Graph!$D$5^2)</f>
        <v>-758.76418007342363</v>
      </c>
      <c r="Z205">
        <f>Z204+(X204*Graph!$D$5)+(V204*Graph!$D$5^2)</f>
        <v>-12976.684433862602</v>
      </c>
    </row>
    <row r="206" spans="14:26" x14ac:dyDescent="0.35">
      <c r="N206">
        <f>N205+1</f>
        <v>203</v>
      </c>
      <c r="O206">
        <f>Graph!$D$22*((Graph!$D$18-Y206)/POWER((((Graph!$D$18-$Y206)^2)+((Graph!$E$18-$Z206)^2))+(Graph!$D$23^2),(3/2)))</f>
        <v>402.34915330453089</v>
      </c>
      <c r="P206" s="84">
        <f>Graph!$D$22*((Graph!$E$18-Z206)/POWER((((Graph!$D$18-$Y206)^2)+((Graph!$E$18-$Z206)^2))+(Graph!$D$23^2),3/2))</f>
        <v>788.20241183546443</v>
      </c>
      <c r="Q206">
        <f>Graph!$D$31*((Graph!$D$27-Y206)/POWER((((Graph!$D$27-$Y206)^2)+((Graph!$E$27-$Z206)^2))+(Graph!$D$32^2),3/2))</f>
        <v>-129.73876816444556</v>
      </c>
      <c r="R206">
        <f>Graph!$D$31*((Graph!$E$27-Z206)/POWER((((Graph!$D$27-$Y206)^2)+((Graph!$E$27-$Z206)^2))+(Graph!$D$32^2),3/2))</f>
        <v>111.8958234889857</v>
      </c>
      <c r="S206">
        <f>Graph!$D$40*((Graph!$D$36-Y206)/POWER((((Graph!$D$36-$Y206)^2)+((Graph!$E$36-$Z206)^2))+(Graph!$D$41^2),3/2))</f>
        <v>-4866.4486240354854</v>
      </c>
      <c r="T206">
        <f>Graph!$D$40*((Graph!$E$36-Z206)/POWER((((Graph!$D$36-$Y206)^2)+((Graph!$E$36-$Z206)^2))+(Graph!$D$41^2),3/2))</f>
        <v>-4572.0576485507609</v>
      </c>
      <c r="U206">
        <f>O206+Q206+S206</f>
        <v>-4593.8382388953996</v>
      </c>
      <c r="V206">
        <f>P206+R206+T206</f>
        <v>-3671.959413226311</v>
      </c>
      <c r="W206">
        <f>W205+(U205*Graph!$D$5)</f>
        <v>10119.856874377414</v>
      </c>
      <c r="X206">
        <f>X205+(V205*Graph!$D$5)</f>
        <v>4035.3080635035849</v>
      </c>
      <c r="Y206">
        <f>Y205+(W205*Graph!$D$5)+(U205*Graph!$D$5^2)</f>
        <v>4301.1642571152834</v>
      </c>
      <c r="Z206">
        <f>Z205+(X205*Graph!$D$5)+(V205*Graph!$D$5^2)</f>
        <v>-10959.03040211081</v>
      </c>
    </row>
    <row r="207" spans="14:26" x14ac:dyDescent="0.35">
      <c r="N207">
        <f>N206+1</f>
        <v>204</v>
      </c>
      <c r="O207">
        <f>Graph!$D$22*((Graph!$D$18-Y207)/POWER((((Graph!$D$18-$Y207)^2)+((Graph!$E$18-$Z207)^2))+(Graph!$D$23^2),(3/2)))</f>
        <v>353.89344106582757</v>
      </c>
      <c r="P207" s="84">
        <f>Graph!$D$22*((Graph!$E$18-Z207)/POWER((((Graph!$D$18-$Y207)^2)+((Graph!$E$18-$Z207)^2))+(Graph!$D$23^2),3/2))</f>
        <v>1035.4677431812484</v>
      </c>
      <c r="Q207">
        <f>Graph!$D$31*((Graph!$D$27-Y207)/POWER((((Graph!$D$27-$Y207)^2)+((Graph!$E$27-$Z207)^2))+(Graph!$D$32^2),3/2))</f>
        <v>-121.49436573458232</v>
      </c>
      <c r="R207">
        <f>Graph!$D$31*((Graph!$E$27-Z207)/POWER((((Graph!$D$27-$Y207)^2)+((Graph!$E$27-$Z207)^2))+(Graph!$D$32^2),3/2))</f>
        <v>85.522010360588254</v>
      </c>
      <c r="S207">
        <f>Graph!$D$40*((Graph!$D$36-Y207)/POWER((((Graph!$D$36-$Y207)^2)+((Graph!$E$36-$Z207)^2))+(Graph!$D$41^2),3/2))</f>
        <v>-3317.8266956771199</v>
      </c>
      <c r="T207">
        <f>Graph!$D$40*((Graph!$E$36-Z207)/POWER((((Graph!$D$36-$Y207)^2)+((Graph!$E$36-$Z207)^2))+(Graph!$D$41^2),3/2))</f>
        <v>-2076.7677913197963</v>
      </c>
      <c r="U207">
        <f>O207+Q207+S207</f>
        <v>-3085.4276203458749</v>
      </c>
      <c r="V207">
        <f>P207+R207+T207</f>
        <v>-955.77803777795975</v>
      </c>
      <c r="W207">
        <f>W206+(U206*Graph!$D$5)</f>
        <v>7822.9377549297142</v>
      </c>
      <c r="X207">
        <f>X206+(V206*Graph!$D$5)</f>
        <v>2199.3283568904294</v>
      </c>
      <c r="Y207">
        <f>Y206+(W206*Graph!$D$5)+(U206*Graph!$D$5^2)</f>
        <v>8212.6331345801409</v>
      </c>
      <c r="Z207">
        <f>Z206+(X206*Graph!$D$5)+(V206*Graph!$D$5^2)</f>
        <v>-9859.3662236655946</v>
      </c>
    </row>
    <row r="208" spans="14:26" x14ac:dyDescent="0.35">
      <c r="N208">
        <f>N207+1</f>
        <v>205</v>
      </c>
      <c r="O208">
        <f>Graph!$D$22*((Graph!$D$18-Y208)/POWER((((Graph!$D$18-$Y208)^2)+((Graph!$E$18-$Z208)^2))+(Graph!$D$23^2),(3/2)))</f>
        <v>239.38429519961579</v>
      </c>
      <c r="P208" s="84">
        <f>Graph!$D$22*((Graph!$E$18-Z208)/POWER((((Graph!$D$18-$Y208)^2)+((Graph!$E$18-$Z208)^2))+(Graph!$D$23^2),3/2))</f>
        <v>1246.9590825450834</v>
      </c>
      <c r="Q208">
        <f>Graph!$D$31*((Graph!$D$27-Y208)/POWER((((Graph!$D$27-$Y208)^2)+((Graph!$E$27-$Z208)^2))+(Graph!$D$32^2),3/2))</f>
        <v>-112.74206157626851</v>
      </c>
      <c r="R208">
        <f>Graph!$D$31*((Graph!$E$27-Z208)/POWER((((Graph!$D$27-$Y208)^2)+((Graph!$E$27-$Z208)^2))+(Graph!$D$32^2),3/2))</f>
        <v>68.317672740445232</v>
      </c>
      <c r="S208">
        <f>Graph!$D$40*((Graph!$D$36-Y208)/POWER((((Graph!$D$36-$Y208)^2)+((Graph!$E$36-$Z208)^2))+(Graph!$D$41^2),3/2))</f>
        <v>-2271.4773476618643</v>
      </c>
      <c r="T208">
        <f>Graph!$D$40*((Graph!$E$36-Z208)/POWER((((Graph!$D$36-$Y208)^2)+((Graph!$E$36-$Z208)^2))+(Graph!$D$41^2),3/2))</f>
        <v>-1200.7614262418083</v>
      </c>
      <c r="U208">
        <f>O208+Q208+S208</f>
        <v>-2144.8351140385171</v>
      </c>
      <c r="V208">
        <f>P208+R208+T208</f>
        <v>114.51532904372039</v>
      </c>
      <c r="W208">
        <f>W207+(U207*Graph!$D$5)</f>
        <v>6280.2239447567772</v>
      </c>
      <c r="X208">
        <f>X207+(V207*Graph!$D$5)</f>
        <v>1721.4393380014494</v>
      </c>
      <c r="Y208">
        <f>Y207+(W207*Graph!$D$5)+(U207*Graph!$D$5^2)</f>
        <v>11352.74510695853</v>
      </c>
      <c r="Z208">
        <f>Z207+(X207*Graph!$D$5)+(V207*Graph!$D$5^2)</f>
        <v>-8998.6465546648687</v>
      </c>
    </row>
    <row r="209" spans="14:26" x14ac:dyDescent="0.35">
      <c r="N209">
        <f>N208+1</f>
        <v>206</v>
      </c>
      <c r="O209">
        <f>Graph!$D$22*((Graph!$D$18-Y209)/POWER((((Graph!$D$18-$Y209)^2)+((Graph!$E$18-$Z209)^2))+(Graph!$D$23^2),(3/2)))</f>
        <v>82.0086336051681</v>
      </c>
      <c r="P209" s="84">
        <f>Graph!$D$22*((Graph!$E$18-Z209)/POWER((((Graph!$D$18-$Y209)^2)+((Graph!$E$18-$Z209)^2))+(Graph!$D$23^2),3/2))</f>
        <v>1423.411482519173</v>
      </c>
      <c r="Q209">
        <f>Graph!$D$31*((Graph!$D$27-Y209)/POWER((((Graph!$D$27-$Y209)^2)+((Graph!$E$27-$Z209)^2))+(Graph!$D$32^2),3/2))</f>
        <v>-105.68625152722846</v>
      </c>
      <c r="R209">
        <f>Graph!$D$31*((Graph!$E$27-Z209)/POWER((((Graph!$D$27-$Y209)^2)+((Graph!$E$27-$Z209)^2))+(Graph!$D$32^2),3/2))</f>
        <v>56.363154929130395</v>
      </c>
      <c r="S209">
        <f>Graph!$D$40*((Graph!$D$36-Y209)/POWER((((Graph!$D$36-$Y209)^2)+((Graph!$E$36-$Z209)^2))+(Graph!$D$41^2),3/2))</f>
        <v>-1672.4568111027033</v>
      </c>
      <c r="T209">
        <f>Graph!$D$40*((Graph!$E$36-Z209)/POWER((((Graph!$D$36-$Y209)^2)+((Graph!$E$36-$Z209)^2))+(Graph!$D$41^2),3/2))</f>
        <v>-825.72843819395644</v>
      </c>
      <c r="U209">
        <f>O209+Q209+S209</f>
        <v>-1696.1344290247637</v>
      </c>
      <c r="V209">
        <f>P209+R209+T209</f>
        <v>654.0461992543469</v>
      </c>
      <c r="W209">
        <f>W208+(U208*Graph!$D$5)</f>
        <v>5207.8063877375189</v>
      </c>
      <c r="X209">
        <f>X208+(V208*Graph!$D$5)</f>
        <v>1778.6970025233095</v>
      </c>
      <c r="Y209">
        <f>Y208+(W208*Graph!$D$5)+(U208*Graph!$D$5^2)</f>
        <v>13956.648300827288</v>
      </c>
      <c r="Z209">
        <f>Z208+(X208*Graph!$D$5)+(V208*Graph!$D$5^2)</f>
        <v>-8109.298053403214</v>
      </c>
    </row>
    <row r="210" spans="14:26" x14ac:dyDescent="0.35">
      <c r="N210">
        <f>N209+1</f>
        <v>207</v>
      </c>
      <c r="O210">
        <f>Graph!$D$22*((Graph!$D$18-Y210)/POWER((((Graph!$D$18-$Y210)^2)+((Graph!$E$18-$Z210)^2))+(Graph!$D$23^2),(3/2)))</f>
        <v>-105.3287405311743</v>
      </c>
      <c r="P210" s="84">
        <f>Graph!$D$22*((Graph!$E$18-Z210)/POWER((((Graph!$D$18-$Y210)^2)+((Graph!$E$18-$Z210)^2))+(Graph!$D$23^2),3/2))</f>
        <v>1580.7345863954447</v>
      </c>
      <c r="Q210">
        <f>Graph!$D$31*((Graph!$D$27-Y210)/POWER((((Graph!$D$27-$Y210)^2)+((Graph!$E$27-$Z210)^2))+(Graph!$D$32^2),3/2))</f>
        <v>-100.55342768024069</v>
      </c>
      <c r="R210">
        <f>Graph!$D$31*((Graph!$E$27-Z210)/POWER((((Graph!$D$27-$Y210)^2)+((Graph!$E$27-$Z210)^2))+(Graph!$D$32^2),3/2))</f>
        <v>47.461222204414852</v>
      </c>
      <c r="S210">
        <f>Graph!$D$40*((Graph!$D$36-Y210)/POWER((((Graph!$D$36-$Y210)^2)+((Graph!$E$36-$Z210)^2))+(Graph!$D$41^2),3/2))</f>
        <v>-1298.7568478512023</v>
      </c>
      <c r="T210">
        <f>Graph!$D$40*((Graph!$E$36-Z210)/POWER((((Graph!$D$36-$Y210)^2)+((Graph!$E$36-$Z210)^2))+(Graph!$D$41^2),3/2))</f>
        <v>-639.34211908489578</v>
      </c>
      <c r="U210">
        <f>O210+Q210+S210</f>
        <v>-1504.6390160626174</v>
      </c>
      <c r="V210">
        <f>P210+R210+T210</f>
        <v>988.85368951496366</v>
      </c>
      <c r="W210">
        <f>W209+(U209*Graph!$D$5)</f>
        <v>4359.7391732251372</v>
      </c>
      <c r="X210">
        <f>X209+(V209*Graph!$D$5)</f>
        <v>2105.7201021504829</v>
      </c>
      <c r="Y210">
        <f>Y209+(W209*Graph!$D$5)+(U209*Graph!$D$5^2)</f>
        <v>16136.517887439855</v>
      </c>
      <c r="Z210">
        <f>Z209+(X209*Graph!$D$5)+(V209*Graph!$D$5^2)</f>
        <v>-7056.4380023279728</v>
      </c>
    </row>
    <row r="211" spans="14:26" x14ac:dyDescent="0.35">
      <c r="N211">
        <f>N210+1</f>
        <v>208</v>
      </c>
      <c r="O211">
        <f>Graph!$D$22*((Graph!$D$18-Y211)/POWER((((Graph!$D$18-$Y211)^2)+((Graph!$E$18-$Z211)^2))+(Graph!$D$23^2),(3/2)))</f>
        <v>-325.25095218360468</v>
      </c>
      <c r="P211" s="84">
        <f>Graph!$D$22*((Graph!$E$18-Z211)/POWER((((Graph!$D$18-$Y211)^2)+((Graph!$E$18-$Z211)^2))+(Graph!$D$23^2),3/2))</f>
        <v>1742.9849161153247</v>
      </c>
      <c r="Q211">
        <f>Graph!$D$31*((Graph!$D$27-Y211)/POWER((((Graph!$D$27-$Y211)^2)+((Graph!$E$27-$Z211)^2))+(Graph!$D$32^2),3/2))</f>
        <v>-97.214107670988099</v>
      </c>
      <c r="R211">
        <f>Graph!$D$31*((Graph!$E$27-Z211)/POWER((((Graph!$D$27-$Y211)^2)+((Graph!$E$27-$Z211)^2))+(Graph!$D$32^2),3/2))</f>
        <v>40.372475598093466</v>
      </c>
      <c r="S211">
        <f>Graph!$D$40*((Graph!$D$36-Y211)/POWER((((Graph!$D$36-$Y211)^2)+((Graph!$E$36-$Z211)^2))+(Graph!$D$41^2),3/2))</f>
        <v>-1045.0904834465773</v>
      </c>
      <c r="T211">
        <f>Graph!$D$40*((Graph!$E$36-Z211)/POWER((((Graph!$D$36-$Y211)^2)+((Graph!$E$36-$Z211)^2))+(Graph!$D$41^2),3/2))</f>
        <v>-538.47897663716026</v>
      </c>
      <c r="U211">
        <f>O211+Q211+S211</f>
        <v>-1467.55554330117</v>
      </c>
      <c r="V211">
        <f>P211+R211+T211</f>
        <v>1244.8784150762579</v>
      </c>
      <c r="W211">
        <f>W210+(U210*Graph!$D$5)</f>
        <v>3607.4196651938282</v>
      </c>
      <c r="X211">
        <f>X210+(V210*Graph!$D$5)</f>
        <v>2600.1469469079648</v>
      </c>
      <c r="Y211">
        <f>Y210+(W210*Graph!$D$5)+(U210*Graph!$D$5^2)</f>
        <v>17940.227720036768</v>
      </c>
      <c r="Z211">
        <f>Z210+(X210*Graph!$D$5)+(V210*Graph!$D$5^2)</f>
        <v>-5756.3645288739908</v>
      </c>
    </row>
    <row r="212" spans="14:26" x14ac:dyDescent="0.35">
      <c r="N212">
        <f>N211+1</f>
        <v>209</v>
      </c>
      <c r="O212">
        <f>Graph!$D$22*((Graph!$D$18-Y212)/POWER((((Graph!$D$18-$Y212)^2)+((Graph!$E$18-$Z212)^2))+(Graph!$D$23^2),(3/2)))</f>
        <v>-600.41362569356556</v>
      </c>
      <c r="P212" s="84">
        <f>Graph!$D$22*((Graph!$E$18-Z212)/POWER((((Graph!$D$18-$Y212)^2)+((Graph!$E$18-$Z212)^2))+(Graph!$D$23^2),3/2))</f>
        <v>1940.3242418533707</v>
      </c>
      <c r="Q212">
        <f>Graph!$D$31*((Graph!$D$27-Y212)/POWER((((Graph!$D$27-$Y212)^2)+((Graph!$E$27-$Z212)^2))+(Graph!$D$32^2),3/2))</f>
        <v>-95.54323193737963</v>
      </c>
      <c r="R212">
        <f>Graph!$D$31*((Graph!$E$27-Z212)/POWER((((Graph!$D$27-$Y212)^2)+((Graph!$E$27-$Z212)^2))+(Graph!$D$32^2),3/2))</f>
        <v>34.321156313958795</v>
      </c>
      <c r="S212">
        <f>Graph!$D$40*((Graph!$D$36-Y212)/POWER((((Graph!$D$36-$Y212)^2)+((Graph!$E$36-$Z212)^2))+(Graph!$D$41^2),3/2))</f>
        <v>-859.83492526932912</v>
      </c>
      <c r="T212">
        <f>Graph!$D$40*((Graph!$E$36-Z212)/POWER((((Graph!$D$36-$Y212)^2)+((Graph!$E$36-$Z212)^2))+(Graph!$D$41^2),3/2))</f>
        <v>-481.67534889671822</v>
      </c>
      <c r="U212">
        <f>O212+Q212+S212</f>
        <v>-1555.7917829002745</v>
      </c>
      <c r="V212">
        <f>P212+R212+T212</f>
        <v>1492.9700492706111</v>
      </c>
      <c r="W212">
        <f>W211+(U211*Graph!$D$5)</f>
        <v>2873.641893543243</v>
      </c>
      <c r="X212">
        <f>X211+(V211*Graph!$D$5)</f>
        <v>3222.5861544460936</v>
      </c>
      <c r="Y212">
        <f>Y211+(W211*Graph!$D$5)+(U211*Graph!$D$5^2)</f>
        <v>19377.048666808387</v>
      </c>
      <c r="Z212">
        <f>Z211+(X211*Graph!$D$5)+(V211*Graph!$D$5^2)</f>
        <v>-4145.0714516509433</v>
      </c>
    </row>
    <row r="213" spans="14:26" x14ac:dyDescent="0.35">
      <c r="N213">
        <f>N212+1</f>
        <v>210</v>
      </c>
      <c r="O213">
        <f>Graph!$D$22*((Graph!$D$18-Y213)/POWER((((Graph!$D$18-$Y213)^2)+((Graph!$E$18-$Z213)^2))+(Graph!$D$23^2),(3/2)))</f>
        <v>-987.12283055526973</v>
      </c>
      <c r="P213" s="84">
        <f>Graph!$D$22*((Graph!$E$18-Z213)/POWER((((Graph!$D$18-$Y213)^2)+((Graph!$E$18-$Z213)^2))+(Graph!$D$23^2),3/2))</f>
        <v>2212.7402599015941</v>
      </c>
      <c r="Q213">
        <f>Graph!$D$31*((Graph!$D$27-Y213)/POWER((((Graph!$D$27-$Y213)^2)+((Graph!$E$27-$Z213)^2))+(Graph!$D$32^2),3/2))</f>
        <v>-95.520872782844322</v>
      </c>
      <c r="R213">
        <f>Graph!$D$31*((Graph!$E$27-Z213)/POWER((((Graph!$D$27-$Y213)^2)+((Graph!$E$27-$Z213)^2))+(Graph!$D$32^2),3/2))</f>
        <v>28.734378475729166</v>
      </c>
      <c r="S213">
        <f>Graph!$D$40*((Graph!$D$36-Y213)/POWER((((Graph!$D$36-$Y213)^2)+((Graph!$E$36-$Z213)^2))+(Graph!$D$41^2),3/2))</f>
        <v>-715.063448455865</v>
      </c>
      <c r="T213">
        <f>Graph!$D$40*((Graph!$E$36-Z213)/POWER((((Graph!$D$36-$Y213)^2)+((Graph!$E$36-$Z213)^2))+(Graph!$D$41^2),3/2))</f>
        <v>-449.50143026565968</v>
      </c>
      <c r="U213">
        <f>O213+Q213+S213</f>
        <v>-1797.7071517939789</v>
      </c>
      <c r="V213">
        <f>P213+R213+T213</f>
        <v>1791.9732081116636</v>
      </c>
      <c r="W213">
        <f>W212+(U212*Graph!$D$5)</f>
        <v>2095.7460020931057</v>
      </c>
      <c r="X213">
        <f>X212+(V212*Graph!$D$5)</f>
        <v>3969.0711790813994</v>
      </c>
      <c r="Y213">
        <f>Y212+(W212*Graph!$D$5)+(U212*Graph!$D$5^2)</f>
        <v>20424.921667854942</v>
      </c>
      <c r="Z213">
        <f>Z212+(X212*Graph!$D$5)+(V212*Graph!$D$5^2)</f>
        <v>-2160.5358621102441</v>
      </c>
    </row>
    <row r="214" spans="14:26" x14ac:dyDescent="0.35">
      <c r="N214">
        <f>N213+1</f>
        <v>211</v>
      </c>
      <c r="O214">
        <f>Graph!$D$22*((Graph!$D$18-Y214)/POWER((((Graph!$D$18-$Y214)^2)+((Graph!$E$18-$Z214)^2))+(Graph!$D$23^2),(3/2)))</f>
        <v>-1619.9657299675484</v>
      </c>
      <c r="P214" s="84">
        <f>Graph!$D$22*((Graph!$E$18-Z214)/POWER((((Graph!$D$18-$Y214)^2)+((Graph!$E$18-$Z214)^2))+(Graph!$D$23^2),3/2))</f>
        <v>2616.3166893717139</v>
      </c>
      <c r="Q214">
        <f>Graph!$D$31*((Graph!$D$27-Y214)/POWER((((Graph!$D$27-$Y214)^2)+((Graph!$E$27-$Z214)^2))+(Graph!$D$32^2),3/2))</f>
        <v>-97.300930961373325</v>
      </c>
      <c r="R214">
        <f>Graph!$D$31*((Graph!$E$27-Z214)/POWER((((Graph!$D$27-$Y214)^2)+((Graph!$E$27-$Z214)^2))+(Graph!$D$32^2),3/2))</f>
        <v>23.073291724346859</v>
      </c>
      <c r="S214">
        <f>Graph!$D$40*((Graph!$D$36-Y214)/POWER((((Graph!$D$36-$Y214)^2)+((Graph!$E$36-$Z214)^2))+(Graph!$D$41^2),3/2))</f>
        <v>-594.09114969129416</v>
      </c>
      <c r="T214">
        <f>Graph!$D$40*((Graph!$E$36-Z214)/POWER((((Graph!$D$36-$Y214)^2)+((Graph!$E$36-$Z214)^2))+(Graph!$D$41^2),3/2))</f>
        <v>-431.56529193252516</v>
      </c>
      <c r="U214">
        <f>O214+Q214+S214</f>
        <v>-2311.3578106202158</v>
      </c>
      <c r="V214">
        <f>P214+R214+T214</f>
        <v>2207.8246891635354</v>
      </c>
      <c r="W214">
        <f>W213+(U213*Graph!$D$5)</f>
        <v>1196.8924261961163</v>
      </c>
      <c r="X214">
        <f>X213+(V213*Graph!$D$5)</f>
        <v>4865.0577831372311</v>
      </c>
      <c r="Y214">
        <f>Y213+(W213*Graph!$D$5)+(U213*Graph!$D$5^2)</f>
        <v>21023.367880952999</v>
      </c>
      <c r="Z214">
        <f>Z213+(X213*Graph!$D$5)+(V213*Graph!$D$5^2)</f>
        <v>271.99302945837144</v>
      </c>
    </row>
    <row r="215" spans="14:26" x14ac:dyDescent="0.35">
      <c r="N215">
        <f>N214+1</f>
        <v>212</v>
      </c>
      <c r="O215">
        <f>Graph!$D$22*((Graph!$D$18-Y215)/POWER((((Graph!$D$18-$Y215)^2)+((Graph!$E$18-$Z215)^2))+(Graph!$D$23^2),(3/2)))</f>
        <v>-2859.0178750618952</v>
      </c>
      <c r="P215" s="84">
        <f>Graph!$D$22*((Graph!$E$18-Z215)/POWER((((Graph!$D$18-$Y215)^2)+((Graph!$E$18-$Z215)^2))+(Graph!$D$23^2),3/2))</f>
        <v>3189.9289484150668</v>
      </c>
      <c r="Q215">
        <f>Graph!$D$31*((Graph!$D$27-Y215)/POWER((((Graph!$D$27-$Y215)^2)+((Graph!$E$27-$Z215)^2))+(Graph!$D$32^2),3/2))</f>
        <v>-101.35505909353121</v>
      </c>
      <c r="R215">
        <f>Graph!$D$31*((Graph!$E$27-Z215)/POWER((((Graph!$D$27-$Y215)^2)+((Graph!$E$27-$Z215)^2))+(Graph!$D$32^2),3/2))</f>
        <v>16.652628487420838</v>
      </c>
      <c r="S215">
        <f>Graph!$D$40*((Graph!$D$36-Y215)/POWER((((Graph!$D$36-$Y215)^2)+((Graph!$E$36-$Z215)^2))+(Graph!$D$41^2),3/2))</f>
        <v>-485.91172177796659</v>
      </c>
      <c r="T215">
        <f>Graph!$D$40*((Graph!$E$36-Z215)/POWER((((Graph!$D$36-$Y215)^2)+((Graph!$E$36-$Z215)^2))+(Graph!$D$41^2),3/2))</f>
        <v>-421.54758571488821</v>
      </c>
      <c r="U215">
        <f>O215+Q215+S215</f>
        <v>-3446.284655933393</v>
      </c>
      <c r="V215">
        <f>P215+R215+T215</f>
        <v>2785.0339911875994</v>
      </c>
      <c r="W215">
        <f>W214+(U214*Graph!$D$5)</f>
        <v>41.213520886008382</v>
      </c>
      <c r="X215">
        <f>X214+(V214*Graph!$D$5)</f>
        <v>5968.9701277189988</v>
      </c>
      <c r="Y215">
        <f>Y214+(W214*Graph!$D$5)+(U214*Graph!$D$5^2)</f>
        <v>21043.974641396002</v>
      </c>
      <c r="Z215">
        <f>Z214+(X214*Graph!$D$5)+(V214*Graph!$D$5^2)</f>
        <v>3256.4780933178708</v>
      </c>
    </row>
    <row r="216" spans="14:26" x14ac:dyDescent="0.35">
      <c r="N216">
        <f>N215+1</f>
        <v>213</v>
      </c>
      <c r="O216">
        <f>Graph!$D$22*((Graph!$D$18-Y216)/POWER((((Graph!$D$18-$Y216)^2)+((Graph!$E$18-$Z216)^2))+(Graph!$D$23^2),(3/2)))</f>
        <v>-5655.2270595390019</v>
      </c>
      <c r="P216" s="84">
        <f>Graph!$D$22*((Graph!$E$18-Z216)/POWER((((Graph!$D$18-$Y216)^2)+((Graph!$E$18-$Z216)^2))+(Graph!$D$23^2),3/2))</f>
        <v>3328.9780689145964</v>
      </c>
      <c r="Q216">
        <f>Graph!$D$31*((Graph!$D$27-Y216)/POWER((((Graph!$D$27-$Y216)^2)+((Graph!$E$27-$Z216)^2))+(Graph!$D$32^2),3/2))</f>
        <v>-108.92190086079411</v>
      </c>
      <c r="R216">
        <f>Graph!$D$31*((Graph!$E$27-Z216)/POWER((((Graph!$D$27-$Y216)^2)+((Graph!$E$27-$Z216)^2))+(Graph!$D$32^2),3/2))</f>
        <v>8.2979766261719945</v>
      </c>
      <c r="S216">
        <f>Graph!$D$40*((Graph!$D$36-Y216)/POWER((((Graph!$D$36-$Y216)^2)+((Graph!$E$36-$Z216)^2))+(Graph!$D$41^2),3/2))</f>
        <v>-382.56745100672572</v>
      </c>
      <c r="T216">
        <f>Graph!$D$40*((Graph!$E$36-Z216)/POWER((((Graph!$D$36-$Y216)^2)+((Graph!$E$36-$Z216)^2))+(Graph!$D$41^2),3/2))</f>
        <v>-415.40675730528301</v>
      </c>
      <c r="U216">
        <f>O216+Q216+S216</f>
        <v>-6146.7164114065217</v>
      </c>
      <c r="V216">
        <f>P216+R216+T216</f>
        <v>2921.8692882354853</v>
      </c>
      <c r="W216">
        <f>W215+(U215*Graph!$D$5)</f>
        <v>-1681.9288070806881</v>
      </c>
      <c r="X216">
        <f>X215+(V215*Graph!$D$5)</f>
        <v>7361.4871233127988</v>
      </c>
      <c r="Y216">
        <f>Y215+(W215*Graph!$D$5)+(U215*Graph!$D$5^2)</f>
        <v>20203.010237855655</v>
      </c>
      <c r="Z216">
        <f>Z215+(X215*Graph!$D$5)+(V215*Graph!$D$5^2)</f>
        <v>6937.2216549742698</v>
      </c>
    </row>
    <row r="217" spans="14:26" x14ac:dyDescent="0.35">
      <c r="N217">
        <f>N216+1</f>
        <v>214</v>
      </c>
      <c r="O217">
        <f>Graph!$D$22*((Graph!$D$18-Y217)/POWER((((Graph!$D$18-$Y217)^2)+((Graph!$E$18-$Z217)^2))+(Graph!$D$23^2),(3/2)))</f>
        <v>-7205.8708310177963</v>
      </c>
      <c r="P217" s="84">
        <f>Graph!$D$22*((Graph!$E$18-Z217)/POWER((((Graph!$D$18-$Y217)^2)+((Graph!$E$18-$Z217)^2))+(Graph!$D$23^2),3/2))</f>
        <v>-3439.0688436769919</v>
      </c>
      <c r="Q217">
        <f>Graph!$D$31*((Graph!$D$27-Y217)/POWER((((Graph!$D$27-$Y217)^2)+((Graph!$E$27-$Z217)^2))+(Graph!$D$32^2),3/2))</f>
        <v>-123.69503828215494</v>
      </c>
      <c r="R217">
        <f>Graph!$D$31*((Graph!$E$27-Z217)/POWER((((Graph!$D$27-$Y217)^2)+((Graph!$E$27-$Z217)^2))+(Graph!$D$32^2),3/2))</f>
        <v>-4.4095914701433472</v>
      </c>
      <c r="S217">
        <f>Graph!$D$40*((Graph!$D$36-Y217)/POWER((((Graph!$D$36-$Y217)^2)+((Graph!$E$36-$Z217)^2))+(Graph!$D$41^2),3/2))</f>
        <v>-279.49836142570388</v>
      </c>
      <c r="T217">
        <f>Graph!$D$40*((Graph!$E$36-Z217)/POWER((((Graph!$D$36-$Y217)^2)+((Graph!$E$36-$Z217)^2))+(Graph!$D$41^2),3/2))</f>
        <v>-413.13841289450568</v>
      </c>
      <c r="U217">
        <f>O217+Q217+S217</f>
        <v>-7609.0642307256549</v>
      </c>
      <c r="V217">
        <f>P217+R217+T217</f>
        <v>-3856.6168480416409</v>
      </c>
      <c r="W217">
        <f>W216+(U216*Graph!$D$5)</f>
        <v>-4755.2870127839487</v>
      </c>
      <c r="X217">
        <f>X216+(V216*Graph!$D$5)</f>
        <v>8822.4217674305419</v>
      </c>
      <c r="Y217">
        <f>Y216+(W216*Graph!$D$5)+(U216*Graph!$D$5^2)</f>
        <v>17825.36673146368</v>
      </c>
      <c r="Z217">
        <f>Z216+(X216*Graph!$D$5)+(V216*Graph!$D$5^2)</f>
        <v>11348.432538689542</v>
      </c>
    </row>
    <row r="218" spans="14:26" x14ac:dyDescent="0.35">
      <c r="N218">
        <f>N217+1</f>
        <v>215</v>
      </c>
      <c r="O218">
        <f>Graph!$D$22*((Graph!$D$18-Y218)/POWER((((Graph!$D$18-$Y218)^2)+((Graph!$E$18-$Z218)^2))+(Graph!$D$23^2),(3/2)))</f>
        <v>2146.8770922676013</v>
      </c>
      <c r="P218" s="84">
        <f>Graph!$D$22*((Graph!$E$18-Z218)/POWER((((Graph!$D$18-$Y218)^2)+((Graph!$E$18-$Z218)^2))+(Graph!$D$23^2),3/2))</f>
        <v>-7078.0493370144004</v>
      </c>
      <c r="Q218">
        <f>Graph!$D$31*((Graph!$D$27-Y218)/POWER((((Graph!$D$27-$Y218)^2)+((Graph!$E$27-$Z218)^2))+(Graph!$D$32^2),3/2))</f>
        <v>-152.38204912249384</v>
      </c>
      <c r="R218">
        <f>Graph!$D$31*((Graph!$E$27-Z218)/POWER((((Graph!$D$27-$Y218)^2)+((Graph!$E$27-$Z218)^2))+(Graph!$D$32^2),3/2))</f>
        <v>-21.783768478048096</v>
      </c>
      <c r="S218">
        <f>Graph!$D$40*((Graph!$D$36-Y218)/POWER((((Graph!$D$36-$Y218)^2)+((Graph!$E$36-$Z218)^2))+(Graph!$D$41^2),3/2))</f>
        <v>-195.40133707758636</v>
      </c>
      <c r="T218">
        <f>Graph!$D$40*((Graph!$E$36-Z218)/POWER((((Graph!$D$36-$Y218)^2)+((Graph!$E$36-$Z218)^2))+(Graph!$D$41^2),3/2))</f>
        <v>-429.81778751684345</v>
      </c>
      <c r="U218">
        <f>O218+Q218+S218</f>
        <v>1799.0937060675212</v>
      </c>
      <c r="V218">
        <f>P218+R218+T218</f>
        <v>-7529.6508930092914</v>
      </c>
      <c r="W218">
        <f>W217+(U217*Graph!$D$5)</f>
        <v>-8559.8191281467771</v>
      </c>
      <c r="X218">
        <f>X217+(V217*Graph!$D$5)</f>
        <v>6894.113343409721</v>
      </c>
      <c r="Y218">
        <f>Y217+(W217*Graph!$D$5)+(U217*Graph!$D$5^2)</f>
        <v>13545.457167390292</v>
      </c>
      <c r="Z218">
        <f>Z217+(X217*Graph!$D$5)+(V217*Graph!$D$5^2)</f>
        <v>14795.489210394404</v>
      </c>
    </row>
    <row r="219" spans="14:26" x14ac:dyDescent="0.35">
      <c r="N219">
        <f>N218+1</f>
        <v>216</v>
      </c>
      <c r="O219">
        <f>Graph!$D$22*((Graph!$D$18-Y219)/POWER((((Graph!$D$18-$Y219)^2)+((Graph!$E$18-$Z219)^2))+(Graph!$D$23^2),(3/2)))</f>
        <v>3066.4968867170564</v>
      </c>
      <c r="P219" s="84">
        <f>Graph!$D$22*((Graph!$E$18-Z219)/POWER((((Graph!$D$18-$Y219)^2)+((Graph!$E$18-$Z219)^2))+(Graph!$D$23^2),3/2))</f>
        <v>-3690.5417795126045</v>
      </c>
      <c r="Q219">
        <f>Graph!$D$31*((Graph!$D$27-Y219)/POWER((((Graph!$D$27-$Y219)^2)+((Graph!$E$27-$Z219)^2))+(Graph!$D$32^2),3/2))</f>
        <v>-186.45202837608932</v>
      </c>
      <c r="R219">
        <f>Graph!$D$31*((Graph!$E$27-Z219)/POWER((((Graph!$D$27-$Y219)^2)+((Graph!$E$27-$Z219)^2))+(Graph!$D$32^2),3/2))</f>
        <v>-39.907350387311965</v>
      </c>
      <c r="S219">
        <f>Graph!$D$40*((Graph!$D$36-Y219)/POWER((((Graph!$D$36-$Y219)^2)+((Graph!$E$36-$Z219)^2))+(Graph!$D$41^2),3/2))</f>
        <v>-138.89410560519724</v>
      </c>
      <c r="T219">
        <f>Graph!$D$40*((Graph!$E$36-Z219)/POWER((((Graph!$D$36-$Y219)^2)+((Graph!$E$36-$Z219)^2))+(Graph!$D$41^2),3/2))</f>
        <v>-448.33697552374707</v>
      </c>
      <c r="U219">
        <f>O219+Q219+S219</f>
        <v>2741.1507527357699</v>
      </c>
      <c r="V219">
        <f>P219+R219+T219</f>
        <v>-4178.7861054236637</v>
      </c>
      <c r="W219">
        <f>W218+(U218*Graph!$D$5)</f>
        <v>-7660.2722751130168</v>
      </c>
      <c r="X219">
        <f>X218+(V218*Graph!$D$5)</f>
        <v>3129.2878969050753</v>
      </c>
      <c r="Y219">
        <f>Y218+(W218*Graph!$D$5)+(U218*Graph!$D$5^2)</f>
        <v>9715.3210298337835</v>
      </c>
      <c r="Z219">
        <f>Z218+(X218*Graph!$D$5)+(V218*Graph!$D$5^2)</f>
        <v>16360.133158846942</v>
      </c>
    </row>
    <row r="220" spans="14:26" x14ac:dyDescent="0.35">
      <c r="N220">
        <f>N219+1</f>
        <v>217</v>
      </c>
      <c r="O220">
        <f>Graph!$D$22*((Graph!$D$18-Y220)/POWER((((Graph!$D$18-$Y220)^2)+((Graph!$E$18-$Z220)^2))+(Graph!$D$23^2),(3/2)))</f>
        <v>2570.4695390428169</v>
      </c>
      <c r="P220" s="84">
        <f>Graph!$D$22*((Graph!$E$18-Z220)/POWER((((Graph!$D$18-$Y220)^2)+((Graph!$E$18-$Z220)^2))+(Graph!$D$23^2),3/2))</f>
        <v>-2097.9868359504144</v>
      </c>
      <c r="Q220">
        <f>Graph!$D$31*((Graph!$D$27-Y220)/POWER((((Graph!$D$27-$Y220)^2)+((Graph!$E$27-$Z220)^2))+(Graph!$D$32^2),3/2))</f>
        <v>-225.27342524902841</v>
      </c>
      <c r="R220">
        <f>Graph!$D$31*((Graph!$E$27-Z220)/POWER((((Graph!$D$27-$Y220)^2)+((Graph!$E$27-$Z220)^2))+(Graph!$D$32^2),3/2))</f>
        <v>-58.331642907932718</v>
      </c>
      <c r="S220">
        <f>Graph!$D$40*((Graph!$D$36-Y220)/POWER((((Graph!$D$36-$Y220)^2)+((Graph!$E$36-$Z220)^2))+(Graph!$D$41^2),3/2))</f>
        <v>-96.32621577296058</v>
      </c>
      <c r="T220">
        <f>Graph!$D$40*((Graph!$E$36-Z220)/POWER((((Graph!$D$36-$Y220)^2)+((Graph!$E$36-$Z220)^2))+(Graph!$D$41^2),3/2))</f>
        <v>-467.37696311697835</v>
      </c>
      <c r="U220">
        <f>O220+Q220+S220</f>
        <v>2248.8698980208278</v>
      </c>
      <c r="V220">
        <f>P220+R220+T220</f>
        <v>-2623.6954419753256</v>
      </c>
      <c r="W220">
        <f>W219+(U219*Graph!$D$5)</f>
        <v>-6289.6968987451319</v>
      </c>
      <c r="X220">
        <f>X219+(V219*Graph!$D$5)</f>
        <v>1039.8948441932434</v>
      </c>
      <c r="Y220">
        <f>Y219+(W219*Graph!$D$5)+(U219*Graph!$D$5^2)</f>
        <v>6570.4725804612171</v>
      </c>
      <c r="Z220">
        <f>Z219+(X219*Graph!$D$5)+(V219*Graph!$D$5^2)</f>
        <v>16880.080580943562</v>
      </c>
    </row>
    <row r="221" spans="14:26" x14ac:dyDescent="0.35">
      <c r="N221">
        <f>N220+1</f>
        <v>218</v>
      </c>
      <c r="O221">
        <f>Graph!$D$22*((Graph!$D$18-Y221)/POWER((((Graph!$D$18-$Y221)^2)+((Graph!$E$18-$Z221)^2))+(Graph!$D$23^2),(3/2)))</f>
        <v>2171.5311598282028</v>
      </c>
      <c r="P221" s="84">
        <f>Graph!$D$22*((Graph!$E$18-Z221)/POWER((((Graph!$D$18-$Y221)^2)+((Graph!$E$18-$Z221)^2))+(Graph!$D$23^2),3/2))</f>
        <v>-1329.8966257246279</v>
      </c>
      <c r="Q221">
        <f>Graph!$D$31*((Graph!$D$27-Y221)/POWER((((Graph!$D$27-$Y221)^2)+((Graph!$E$27-$Z221)^2))+(Graph!$D$32^2),3/2))</f>
        <v>-270.41110776984675</v>
      </c>
      <c r="R221">
        <f>Graph!$D$31*((Graph!$E$27-Z221)/POWER((((Graph!$D$27-$Y221)^2)+((Graph!$E$27-$Z221)^2))+(Graph!$D$32^2),3/2))</f>
        <v>-76.025209024053979</v>
      </c>
      <c r="S221">
        <f>Graph!$D$40*((Graph!$D$36-Y221)/POWER((((Graph!$D$36-$Y221)^2)+((Graph!$E$36-$Z221)^2))+(Graph!$D$41^2),3/2))</f>
        <v>-61.493231481942423</v>
      </c>
      <c r="T221">
        <f>Graph!$D$40*((Graph!$E$36-Z221)/POWER((((Graph!$D$36-$Y221)^2)+((Graph!$E$36-$Z221)^2))+(Graph!$D$41^2),3/2))</f>
        <v>-489.49976886902874</v>
      </c>
      <c r="U221">
        <f>O221+Q221+S221</f>
        <v>1839.6268205764136</v>
      </c>
      <c r="V221">
        <f>P221+R221+T221</f>
        <v>-1895.4216036177106</v>
      </c>
      <c r="W221">
        <f>W220+(U220*Graph!$D$5)</f>
        <v>-5165.2619497347177</v>
      </c>
      <c r="X221">
        <f>X220+(V220*Graph!$D$5)</f>
        <v>-271.95287679441935</v>
      </c>
      <c r="Y221">
        <f>Y220+(W220*Graph!$D$5)+(U220*Graph!$D$5^2)</f>
        <v>3987.8416055938583</v>
      </c>
      <c r="Z221">
        <f>Z220+(X220*Graph!$D$5)+(V220*Graph!$D$5^2)</f>
        <v>16744.104142546352</v>
      </c>
    </row>
    <row r="222" spans="14:26" x14ac:dyDescent="0.35">
      <c r="N222">
        <f>N221+1</f>
        <v>219</v>
      </c>
      <c r="O222">
        <f>Graph!$D$22*((Graph!$D$18-Y222)/POWER((((Graph!$D$18-$Y222)^2)+((Graph!$E$18-$Z222)^2))+(Graph!$D$23^2),(3/2)))</f>
        <v>1907.1947697012522</v>
      </c>
      <c r="P222" s="84">
        <f>Graph!$D$22*((Graph!$E$18-Z222)/POWER((((Graph!$D$18-$Y222)^2)+((Graph!$E$18-$Z222)^2))+(Graph!$D$23^2),3/2))</f>
        <v>-890.70091844988849</v>
      </c>
      <c r="Q222">
        <f>Graph!$D$31*((Graph!$D$27-Y222)/POWER((((Graph!$D$27-$Y222)^2)+((Graph!$E$27-$Z222)^2))+(Graph!$D$32^2),3/2))</f>
        <v>-323.6978024905909</v>
      </c>
      <c r="R222">
        <f>Graph!$D$31*((Graph!$E$27-Z222)/POWER((((Graph!$D$27-$Y222)^2)+((Graph!$E$27-$Z222)^2))+(Graph!$D$32^2),3/2))</f>
        <v>-90.813620340452971</v>
      </c>
      <c r="S222">
        <f>Graph!$D$40*((Graph!$D$36-Y222)/POWER((((Graph!$D$36-$Y222)^2)+((Graph!$E$36-$Z222)^2))+(Graph!$D$41^2),3/2))</f>
        <v>-30.983141204497631</v>
      </c>
      <c r="T222">
        <f>Graph!$D$40*((Graph!$E$36-Z222)/POWER((((Graph!$D$36-$Y222)^2)+((Graph!$E$36-$Z222)^2))+(Graph!$D$41^2),3/2))</f>
        <v>-517.19939358154932</v>
      </c>
      <c r="U222">
        <f>O222+Q222+S222</f>
        <v>1552.5138260061638</v>
      </c>
      <c r="V222">
        <f>P222+R222+T222</f>
        <v>-1498.7139323718907</v>
      </c>
      <c r="W222">
        <f>W221+(U221*Graph!$D$5)</f>
        <v>-4245.4485394465109</v>
      </c>
      <c r="X222">
        <f>X221+(V221*Graph!$D$5)</f>
        <v>-1219.6636786032745</v>
      </c>
      <c r="Y222">
        <f>Y221+(W221*Graph!$D$5)+(U221*Graph!$D$5^2)</f>
        <v>1865.1173358706028</v>
      </c>
      <c r="Z222">
        <f>Z221+(X221*Graph!$D$5)+(V221*Graph!$D$5^2)</f>
        <v>16134.272303244714</v>
      </c>
    </row>
    <row r="223" spans="14:26" x14ac:dyDescent="0.35">
      <c r="N223">
        <f>N222+1</f>
        <v>220</v>
      </c>
      <c r="O223">
        <f>Graph!$D$22*((Graph!$D$18-Y223)/POWER((((Graph!$D$18-$Y223)^2)+((Graph!$E$18-$Z223)^2))+(Graph!$D$23^2),(3/2)))</f>
        <v>1729.6345466021919</v>
      </c>
      <c r="P223" s="84">
        <f>Graph!$D$22*((Graph!$E$18-Z223)/POWER((((Graph!$D$18-$Y223)^2)+((Graph!$E$18-$Z223)^2))+(Graph!$D$23^2),3/2))</f>
        <v>-599.02613547772717</v>
      </c>
      <c r="Q223">
        <f>Graph!$D$31*((Graph!$D$27-Y223)/POWER((((Graph!$D$27-$Y223)^2)+((Graph!$E$27-$Z223)^2))+(Graph!$D$32^2),3/2))</f>
        <v>-386.42183301548152</v>
      </c>
      <c r="R223">
        <f>Graph!$D$31*((Graph!$E$27-Z223)/POWER((((Graph!$D$27-$Y223)^2)+((Graph!$E$27-$Z223)^2))+(Graph!$D$32^2),3/2))</f>
        <v>-98.853895165835795</v>
      </c>
      <c r="S223">
        <f>Graph!$D$40*((Graph!$D$36-Y223)/POWER((((Graph!$D$36-$Y223)^2)+((Graph!$E$36-$Z223)^2))+(Graph!$D$41^2),3/2))</f>
        <v>-2.3941032433861409</v>
      </c>
      <c r="T223">
        <f>Graph!$D$40*((Graph!$E$36-Z223)/POWER((((Graph!$D$36-$Y223)^2)+((Graph!$E$36-$Z223)^2))+(Graph!$D$41^2),3/2))</f>
        <v>-553.02483054727236</v>
      </c>
      <c r="U223">
        <f>O223+Q223+S223</f>
        <v>1340.8186103433243</v>
      </c>
      <c r="V223">
        <f>P223+R223+T223</f>
        <v>-1250.9048611908352</v>
      </c>
      <c r="W223">
        <f>W222+(U222*Graph!$D$5)</f>
        <v>-3469.191626443429</v>
      </c>
      <c r="X223">
        <f>X222+(V222*Graph!$D$5)</f>
        <v>-1969.0206447892199</v>
      </c>
      <c r="Y223">
        <f>Y222+(W222*Graph!$D$5)+(U222*Graph!$D$5^2)</f>
        <v>130.52152264888826</v>
      </c>
      <c r="Z223">
        <f>Z222+(X222*Graph!$D$5)+(V222*Graph!$D$5^2)</f>
        <v>15149.761980850104</v>
      </c>
    </row>
    <row r="224" spans="14:26" x14ac:dyDescent="0.35">
      <c r="N224">
        <f>N223+1</f>
        <v>221</v>
      </c>
      <c r="O224">
        <f>Graph!$D$22*((Graph!$D$18-Y224)/POWER((((Graph!$D$18-$Y224)^2)+((Graph!$E$18-$Z224)^2))+(Graph!$D$23^2),(3/2)))</f>
        <v>1603.0106036843529</v>
      </c>
      <c r="P224" s="84">
        <f>Graph!$D$22*((Graph!$E$18-Z224)/POWER((((Graph!$D$18-$Y224)^2)+((Graph!$E$18-$Z224)^2))+(Graph!$D$23^2),3/2))</f>
        <v>-379.59853842124858</v>
      </c>
      <c r="Q224">
        <f>Graph!$D$31*((Graph!$D$27-Y224)/POWER((((Graph!$D$27-$Y224)^2)+((Graph!$E$27-$Z224)^2))+(Graph!$D$32^2),3/2))</f>
        <v>-457.83610235819401</v>
      </c>
      <c r="R224">
        <f>Graph!$D$31*((Graph!$E$27-Z224)/POWER((((Graph!$D$27-$Y224)^2)+((Graph!$E$27-$Z224)^2))+(Graph!$D$32^2),3/2))</f>
        <v>-94.165445386477927</v>
      </c>
      <c r="S224">
        <f>Graph!$D$40*((Graph!$D$36-Y224)/POWER((((Graph!$D$36-$Y224)^2)+((Graph!$E$36-$Z224)^2))+(Graph!$D$41^2),3/2))</f>
        <v>26.385573531733492</v>
      </c>
      <c r="T224">
        <f>Graph!$D$40*((Graph!$E$36-Z224)/POWER((((Graph!$D$36-$Y224)^2)+((Graph!$E$36-$Z224)^2))+(Graph!$D$41^2),3/2))</f>
        <v>-599.97529207523985</v>
      </c>
      <c r="U224">
        <f>O224+Q224+S224</f>
        <v>1171.5600748578925</v>
      </c>
      <c r="V224">
        <f>P224+R224+T224</f>
        <v>-1073.7392758829665</v>
      </c>
      <c r="W224">
        <f>W223+(U223*Graph!$D$5)</f>
        <v>-2798.7823212717667</v>
      </c>
      <c r="X224">
        <f>X223+(V223*Graph!$D$5)</f>
        <v>-2594.4730753846375</v>
      </c>
      <c r="Y224">
        <f>Y223+(W223*Graph!$D$5)+(U223*Graph!$D$5^2)</f>
        <v>-1268.869637986995</v>
      </c>
      <c r="Z224">
        <f>Z223+(X223*Graph!$D$5)+(V223*Graph!$D$5^2)</f>
        <v>13852.525443157785</v>
      </c>
    </row>
    <row r="225" spans="14:26" x14ac:dyDescent="0.35">
      <c r="N225">
        <f>N224+1</f>
        <v>222</v>
      </c>
      <c r="O225">
        <f>Graph!$D$22*((Graph!$D$18-Y225)/POWER((((Graph!$D$18-$Y225)^2)+((Graph!$E$18-$Z225)^2))+(Graph!$D$23^2),(3/2)))</f>
        <v>1503.0182235723869</v>
      </c>
      <c r="P225" s="84">
        <f>Graph!$D$22*((Graph!$E$18-Z225)/POWER((((Graph!$D$18-$Y225)^2)+((Graph!$E$18-$Z225)^2))+(Graph!$D$23^2),3/2))</f>
        <v>-197.81928168272873</v>
      </c>
      <c r="Q225">
        <f>Graph!$D$31*((Graph!$D$27-Y225)/POWER((((Graph!$D$27-$Y225)^2)+((Graph!$E$27-$Z225)^2))+(Graph!$D$32^2),3/2))</f>
        <v>-532.5850580332957</v>
      </c>
      <c r="R225">
        <f>Graph!$D$31*((Graph!$E$27-Z225)/POWER((((Graph!$D$27-$Y225)^2)+((Graph!$E$27-$Z225)^2))+(Graph!$D$32^2),3/2))</f>
        <v>-69.104677389811357</v>
      </c>
      <c r="S225">
        <f>Graph!$D$40*((Graph!$D$36-Y225)/POWER((((Graph!$D$36-$Y225)^2)+((Graph!$E$36-$Z225)^2))+(Graph!$D$41^2),3/2))</f>
        <v>57.623144677885989</v>
      </c>
      <c r="T225">
        <f>Graph!$D$40*((Graph!$E$36-Z225)/POWER((((Graph!$D$36-$Y225)^2)+((Graph!$E$36-$Z225)^2))+(Graph!$D$41^2),3/2))</f>
        <v>-661.94059223506997</v>
      </c>
      <c r="U225">
        <f>O225+Q225+S225</f>
        <v>1028.0563102169772</v>
      </c>
      <c r="V225">
        <f>P225+R225+T225</f>
        <v>-928.8645513076101</v>
      </c>
      <c r="W225">
        <f>W224+(U224*Graph!$D$5)</f>
        <v>-2213.0022838428204</v>
      </c>
      <c r="X225">
        <f>X224+(V224*Graph!$D$5)</f>
        <v>-3131.3427133261207</v>
      </c>
      <c r="Y225">
        <f>Y224+(W224*Graph!$D$5)+(U224*Graph!$D$5^2)</f>
        <v>-2375.3707799084054</v>
      </c>
      <c r="Z225">
        <f>Z224+(X224*Graph!$D$5)+(V224*Graph!$D$5^2)</f>
        <v>12286.854086494724</v>
      </c>
    </row>
    <row r="226" spans="14:26" x14ac:dyDescent="0.35">
      <c r="N226">
        <f>N225+1</f>
        <v>223</v>
      </c>
      <c r="O226">
        <f>Graph!$D$22*((Graph!$D$18-Y226)/POWER((((Graph!$D$18-$Y226)^2)+((Graph!$E$18-$Z226)^2))+(Graph!$D$23^2),(3/2)))</f>
        <v>1412.4046686783397</v>
      </c>
      <c r="P226" s="84">
        <f>Graph!$D$22*((Graph!$E$18-Z226)/POWER((((Graph!$D$18-$Y226)^2)+((Graph!$E$18-$Z226)^2))+(Graph!$D$23^2),3/2))</f>
        <v>-37.894325611553931</v>
      </c>
      <c r="Q226">
        <f>Graph!$D$31*((Graph!$D$27-Y226)/POWER((((Graph!$D$27-$Y226)^2)+((Graph!$E$27-$Z226)^2))+(Graph!$D$32^2),3/2))</f>
        <v>-597.95954381885508</v>
      </c>
      <c r="R226">
        <f>Graph!$D$31*((Graph!$E$27-Z226)/POWER((((Graph!$D$27-$Y226)^2)+((Graph!$E$27-$Z226)^2))+(Graph!$D$32^2),3/2))</f>
        <v>-17.429494044439629</v>
      </c>
      <c r="S226">
        <f>Graph!$D$40*((Graph!$D$36-Y226)/POWER((((Graph!$D$36-$Y226)^2)+((Graph!$E$36-$Z226)^2))+(Graph!$D$41^2),3/2))</f>
        <v>94.165211843394459</v>
      </c>
      <c r="T226">
        <f>Graph!$D$40*((Graph!$E$36-Z226)/POWER((((Graph!$D$36-$Y226)^2)+((Graph!$E$36-$Z226)^2))+(Graph!$D$41^2),3/2))</f>
        <v>-744.27278804424463</v>
      </c>
      <c r="U226">
        <f>O226+Q226+S226</f>
        <v>908.61033670287907</v>
      </c>
      <c r="V226">
        <f>P226+R226+T226</f>
        <v>-799.59660770023822</v>
      </c>
      <c r="W226">
        <f>W225+(U225*Graph!$D$5)</f>
        <v>-1698.9741287343318</v>
      </c>
      <c r="X226">
        <f>X225+(V225*Graph!$D$5)</f>
        <v>-3595.7749889799256</v>
      </c>
      <c r="Y226">
        <f>Y225+(W225*Graph!$D$5)+(U225*Graph!$D$5^2)</f>
        <v>-3224.8578442755716</v>
      </c>
      <c r="Z226">
        <f>Z225+(X225*Graph!$D$5)+(V225*Graph!$D$5^2)</f>
        <v>10488.966592004761</v>
      </c>
    </row>
    <row r="227" spans="14:26" x14ac:dyDescent="0.35">
      <c r="N227">
        <f>N226+1</f>
        <v>224</v>
      </c>
      <c r="O227">
        <f>Graph!$D$22*((Graph!$D$18-Y227)/POWER((((Graph!$D$18-$Y227)^2)+((Graph!$E$18-$Z227)^2))+(Graph!$D$23^2),(3/2)))</f>
        <v>1319.1971751676374</v>
      </c>
      <c r="P227" s="84">
        <f>Graph!$D$22*((Graph!$E$18-Z227)/POWER((((Graph!$D$18-$Y227)^2)+((Graph!$E$18-$Z227)^2))+(Graph!$D$23^2),3/2))</f>
        <v>105.60889491377257</v>
      </c>
      <c r="Q227">
        <f>Graph!$D$31*((Graph!$D$27-Y227)/POWER((((Graph!$D$27-$Y227)^2)+((Graph!$E$27-$Z227)^2))+(Graph!$D$32^2),3/2))</f>
        <v>-634.60118633139177</v>
      </c>
      <c r="R227">
        <f>Graph!$D$31*((Graph!$E$27-Z227)/POWER((((Graph!$D$27-$Y227)^2)+((Graph!$E$27-$Z227)^2))+(Graph!$D$32^2),3/2))</f>
        <v>59.277558163445001</v>
      </c>
      <c r="S227">
        <f>Graph!$D$40*((Graph!$D$36-Y227)/POWER((((Graph!$D$36-$Y227)^2)+((Graph!$E$36-$Z227)^2))+(Graph!$D$41^2),3/2))</f>
        <v>139.97812271421154</v>
      </c>
      <c r="T227">
        <f>Graph!$D$40*((Graph!$E$36-Z227)/POWER((((Graph!$D$36-$Y227)^2)+((Graph!$E$36-$Z227)^2))+(Graph!$D$41^2),3/2))</f>
        <v>-854.714553315432</v>
      </c>
      <c r="U227">
        <f>O227+Q227+S227</f>
        <v>824.57411155045713</v>
      </c>
      <c r="V227">
        <f>P227+R227+T227</f>
        <v>-689.82810023821446</v>
      </c>
      <c r="W227">
        <f>W226+(U226*Graph!$D$5)</f>
        <v>-1244.6689603828922</v>
      </c>
      <c r="X227">
        <f>X226+(V226*Graph!$D$5)</f>
        <v>-3995.5732928300449</v>
      </c>
      <c r="Y227">
        <f>Y226+(W226*Graph!$D$5)+(U226*Graph!$D$5^2)</f>
        <v>-3847.1923244670174</v>
      </c>
      <c r="Z227">
        <f>Z226+(X226*Graph!$D$5)+(V226*Graph!$D$5^2)</f>
        <v>8491.1799455897381</v>
      </c>
    </row>
    <row r="228" spans="14:26" x14ac:dyDescent="0.35">
      <c r="N228">
        <f>N227+1</f>
        <v>225</v>
      </c>
      <c r="O228">
        <f>Graph!$D$22*((Graph!$D$18-Y228)/POWER((((Graph!$D$18-$Y228)^2)+((Graph!$E$18-$Z228)^2))+(Graph!$D$23^2),(3/2)))</f>
        <v>1216.661828664937</v>
      </c>
      <c r="P228" s="84">
        <f>Graph!$D$22*((Graph!$E$18-Z228)/POWER((((Graph!$D$18-$Y228)^2)+((Graph!$E$18-$Z228)^2))+(Graph!$D$23^2),3/2))</f>
        <v>232.36709440898548</v>
      </c>
      <c r="Q228">
        <f>Graph!$D$31*((Graph!$D$27-Y228)/POWER((((Graph!$D$27-$Y228)^2)+((Graph!$E$27-$Z228)^2))+(Graph!$D$32^2),3/2))</f>
        <v>-625.09054357667355</v>
      </c>
      <c r="R228">
        <f>Graph!$D$31*((Graph!$E$27-Z228)/POWER((((Graph!$D$27-$Y228)^2)+((Graph!$E$27-$Z228)^2))+(Graph!$D$32^2),3/2))</f>
        <v>146.13992224083776</v>
      </c>
      <c r="S228">
        <f>Graph!$D$40*((Graph!$D$36-Y228)/POWER((((Graph!$D$36-$Y228)^2)+((Graph!$E$36-$Z228)^2))+(Graph!$D$41^2),3/2))</f>
        <v>201.0132248945385</v>
      </c>
      <c r="T228">
        <f>Graph!$D$40*((Graph!$E$36-Z228)/POWER((((Graph!$D$36-$Y228)^2)+((Graph!$E$36-$Z228)^2))+(Graph!$D$41^2),3/2))</f>
        <v>-1005.2556573043927</v>
      </c>
      <c r="U228">
        <f>O228+Q228+S228</f>
        <v>792.58450998280205</v>
      </c>
      <c r="V228">
        <f>P228+R228+T228</f>
        <v>-626.7486406545695</v>
      </c>
      <c r="W228">
        <f>W227+(U227*Graph!$D$5)</f>
        <v>-832.38190460766373</v>
      </c>
      <c r="X228">
        <f>X227+(V227*Graph!$D$5)</f>
        <v>-4340.4873429491518</v>
      </c>
      <c r="Y228">
        <f>Y227+(W227*Graph!$D$5)+(U227*Graph!$D$5^2)</f>
        <v>-4263.3832767708491</v>
      </c>
      <c r="Z228">
        <f>Z227+(X227*Graph!$D$5)+(V227*Graph!$D$5^2)</f>
        <v>6320.9362741151617</v>
      </c>
    </row>
    <row r="229" spans="14:26" x14ac:dyDescent="0.35">
      <c r="N229">
        <f>N228+1</f>
        <v>226</v>
      </c>
      <c r="O229">
        <f>Graph!$D$22*((Graph!$D$18-Y229)/POWER((((Graph!$D$18-$Y229)^2)+((Graph!$E$18-$Z229)^2))+(Graph!$D$23^2),(3/2)))</f>
        <v>1102.9494619522627</v>
      </c>
      <c r="P229" s="84">
        <f>Graph!$D$22*((Graph!$E$18-Z229)/POWER((((Graph!$D$18-$Y229)^2)+((Graph!$E$18-$Z229)^2))+(Graph!$D$23^2),3/2))</f>
        <v>340.03197461542197</v>
      </c>
      <c r="Q229">
        <f>Graph!$D$31*((Graph!$D$27-Y229)/POWER((((Graph!$D$27-$Y229)^2)+((Graph!$E$27-$Z229)^2))+(Graph!$D$32^2),3/2))</f>
        <v>-566.84472041345703</v>
      </c>
      <c r="R229">
        <f>Graph!$D$31*((Graph!$E$27-Z229)/POWER((((Graph!$D$27-$Y229)^2)+((Graph!$E$27-$Z229)^2))+(Graph!$D$32^2),3/2))</f>
        <v>219.38012905106933</v>
      </c>
      <c r="S229">
        <f>Graph!$D$40*((Graph!$D$36-Y229)/POWER((((Graph!$D$36-$Y229)^2)+((Graph!$E$36-$Z229)^2))+(Graph!$D$41^2),3/2))</f>
        <v>286.98420664234919</v>
      </c>
      <c r="T229">
        <f>Graph!$D$40*((Graph!$E$36-Z229)/POWER((((Graph!$D$36-$Y229)^2)+((Graph!$E$36-$Z229)^2))+(Graph!$D$41^2),3/2))</f>
        <v>-1216.3487752819503</v>
      </c>
      <c r="U229">
        <f>O229+Q229+S229</f>
        <v>823.08894818115482</v>
      </c>
      <c r="V229">
        <f>P229+R229+T229</f>
        <v>-656.93667161545909</v>
      </c>
      <c r="W229">
        <f>W228+(U228*Graph!$D$5)</f>
        <v>-436.0896496162627</v>
      </c>
      <c r="X229">
        <f>X228+(V228*Graph!$D$5)</f>
        <v>-4653.861663276437</v>
      </c>
      <c r="Y229">
        <f>Y228+(W228*Graph!$D$5)+(U228*Graph!$D$5^2)</f>
        <v>-4481.4281015789802</v>
      </c>
      <c r="Z229">
        <f>Z228+(X228*Graph!$D$5)+(V228*Graph!$D$5^2)</f>
        <v>3994.0054424769432</v>
      </c>
    </row>
    <row r="230" spans="14:26" x14ac:dyDescent="0.35">
      <c r="N230">
        <f>N229+1</f>
        <v>227</v>
      </c>
      <c r="O230">
        <f>Graph!$D$22*((Graph!$D$18-Y230)/POWER((((Graph!$D$18-$Y230)^2)+((Graph!$E$18-$Z230)^2))+(Graph!$D$23^2),(3/2)))</f>
        <v>979.11556292483988</v>
      </c>
      <c r="P230" s="84">
        <f>Graph!$D$22*((Graph!$E$18-Z230)/POWER((((Graph!$D$18-$Y230)^2)+((Graph!$E$18-$Z230)^2))+(Graph!$D$23^2),3/2))</f>
        <v>426.78921234934182</v>
      </c>
      <c r="Q230">
        <f>Graph!$D$31*((Graph!$D$27-Y230)/POWER((((Graph!$D$27-$Y230)^2)+((Graph!$E$27-$Z230)^2))+(Graph!$D$32^2),3/2))</f>
        <v>-475.53476811449917</v>
      </c>
      <c r="R230">
        <f>Graph!$D$31*((Graph!$E$27-Z230)/POWER((((Graph!$D$27-$Y230)^2)+((Graph!$E$27-$Z230)^2))+(Graph!$D$32^2),3/2))</f>
        <v>260.58408383898023</v>
      </c>
      <c r="S230">
        <f>Graph!$D$40*((Graph!$D$36-Y230)/POWER((((Graph!$D$36-$Y230)^2)+((Graph!$E$36-$Z230)^2))+(Graph!$D$41^2),3/2))</f>
        <v>415.82546003307863</v>
      </c>
      <c r="T230">
        <f>Graph!$D$40*((Graph!$E$36-Z230)/POWER((((Graph!$D$36-$Y230)^2)+((Graph!$E$36-$Z230)^2))+(Graph!$D$41^2),3/2))</f>
        <v>-1527.0935234542694</v>
      </c>
      <c r="U230">
        <f>O230+Q230+S230</f>
        <v>919.40625484341933</v>
      </c>
      <c r="V230">
        <f>P230+R230+T230</f>
        <v>-839.72022726594741</v>
      </c>
      <c r="W230">
        <f>W229+(U229*Graph!$D$5)</f>
        <v>-24.545175525685295</v>
      </c>
      <c r="X230">
        <f>X229+(V229*Graph!$D$5)</f>
        <v>-4982.329999084166</v>
      </c>
      <c r="Y230">
        <f>Y229+(W229*Graph!$D$5)+(U229*Graph!$D$5^2)</f>
        <v>-4493.7006893418229</v>
      </c>
      <c r="Z230">
        <f>Z229+(X229*Graph!$D$5)+(V229*Graph!$D$5^2)</f>
        <v>1502.84044293486</v>
      </c>
    </row>
    <row r="231" spans="14:26" x14ac:dyDescent="0.35">
      <c r="N231">
        <f>N230+1</f>
        <v>228</v>
      </c>
      <c r="O231">
        <f>Graph!$D$22*((Graph!$D$18-Y231)/POWER((((Graph!$D$18-$Y231)^2)+((Graph!$E$18-$Z231)^2))+(Graph!$D$23^2),(3/2)))</f>
        <v>846.35048831424842</v>
      </c>
      <c r="P231" s="84">
        <f>Graph!$D$22*((Graph!$E$18-Z231)/POWER((((Graph!$D$18-$Y231)^2)+((Graph!$E$18-$Z231)^2))+(Graph!$D$23^2),3/2))</f>
        <v>491.6781706017656</v>
      </c>
      <c r="Q231">
        <f>Graph!$D$31*((Graph!$D$27-Y231)/POWER((((Graph!$D$27-$Y231)^2)+((Graph!$E$27-$Z231)^2))+(Graph!$D$32^2),3/2))</f>
        <v>-373.97739367130538</v>
      </c>
      <c r="R231">
        <f>Graph!$D$31*((Graph!$E$27-Z231)/POWER((((Graph!$D$27-$Y231)^2)+((Graph!$E$27-$Z231)^2))+(Graph!$D$32^2),3/2))</f>
        <v>266.33976666959927</v>
      </c>
      <c r="S231">
        <f>Graph!$D$40*((Graph!$D$36-Y231)/POWER((((Graph!$D$36-$Y231)^2)+((Graph!$E$36-$Z231)^2))+(Graph!$D$41^2),3/2))</f>
        <v>626.4062196457237</v>
      </c>
      <c r="T231">
        <f>Graph!$D$40*((Graph!$E$36-Z231)/POWER((((Graph!$D$36-$Y231)^2)+((Graph!$E$36-$Z231)^2))+(Graph!$D$41^2),3/2))</f>
        <v>-2021.8084824476211</v>
      </c>
      <c r="U231">
        <f>O231+Q231+S231</f>
        <v>1098.7793142886667</v>
      </c>
      <c r="V231">
        <f>P231+R231+T231</f>
        <v>-1263.7905451762563</v>
      </c>
      <c r="W231">
        <f>W230+(U230*Graph!$D$5)</f>
        <v>435.15795189602437</v>
      </c>
      <c r="X231">
        <f>X230+(V230*Graph!$D$5)</f>
        <v>-5402.1901127171395</v>
      </c>
      <c r="Y231">
        <f>Y230+(W230*Graph!$D$5)+(U230*Graph!$D$5^2)</f>
        <v>-4276.1217133938108</v>
      </c>
      <c r="Z231">
        <f>Z230+(X230*Graph!$D$5)+(V230*Graph!$D$5^2)</f>
        <v>-1198.25461342371</v>
      </c>
    </row>
    <row r="232" spans="14:26" x14ac:dyDescent="0.35">
      <c r="N232">
        <f>N231+1</f>
        <v>229</v>
      </c>
      <c r="O232">
        <f>Graph!$D$22*((Graph!$D$18-Y232)/POWER((((Graph!$D$18-$Y232)^2)+((Graph!$E$18-$Z232)^2))+(Graph!$D$23^2),(3/2)))</f>
        <v>704.27936270979001</v>
      </c>
      <c r="P232" s="84">
        <f>Graph!$D$22*((Graph!$E$18-Z232)/POWER((((Graph!$D$18-$Y232)^2)+((Graph!$E$18-$Z232)^2))+(Graph!$D$23^2),3/2))</f>
        <v>532.98666897340638</v>
      </c>
      <c r="Q232">
        <f>Graph!$D$31*((Graph!$D$27-Y232)/POWER((((Graph!$D$27-$Y232)^2)+((Graph!$E$27-$Z232)^2))+(Graph!$D$32^2),3/2))</f>
        <v>-279.29902193988215</v>
      </c>
      <c r="R232">
        <f>Graph!$D$31*((Graph!$E$27-Z232)/POWER((((Graph!$D$27-$Y232)^2)+((Graph!$E$27-$Z232)^2))+(Graph!$D$32^2),3/2))</f>
        <v>244.83728395371676</v>
      </c>
      <c r="S232">
        <f>Graph!$D$40*((Graph!$D$36-Y232)/POWER((((Graph!$D$36-$Y232)^2)+((Graph!$E$36-$Z232)^2))+(Graph!$D$41^2),3/2))</f>
        <v>1020.4777680802292</v>
      </c>
      <c r="T232">
        <f>Graph!$D$40*((Graph!$E$36-Z232)/POWER((((Graph!$D$36-$Y232)^2)+((Graph!$E$36-$Z232)^2))+(Graph!$D$41^2),3/2))</f>
        <v>-2908.560174602831</v>
      </c>
      <c r="U232">
        <f>O232+Q232+S232</f>
        <v>1445.458108850137</v>
      </c>
      <c r="V232">
        <f>P232+R232+T232</f>
        <v>-2130.7362216757078</v>
      </c>
      <c r="W232">
        <f>W231+(U231*Graph!$D$5)</f>
        <v>984.54760904035766</v>
      </c>
      <c r="X232">
        <f>X231+(V231*Graph!$D$5)</f>
        <v>-6034.0853853052677</v>
      </c>
      <c r="Y232">
        <f>Y231+(W231*Graph!$D$5)+(U231*Graph!$D$5^2)</f>
        <v>-3783.8479088736322</v>
      </c>
      <c r="Z232">
        <f>Z231+(X231*Graph!$D$5)+(V231*Graph!$D$5^2)</f>
        <v>-4215.2973060763434</v>
      </c>
    </row>
    <row r="233" spans="14:26" x14ac:dyDescent="0.35">
      <c r="N233">
        <f>N232+1</f>
        <v>230</v>
      </c>
      <c r="O233">
        <f>Graph!$D$22*((Graph!$D$18-Y233)/POWER((((Graph!$D$18-$Y233)^2)+((Graph!$E$18-$Z233)^2))+(Graph!$D$23^2),(3/2)))</f>
        <v>551.0740061723609</v>
      </c>
      <c r="P233" s="84">
        <f>Graph!$D$22*((Graph!$E$18-Z233)/POWER((((Graph!$D$18-$Y233)^2)+((Graph!$E$18-$Z233)^2))+(Graph!$D$23^2),3/2))</f>
        <v>545.99713032627551</v>
      </c>
      <c r="Q233">
        <f>Graph!$D$31*((Graph!$D$27-Y233)/POWER((((Graph!$D$27-$Y233)^2)+((Graph!$E$27-$Z233)^2))+(Graph!$D$32^2),3/2))</f>
        <v>-198.95252029024681</v>
      </c>
      <c r="R233">
        <f>Graph!$D$31*((Graph!$E$27-Z233)/POWER((((Graph!$D$27-$Y233)^2)+((Graph!$E$27-$Z233)^2))+(Graph!$D$32^2),3/2))</f>
        <v>207.05563577725485</v>
      </c>
      <c r="S233">
        <f>Graph!$D$40*((Graph!$D$36-Y233)/POWER((((Graph!$D$36-$Y233)^2)+((Graph!$E$36-$Z233)^2))+(Graph!$D$41^2),3/2))</f>
        <v>1926.071780854154</v>
      </c>
      <c r="T233">
        <f>Graph!$D$40*((Graph!$E$36-Z233)/POWER((((Graph!$D$36-$Y233)^2)+((Graph!$E$36-$Z233)^2))+(Graph!$D$41^2),3/2))</f>
        <v>-4755.6608623404782</v>
      </c>
      <c r="U233">
        <f>O233+Q233+S233</f>
        <v>2278.193266736268</v>
      </c>
      <c r="V233">
        <f>P233+R233+T233</f>
        <v>-4002.6080962369479</v>
      </c>
      <c r="W233">
        <f>W232+(U232*Graph!$D$5)</f>
        <v>1707.2766634654263</v>
      </c>
      <c r="X233">
        <f>X232+(V232*Graph!$D$5)</f>
        <v>-7099.4534961431218</v>
      </c>
      <c r="Y233">
        <f>Y232+(W232*Graph!$D$5)+(U232*Graph!$D$5^2)</f>
        <v>-2930.2095771409195</v>
      </c>
      <c r="Z233">
        <f>Z232+(X232*Graph!$D$5)+(V232*Graph!$D$5^2)</f>
        <v>-7765.0240541479043</v>
      </c>
    </row>
    <row r="234" spans="14:26" x14ac:dyDescent="0.35">
      <c r="N234">
        <f>N233+1</f>
        <v>231</v>
      </c>
      <c r="O234">
        <f>Graph!$D$22*((Graph!$D$18-Y234)/POWER((((Graph!$D$18-$Y234)^2)+((Graph!$E$18-$Z234)^2))+(Graph!$D$23^2),(3/2)))</f>
        <v>385.24824538137068</v>
      </c>
      <c r="P234" s="84">
        <f>Graph!$D$22*((Graph!$E$18-Z234)/POWER((((Graph!$D$18-$Y234)^2)+((Graph!$E$18-$Z234)^2))+(Graph!$D$23^2),3/2))</f>
        <v>520.80679968297773</v>
      </c>
      <c r="Q234">
        <f>Graph!$D$31*((Graph!$D$27-Y234)/POWER((((Graph!$D$27-$Y234)^2)+((Graph!$E$27-$Z234)^2))+(Graph!$D$32^2),3/2))</f>
        <v>-133.49775879113258</v>
      </c>
      <c r="R234">
        <f>Graph!$D$31*((Graph!$E$27-Z234)/POWER((((Graph!$D$27-$Y234)^2)+((Graph!$E$27-$Z234)^2))+(Graph!$D$32^2),3/2))</f>
        <v>161.09122140516351</v>
      </c>
      <c r="S234">
        <f>Graph!$D$40*((Graph!$D$36-Y234)/POWER((((Graph!$D$36-$Y234)^2)+((Graph!$E$36-$Z234)^2))+(Graph!$D$41^2),3/2))</f>
        <v>3897.6423146927896</v>
      </c>
      <c r="T234">
        <f>Graph!$D$40*((Graph!$E$36-Z234)/POWER((((Graph!$D$36-$Y234)^2)+((Graph!$E$36-$Z234)^2))+(Graph!$D$41^2),3/2))</f>
        <v>-6943.2251777744295</v>
      </c>
      <c r="U234">
        <f>O234+Q234+S234</f>
        <v>4149.3928012830274</v>
      </c>
      <c r="V234">
        <f>P234+R234+T234</f>
        <v>-6261.3271566862886</v>
      </c>
      <c r="W234">
        <f>W233+(U233*Graph!$D$5)</f>
        <v>2846.3732968335603</v>
      </c>
      <c r="X234">
        <f>X233+(V233*Graph!$D$5)</f>
        <v>-9100.7575442615962</v>
      </c>
      <c r="Y234">
        <f>Y233+(W233*Graph!$D$5)+(U233*Graph!$D$5^2)</f>
        <v>-1507.0229287241393</v>
      </c>
      <c r="Z234">
        <f>Z233+(X233*Graph!$D$5)+(V233*Graph!$D$5^2)</f>
        <v>-12315.402826278701</v>
      </c>
    </row>
    <row r="235" spans="14:26" x14ac:dyDescent="0.35">
      <c r="N235">
        <f>N234+1</f>
        <v>232</v>
      </c>
      <c r="O235">
        <f>Graph!$D$22*((Graph!$D$18-Y235)/POWER((((Graph!$D$18-$Y235)^2)+((Graph!$E$18-$Z235)^2))+(Graph!$D$23^2),(3/2)))</f>
        <v>222.28539077764691</v>
      </c>
      <c r="P235" s="84">
        <f>Graph!$D$22*((Graph!$E$18-Z235)/POWER((((Graph!$D$18-$Y235)^2)+((Graph!$E$18-$Z235)^2))+(Graph!$D$23^2),3/2))</f>
        <v>449.92179636748568</v>
      </c>
      <c r="Q235">
        <f>Graph!$D$31*((Graph!$D$27-Y235)/POWER((((Graph!$D$27-$Y235)^2)+((Graph!$E$27-$Z235)^2))+(Graph!$D$32^2),3/2))</f>
        <v>-84.175590960144504</v>
      </c>
      <c r="R235">
        <f>Graph!$D$31*((Graph!$E$27-Z235)/POWER((((Graph!$D$27-$Y235)^2)+((Graph!$E$27-$Z235)^2))+(Graph!$D$32^2),3/2))</f>
        <v>114.21501942920995</v>
      </c>
      <c r="S235">
        <f>Graph!$D$40*((Graph!$D$36-Y235)/POWER((((Graph!$D$36-$Y235)^2)+((Graph!$E$36-$Z235)^2))+(Graph!$D$41^2),3/2))</f>
        <v>-2158.3834461749643</v>
      </c>
      <c r="T235">
        <f>Graph!$D$40*((Graph!$E$36-Z235)/POWER((((Graph!$D$36-$Y235)^2)+((Graph!$E$36-$Z235)^2))+(Graph!$D$41^2),3/2))</f>
        <v>7766.7181524067682</v>
      </c>
      <c r="U235">
        <f>O235+Q235+S235</f>
        <v>-2020.273646357462</v>
      </c>
      <c r="V235">
        <f>P235+R235+T235</f>
        <v>8330.8549682034645</v>
      </c>
      <c r="W235">
        <f>W234+(U234*Graph!$D$5)</f>
        <v>4921.0696974750736</v>
      </c>
      <c r="X235">
        <f>X234+(V234*Graph!$D$5)</f>
        <v>-12231.421122604741</v>
      </c>
      <c r="Y235">
        <f>Y234+(W234*Graph!$D$5)+(U234*Graph!$D$5^2)</f>
        <v>953.51192001339768</v>
      </c>
      <c r="Z235">
        <f>Z234+(X234*Graph!$D$5)+(V234*Graph!$D$5^2)</f>
        <v>-18431.11338758107</v>
      </c>
    </row>
    <row r="236" spans="14:26" x14ac:dyDescent="0.35">
      <c r="N236">
        <f>N235+1</f>
        <v>233</v>
      </c>
      <c r="O236">
        <f>Graph!$D$22*((Graph!$D$18-Y236)/POWER((((Graph!$D$18-$Y236)^2)+((Graph!$E$18-$Z236)^2))+(Graph!$D$23^2),(3/2)))</f>
        <v>147.63805863934067</v>
      </c>
      <c r="P236" s="84">
        <f>Graph!$D$22*((Graph!$E$18-Z236)/POWER((((Graph!$D$18-$Y236)^2)+((Graph!$E$18-$Z236)^2))+(Graph!$D$23^2),3/2))</f>
        <v>396.40473303008639</v>
      </c>
      <c r="Q236">
        <f>Graph!$D$31*((Graph!$D$27-Y236)/POWER((((Graph!$D$27-$Y236)^2)+((Graph!$E$27-$Z236)^2))+(Graph!$D$32^2),3/2))</f>
        <v>-64.833190696634077</v>
      </c>
      <c r="R236">
        <f>Graph!$D$31*((Graph!$E$27-Z236)/POWER((((Graph!$D$27-$Y236)^2)+((Graph!$E$27-$Z236)^2))+(Graph!$D$32^2),3/2))</f>
        <v>91.874539973894329</v>
      </c>
      <c r="S236">
        <f>Graph!$D$40*((Graph!$D$36-Y236)/POWER((((Graph!$D$36-$Y236)^2)+((Graph!$E$36-$Z236)^2))+(Graph!$D$41^2),3/2))</f>
        <v>-1808.729959320468</v>
      </c>
      <c r="T236">
        <f>Graph!$D$40*((Graph!$E$36-Z236)/POWER((((Graph!$D$36-$Y236)^2)+((Graph!$E$36-$Z236)^2))+(Graph!$D$41^2),3/2))</f>
        <v>4640.9969732263407</v>
      </c>
      <c r="U236">
        <f>O236+Q236+S236</f>
        <v>-1725.9250913777614</v>
      </c>
      <c r="V236">
        <f>P236+R236+T236</f>
        <v>5129.2762462303217</v>
      </c>
      <c r="W236">
        <f>W235+(U235*Graph!$D$5)</f>
        <v>3910.9328742963426</v>
      </c>
      <c r="X236">
        <f>X235+(V235*Graph!$D$5)</f>
        <v>-8065.9936385030087</v>
      </c>
      <c r="Y236">
        <f>Y235+(W235*Graph!$D$5)+(U235*Graph!$D$5^2)</f>
        <v>2908.978357161569</v>
      </c>
      <c r="Z236">
        <f>Z235+(X235*Graph!$D$5)+(V235*Graph!$D$5^2)</f>
        <v>-22464.110206832574</v>
      </c>
    </row>
    <row r="237" spans="14:26" x14ac:dyDescent="0.35">
      <c r="N237">
        <f>N236+1</f>
        <v>234</v>
      </c>
      <c r="O237">
        <f>Graph!$D$22*((Graph!$D$18-Y237)/POWER((((Graph!$D$18-$Y237)^2)+((Graph!$E$18-$Z237)^2))+(Graph!$D$23^2),(3/2)))</f>
        <v>108.31092194813233</v>
      </c>
      <c r="P237" s="84">
        <f>Graph!$D$22*((Graph!$E$18-Z237)/POWER((((Graph!$D$18-$Y237)^2)+((Graph!$E$18-$Z237)^2))+(Graph!$D$23^2),3/2))</f>
        <v>360.94757109940019</v>
      </c>
      <c r="Q237">
        <f>Graph!$D$31*((Graph!$D$27-Y237)/POWER((((Graph!$D$27-$Y237)^2)+((Graph!$E$27-$Z237)^2))+(Graph!$D$32^2),3/2))</f>
        <v>-55.176923638047597</v>
      </c>
      <c r="R237">
        <f>Graph!$D$31*((Graph!$E$27-Z237)/POWER((((Graph!$D$27-$Y237)^2)+((Graph!$E$27-$Z237)^2))+(Graph!$D$32^2),3/2))</f>
        <v>79.525501060961247</v>
      </c>
      <c r="S237">
        <f>Graph!$D$40*((Graph!$D$36-Y237)/POWER((((Graph!$D$36-$Y237)^2)+((Graph!$E$36-$Z237)^2))+(Graph!$D$41^2),3/2))</f>
        <v>-1276.2734233755634</v>
      </c>
      <c r="T237">
        <f>Graph!$D$40*((Graph!$E$36-Z237)/POWER((((Graph!$D$36-$Y237)^2)+((Graph!$E$36-$Z237)^2))+(Graph!$D$41^2),3/2))</f>
        <v>2940.8909731412477</v>
      </c>
      <c r="U237">
        <f>O237+Q237+S237</f>
        <v>-1223.1394250654787</v>
      </c>
      <c r="V237">
        <f>P237+R237+T237</f>
        <v>3381.3640453016092</v>
      </c>
      <c r="W237">
        <f>W236+(U236*Graph!$D$5)</f>
        <v>3047.9703286074619</v>
      </c>
      <c r="X237">
        <f>X236+(V236*Graph!$D$5)</f>
        <v>-5501.3555153878478</v>
      </c>
      <c r="Y237">
        <f>Y236+(W236*Graph!$D$5)+(U236*Graph!$D$5^2)</f>
        <v>4432.9635214652999</v>
      </c>
      <c r="Z237">
        <f>Z236+(X236*Graph!$D$5)+(V236*Graph!$D$5^2)</f>
        <v>-25214.787964526498</v>
      </c>
    </row>
    <row r="238" spans="14:26" x14ac:dyDescent="0.35">
      <c r="N238">
        <f>N237+1</f>
        <v>235</v>
      </c>
      <c r="O238">
        <f>Graph!$D$22*((Graph!$D$18-Y238)/POWER((((Graph!$D$18-$Y238)^2)+((Graph!$E$18-$Z238)^2))+(Graph!$D$23^2),(3/2)))</f>
        <v>85.08317692335963</v>
      </c>
      <c r="P238" s="84">
        <f>Graph!$D$22*((Graph!$E$18-Z238)/POWER((((Graph!$D$18-$Y238)^2)+((Graph!$E$18-$Z238)^2))+(Graph!$D$23^2),3/2))</f>
        <v>337.82794784243606</v>
      </c>
      <c r="Q238">
        <f>Graph!$D$31*((Graph!$D$27-Y238)/POWER((((Graph!$D$27-$Y238)^2)+((Graph!$E$27-$Z238)^2))+(Graph!$D$32^2),3/2))</f>
        <v>-49.70060474115688</v>
      </c>
      <c r="R238">
        <f>Graph!$D$31*((Graph!$E$27-Z238)/POWER((((Graph!$D$27-$Y238)^2)+((Graph!$E$27-$Z238)^2))+(Graph!$D$32^2),3/2))</f>
        <v>71.922375860261823</v>
      </c>
      <c r="S238">
        <f>Graph!$D$40*((Graph!$D$36-Y238)/POWER((((Graph!$D$36-$Y238)^2)+((Graph!$E$36-$Z238)^2))+(Graph!$D$41^2),3/2))</f>
        <v>-1016.7742375401843</v>
      </c>
      <c r="T238">
        <f>Graph!$D$40*((Graph!$E$36-Z238)/POWER((((Graph!$D$36-$Y238)^2)+((Graph!$E$36-$Z238)^2))+(Graph!$D$41^2),3/2))</f>
        <v>2180.6889578171676</v>
      </c>
      <c r="U238">
        <f>O238+Q238+S238</f>
        <v>-981.39166535798154</v>
      </c>
      <c r="V238">
        <f>P238+R238+T238</f>
        <v>2590.4392815198653</v>
      </c>
      <c r="W238">
        <f>W237+(U237*Graph!$D$5)</f>
        <v>2436.4006160747226</v>
      </c>
      <c r="X238">
        <f>X237+(V237*Graph!$D$5)</f>
        <v>-3810.6734927370435</v>
      </c>
      <c r="Y238">
        <f>Y237+(W237*Graph!$D$5)+(U237*Graph!$D$5^2)</f>
        <v>5651.1638295026614</v>
      </c>
      <c r="Z238">
        <f>Z237+(X237*Graph!$D$5)+(V237*Graph!$D$5^2)</f>
        <v>-27120.124710895019</v>
      </c>
    </row>
    <row r="239" spans="14:26" x14ac:dyDescent="0.35">
      <c r="N239">
        <f>N238+1</f>
        <v>236</v>
      </c>
      <c r="O239">
        <f>Graph!$D$22*((Graph!$D$18-Y239)/POWER((((Graph!$D$18-$Y239)^2)+((Graph!$E$18-$Z239)^2))+(Graph!$D$23^2),(3/2)))</f>
        <v>70.633132242725182</v>
      </c>
      <c r="P239" s="84">
        <f>Graph!$D$22*((Graph!$E$18-Z239)/POWER((((Graph!$D$18-$Y239)^2)+((Graph!$E$18-$Z239)^2))+(Graph!$D$23^2),3/2))</f>
        <v>323.6333714877627</v>
      </c>
      <c r="Q239">
        <f>Graph!$D$31*((Graph!$D$27-Y239)/POWER((((Graph!$D$27-$Y239)^2)+((Graph!$E$27-$Z239)^2))+(Graph!$D$32^2),3/2))</f>
        <v>-46.529340301596243</v>
      </c>
      <c r="R239">
        <f>Graph!$D$31*((Graph!$E$27-Z239)/POWER((((Graph!$D$27-$Y239)^2)+((Graph!$E$27-$Z239)^2))+(Graph!$D$32^2),3/2))</f>
        <v>67.070877061545289</v>
      </c>
      <c r="S239">
        <f>Graph!$D$40*((Graph!$D$36-Y239)/POWER((((Graph!$D$36-$Y239)^2)+((Graph!$E$36-$Z239)^2))+(Graph!$D$41^2),3/2))</f>
        <v>-888.89623553545732</v>
      </c>
      <c r="T239">
        <f>Graph!$D$40*((Graph!$E$36-Z239)/POWER((((Graph!$D$36-$Y239)^2)+((Graph!$E$36-$Z239)^2))+(Graph!$D$41^2),3/2))</f>
        <v>1795.2132909213287</v>
      </c>
      <c r="U239">
        <f>O239+Q239+S239</f>
        <v>-864.79244359432835</v>
      </c>
      <c r="V239">
        <f>P239+R239+T239</f>
        <v>2185.9175394706367</v>
      </c>
      <c r="W239">
        <f>W238+(U238*Graph!$D$5)</f>
        <v>1945.7047833957317</v>
      </c>
      <c r="X239">
        <f>X238+(V238*Graph!$D$5)</f>
        <v>-2515.4538519771108</v>
      </c>
      <c r="Y239">
        <f>Y238+(W238*Graph!$D$5)+(U238*Graph!$D$5^2)</f>
        <v>6624.016221200528</v>
      </c>
      <c r="Z239">
        <f>Z238+(X238*Graph!$D$5)+(V238*Graph!$D$5^2)</f>
        <v>-28377.851636883574</v>
      </c>
    </row>
    <row r="240" spans="14:26" x14ac:dyDescent="0.35">
      <c r="N240">
        <f>N239+1</f>
        <v>237</v>
      </c>
      <c r="O240">
        <f>Graph!$D$22*((Graph!$D$18-Y240)/POWER((((Graph!$D$18-$Y240)^2)+((Graph!$E$18-$Z240)^2))+(Graph!$D$23^2),(3/2)))</f>
        <v>61.697458183427052</v>
      </c>
      <c r="P240" s="84">
        <f>Graph!$D$22*((Graph!$E$18-Z240)/POWER((((Graph!$D$18-$Y240)^2)+((Graph!$E$18-$Z240)^2))+(Graph!$D$23^2),3/2))</f>
        <v>316.52366032939659</v>
      </c>
      <c r="Q240">
        <f>Graph!$D$31*((Graph!$D$27-Y240)/POWER((((Graph!$D$27-$Y240)^2)+((Graph!$E$27-$Z240)^2))+(Graph!$D$32^2),3/2))</f>
        <v>-44.875525223492978</v>
      </c>
      <c r="R240">
        <f>Graph!$D$31*((Graph!$E$27-Z240)/POWER((((Graph!$D$27-$Y240)^2)+((Graph!$E$27-$Z240)^2))+(Graph!$D$32^2),3/2))</f>
        <v>64.065043841714555</v>
      </c>
      <c r="S240">
        <f>Graph!$D$40*((Graph!$D$36-Y240)/POWER((((Graph!$D$36-$Y240)^2)+((Graph!$E$36-$Z240)^2))+(Graph!$D$41^2),3/2))</f>
        <v>-833.83690839358542</v>
      </c>
      <c r="T240">
        <f>Graph!$D$40*((Graph!$E$36-Z240)/POWER((((Graph!$D$36-$Y240)^2)+((Graph!$E$36-$Z240)^2))+(Graph!$D$41^2),3/2))</f>
        <v>1591.7267811176093</v>
      </c>
      <c r="U240">
        <f>O240+Q240+S240</f>
        <v>-817.01497543365133</v>
      </c>
      <c r="V240">
        <f>P240+R240+T240</f>
        <v>1972.3154852887205</v>
      </c>
      <c r="W240">
        <f>W239+(U239*Graph!$D$5)</f>
        <v>1513.3085615985676</v>
      </c>
      <c r="X240">
        <f>X239+(V239*Graph!$D$5)</f>
        <v>-1422.4950822417925</v>
      </c>
      <c r="Y240">
        <f>Y239+(W239*Graph!$D$5)+(U239*Graph!$D$5^2)</f>
        <v>7380.6705019998117</v>
      </c>
      <c r="Z240">
        <f>Z239+(X239*Graph!$D$5)+(V239*Graph!$D$5^2)</f>
        <v>-29089.099178004468</v>
      </c>
    </row>
    <row r="241" spans="14:26" x14ac:dyDescent="0.35">
      <c r="N241">
        <f>N240+1</f>
        <v>238</v>
      </c>
      <c r="O241">
        <f>Graph!$D$22*((Graph!$D$18-Y241)/POWER((((Graph!$D$18-$Y241)^2)+((Graph!$E$18-$Z241)^2))+(Graph!$D$23^2),(3/2)))</f>
        <v>56.748672147835904</v>
      </c>
      <c r="P241" s="84">
        <f>Graph!$D$22*((Graph!$E$18-Z241)/POWER((((Graph!$D$18-$Y241)^2)+((Graph!$E$18-$Z241)^2))+(Graph!$D$23^2),3/2))</f>
        <v>315.64421666236575</v>
      </c>
      <c r="Q241">
        <f>Graph!$D$31*((Graph!$D$27-Y241)/POWER((((Graph!$D$27-$Y241)^2)+((Graph!$E$27-$Z241)^2))+(Graph!$D$32^2),3/2))</f>
        <v>-44.387952650990371</v>
      </c>
      <c r="R241">
        <f>Graph!$D$31*((Graph!$E$27-Z241)/POWER((((Graph!$D$27-$Y241)^2)+((Graph!$E$27-$Z241)^2))+(Graph!$D$32^2),3/2))</f>
        <v>62.462489055920564</v>
      </c>
      <c r="S241">
        <f>Graph!$D$40*((Graph!$D$36-Y241)/POWER((((Graph!$D$36-$Y241)^2)+((Graph!$E$36-$Z241)^2))+(Graph!$D$41^2),3/2))</f>
        <v>-829.77107185339605</v>
      </c>
      <c r="T241">
        <f>Graph!$D$40*((Graph!$E$36-Z241)/POWER((((Graph!$D$36-$Y241)^2)+((Graph!$E$36-$Z241)^2))+(Graph!$D$41^2),3/2))</f>
        <v>1496.4894325401801</v>
      </c>
      <c r="U241">
        <f>O241+Q241+S241</f>
        <v>-817.41035235655056</v>
      </c>
      <c r="V241">
        <f>P241+R241+T241</f>
        <v>1874.5961382584665</v>
      </c>
      <c r="W241">
        <f>W240+(U240*Graph!$D$5)</f>
        <v>1104.801073881742</v>
      </c>
      <c r="X241">
        <f>X240+(V240*Graph!$D$5)</f>
        <v>-436.33733959743222</v>
      </c>
      <c r="Y241">
        <f>Y240+(W240*Graph!$D$5)+(U240*Graph!$D$5^2)</f>
        <v>7933.0710389406822</v>
      </c>
      <c r="Z241">
        <f>Z240+(X240*Graph!$D$5)+(V240*Graph!$D$5^2)</f>
        <v>-29307.267847803185</v>
      </c>
    </row>
    <row r="242" spans="14:26" x14ac:dyDescent="0.35">
      <c r="N242">
        <f>N241+1</f>
        <v>239</v>
      </c>
      <c r="O242">
        <f>Graph!$D$22*((Graph!$D$18-Y242)/POWER((((Graph!$D$18-$Y242)^2)+((Graph!$E$18-$Z242)^2))+(Graph!$D$23^2),(3/2)))</f>
        <v>55.197489460676955</v>
      </c>
      <c r="P242" s="84">
        <f>Graph!$D$22*((Graph!$E$18-Z242)/POWER((((Graph!$D$18-$Y242)^2)+((Graph!$E$18-$Z242)^2))+(Graph!$D$23^2),3/2))</f>
        <v>320.86244890271092</v>
      </c>
      <c r="Q242">
        <f>Graph!$D$31*((Graph!$D$27-Y242)/POWER((((Graph!$D$27-$Y242)^2)+((Graph!$E$27-$Z242)^2))+(Graph!$D$32^2),3/2))</f>
        <v>-44.942858627783771</v>
      </c>
      <c r="R242">
        <f>Graph!$D$31*((Graph!$E$27-Z242)/POWER((((Graph!$D$27-$Y242)^2)+((Graph!$E$27-$Z242)^2))+(Graph!$D$32^2),3/2))</f>
        <v>62.066981121334969</v>
      </c>
      <c r="S242">
        <f>Graph!$D$40*((Graph!$D$36-Y242)/POWER((((Graph!$D$36-$Y242)^2)+((Graph!$E$36-$Z242)^2))+(Graph!$D$41^2),3/2))</f>
        <v>-872.70456263847541</v>
      </c>
      <c r="T242">
        <f>Graph!$D$40*((Graph!$E$36-Z242)/POWER((((Graph!$D$36-$Y242)^2)+((Graph!$E$36-$Z242)^2))+(Graph!$D$41^2),3/2))</f>
        <v>1481.3725766493671</v>
      </c>
      <c r="U242">
        <f>O242+Q242+S242</f>
        <v>-862.4499318055822</v>
      </c>
      <c r="V242">
        <f>P242+R242+T242</f>
        <v>1864.302006673413</v>
      </c>
      <c r="W242">
        <f>W241+(U241*Graph!$D$5)</f>
        <v>696.09589770346679</v>
      </c>
      <c r="X242">
        <f>X241+(V241*Graph!$D$5)</f>
        <v>500.96072953180101</v>
      </c>
      <c r="Y242">
        <f>Y241+(W241*Graph!$D$5)+(U241*Graph!$D$5^2)</f>
        <v>8281.1189877924153</v>
      </c>
      <c r="Z242">
        <f>Z241+(X241*Graph!$D$5)+(V241*Graph!$D$5^2)</f>
        <v>-29056.787483037286</v>
      </c>
    </row>
    <row r="243" spans="14:26" x14ac:dyDescent="0.35">
      <c r="N243">
        <f>N242+1</f>
        <v>240</v>
      </c>
      <c r="O243">
        <f>Graph!$D$22*((Graph!$D$18-Y243)/POWER((((Graph!$D$18-$Y243)^2)+((Graph!$E$18-$Z243)^2))+(Graph!$D$23^2),(3/2)))</f>
        <v>57.156422181896232</v>
      </c>
      <c r="P243" s="84">
        <f>Graph!$D$22*((Graph!$E$18-Z243)/POWER((((Graph!$D$18-$Y243)^2)+((Graph!$E$18-$Z243)^2))+(Graph!$D$23^2),3/2))</f>
        <v>332.7121509505036</v>
      </c>
      <c r="Q243">
        <f>Graph!$D$31*((Graph!$D$27-Y243)/POWER((((Graph!$D$27-$Y243)^2)+((Graph!$E$27-$Z243)^2))+(Graph!$D$32^2),3/2))</f>
        <v>-46.579211466251337</v>
      </c>
      <c r="R243">
        <f>Graph!$D$31*((Graph!$E$27-Z243)/POWER((((Graph!$D$27-$Y243)^2)+((Graph!$E$27-$Z243)^2))+(Graph!$D$32^2),3/2))</f>
        <v>62.852317862776566</v>
      </c>
      <c r="S243">
        <f>Graph!$D$40*((Graph!$D$36-Y243)/POWER((((Graph!$D$36-$Y243)^2)+((Graph!$E$36-$Z243)^2))+(Graph!$D$41^2),3/2))</f>
        <v>-972.63010183963956</v>
      </c>
      <c r="T243">
        <f>Graph!$D$40*((Graph!$E$36-Z243)/POWER((((Graph!$D$36-$Y243)^2)+((Graph!$E$36-$Z243)^2))+(Graph!$D$41^2),3/2))</f>
        <v>1542.1675710586435</v>
      </c>
      <c r="U243">
        <f>O243+Q243+S243</f>
        <v>-962.05289112399464</v>
      </c>
      <c r="V243">
        <f>P243+R243+T243</f>
        <v>1937.7320398719237</v>
      </c>
      <c r="W243">
        <f>W242+(U242*Graph!$D$5)</f>
        <v>264.87093180067569</v>
      </c>
      <c r="X243">
        <f>X242+(V242*Graph!$D$5)</f>
        <v>1433.1117328685075</v>
      </c>
      <c r="Y243">
        <f>Y242+(W242*Graph!$D$5)+(U242*Graph!$D$5^2)</f>
        <v>8413.5544536927537</v>
      </c>
      <c r="Z243">
        <f>Z242+(X242*Graph!$D$5)+(V242*Graph!$D$5^2)</f>
        <v>-28340.231616603032</v>
      </c>
    </row>
    <row r="244" spans="14:26" x14ac:dyDescent="0.35">
      <c r="N244">
        <f>N243+1</f>
        <v>241</v>
      </c>
      <c r="O244">
        <f>Graph!$D$22*((Graph!$D$18-Y244)/POWER((((Graph!$D$18-$Y244)^2)+((Graph!$E$18-$Z244)^2))+(Graph!$D$23^2),(3/2)))</f>
        <v>63.540812877213639</v>
      </c>
      <c r="P244" s="84">
        <f>Graph!$D$22*((Graph!$E$18-Z244)/POWER((((Graph!$D$18-$Y244)^2)+((Graph!$E$18-$Z244)^2))+(Graph!$D$23^2),3/2))</f>
        <v>352.50570749865932</v>
      </c>
      <c r="Q244">
        <f>Graph!$D$31*((Graph!$D$27-Y244)/POWER((((Graph!$D$27-$Y244)^2)+((Graph!$E$27-$Z244)^2))+(Graph!$D$32^2),3/2))</f>
        <v>-49.507682316608125</v>
      </c>
      <c r="R244">
        <f>Graph!$D$31*((Graph!$E$27-Z244)/POWER((((Graph!$D$27-$Y244)^2)+((Graph!$E$27-$Z244)^2))+(Graph!$D$32^2),3/2))</f>
        <v>64.958377163396705</v>
      </c>
      <c r="S244">
        <f>Graph!$D$40*((Graph!$D$36-Y244)/POWER((((Graph!$D$36-$Y244)^2)+((Graph!$E$36-$Z244)^2))+(Graph!$D$41^2),3/2))</f>
        <v>-1159.8809088780399</v>
      </c>
      <c r="T244">
        <f>Graph!$D$40*((Graph!$E$36-Z244)/POWER((((Graph!$D$36-$Y244)^2)+((Graph!$E$36-$Z244)^2))+(Graph!$D$41^2),3/2))</f>
        <v>1695.2760710290875</v>
      </c>
      <c r="U244">
        <f>O244+Q244+S244</f>
        <v>-1145.8477783174344</v>
      </c>
      <c r="V244">
        <f>P244+R244+T244</f>
        <v>2112.7401556911436</v>
      </c>
      <c r="W244">
        <f>W243+(U243*Graph!$D$5)</f>
        <v>-216.15551376132163</v>
      </c>
      <c r="X244">
        <f>X243+(V243*Graph!$D$5)</f>
        <v>2401.9777528044692</v>
      </c>
      <c r="Y244">
        <f>Y243+(W243*Graph!$D$5)+(U243*Graph!$D$5^2)</f>
        <v>8305.476696812093</v>
      </c>
      <c r="Z244">
        <f>Z243+(X243*Graph!$D$5)+(V243*Graph!$D$5^2)</f>
        <v>-27139.2427402008</v>
      </c>
    </row>
    <row r="245" spans="14:26" x14ac:dyDescent="0.35">
      <c r="N245">
        <f>N244+1</f>
        <v>242</v>
      </c>
      <c r="O245">
        <f>Graph!$D$22*((Graph!$D$18-Y245)/POWER((((Graph!$D$18-$Y245)^2)+((Graph!$E$18-$Z245)^2))+(Graph!$D$23^2),(3/2)))</f>
        <v>76.601513663540743</v>
      </c>
      <c r="P245" s="84">
        <f>Graph!$D$22*((Graph!$E$18-Z245)/POWER((((Graph!$D$18-$Y245)^2)+((Graph!$E$18-$Z245)^2))+(Graph!$D$23^2),3/2))</f>
        <v>382.62671232251984</v>
      </c>
      <c r="Q245">
        <f>Graph!$D$31*((Graph!$D$27-Y245)/POWER((((Graph!$D$27-$Y245)^2)+((Graph!$E$27-$Z245)^2))+(Graph!$D$32^2),3/2))</f>
        <v>-54.197782559080245</v>
      </c>
      <c r="R245">
        <f>Graph!$D$31*((Graph!$E$27-Z245)/POWER((((Graph!$D$27-$Y245)^2)+((Graph!$E$27-$Z245)^2))+(Graph!$D$32^2),3/2))</f>
        <v>68.759684094169742</v>
      </c>
      <c r="S245">
        <f>Graph!$D$40*((Graph!$D$36-Y245)/POWER((((Graph!$D$36-$Y245)^2)+((Graph!$E$36-$Z245)^2))+(Graph!$D$41^2),3/2))</f>
        <v>-1510.0818151423416</v>
      </c>
      <c r="T245">
        <f>Graph!$D$40*((Graph!$E$36-Z245)/POWER((((Graph!$D$36-$Y245)^2)+((Graph!$E$36-$Z245)^2))+(Graph!$D$41^2),3/2))</f>
        <v>1987.1294179262391</v>
      </c>
      <c r="U245">
        <f>O245+Q245+S245</f>
        <v>-1487.678084037881</v>
      </c>
      <c r="V245">
        <f>P245+R245+T245</f>
        <v>2438.5158143429285</v>
      </c>
      <c r="W245">
        <f>W244+(U244*Graph!$D$5)</f>
        <v>-789.07940292003877</v>
      </c>
      <c r="X245">
        <f>X244+(V244*Graph!$D$5)</f>
        <v>3458.347830650041</v>
      </c>
      <c r="Y245">
        <f>Y244+(W244*Graph!$D$5)+(U244*Graph!$D$5^2)</f>
        <v>7910.9369953520736</v>
      </c>
      <c r="Z245">
        <f>Z244+(X244*Graph!$D$5)+(V244*Graph!$D$5^2)</f>
        <v>-25410.068824875776</v>
      </c>
    </row>
    <row r="246" spans="14:26" x14ac:dyDescent="0.35">
      <c r="N246">
        <f>N245+1</f>
        <v>243</v>
      </c>
      <c r="O246">
        <f>Graph!$D$22*((Graph!$D$18-Y246)/POWER((((Graph!$D$18-$Y246)^2)+((Graph!$E$18-$Z246)^2))+(Graph!$D$23^2),(3/2)))</f>
        <v>101.41916381810326</v>
      </c>
      <c r="P246" s="84">
        <f>Graph!$D$22*((Graph!$E$18-Z246)/POWER((((Graph!$D$18-$Y246)^2)+((Graph!$E$18-$Z246)^2))+(Graph!$D$23^2),3/2))</f>
        <v>426.96844877884712</v>
      </c>
      <c r="Q246">
        <f>Graph!$D$31*((Graph!$D$27-Y246)/POWER((((Graph!$D$27-$Y246)^2)+((Graph!$E$27-$Z246)^2))+(Graph!$D$32^2),3/2))</f>
        <v>-61.625937111824918</v>
      </c>
      <c r="R246">
        <f>Graph!$D$31*((Graph!$E$27-Z246)/POWER((((Graph!$D$27-$Y246)^2)+((Graph!$E$27-$Z246)^2))+(Graph!$D$32^2),3/2))</f>
        <v>75.081487036260199</v>
      </c>
      <c r="S246">
        <f>Graph!$D$40*((Graph!$D$36-Y246)/POWER((((Graph!$D$36-$Y246)^2)+((Graph!$E$36-$Z246)^2))+(Graph!$D$41^2),3/2))</f>
        <v>-2229.8122376340534</v>
      </c>
      <c r="T246">
        <f>Graph!$D$40*((Graph!$E$36-Z246)/POWER((((Graph!$D$36-$Y246)^2)+((Graph!$E$36-$Z246)^2))+(Graph!$D$41^2),3/2))</f>
        <v>2519.0655180033555</v>
      </c>
      <c r="U246">
        <f>O246+Q246+S246</f>
        <v>-2190.0190109277751</v>
      </c>
      <c r="V246">
        <f>P246+R246+T246</f>
        <v>3021.1154538184628</v>
      </c>
      <c r="W246">
        <f>W245+(U245*Graph!$D$5)</f>
        <v>-1532.9184449389793</v>
      </c>
      <c r="X246">
        <f>X245+(V245*Graph!$D$5)</f>
        <v>4677.6057378215055</v>
      </c>
      <c r="Y246">
        <f>Y245+(W245*Graph!$D$5)+(U245*Graph!$D$5^2)</f>
        <v>7144.4777728825838</v>
      </c>
      <c r="Z246">
        <f>Z245+(X245*Graph!$D$5)+(V245*Graph!$D$5^2)</f>
        <v>-23071.265955965024</v>
      </c>
    </row>
    <row r="247" spans="14:26" x14ac:dyDescent="0.35">
      <c r="N247">
        <f>N246+1</f>
        <v>244</v>
      </c>
      <c r="O247">
        <f>Graph!$D$22*((Graph!$D$18-Y247)/POWER((((Graph!$D$18-$Y247)^2)+((Graph!$E$18-$Z247)^2))+(Graph!$D$23^2),(3/2)))</f>
        <v>150.08579556909339</v>
      </c>
      <c r="P247" s="84">
        <f>Graph!$D$22*((Graph!$E$18-Z247)/POWER((((Graph!$D$18-$Y247)^2)+((Graph!$E$18-$Z247)^2))+(Graph!$D$23^2),3/2))</f>
        <v>490.66539213314365</v>
      </c>
      <c r="Q247">
        <f>Graph!$D$31*((Graph!$D$27-Y247)/POWER((((Graph!$D$27-$Y247)^2)+((Graph!$E$27-$Z247)^2))+(Graph!$D$32^2),3/2))</f>
        <v>-73.99889572111789</v>
      </c>
      <c r="R247">
        <f>Graph!$D$31*((Graph!$E$27-Z247)/POWER((((Graph!$D$27-$Y247)^2)+((Graph!$E$27-$Z247)^2))+(Graph!$D$32^2),3/2))</f>
        <v>85.878219331975885</v>
      </c>
      <c r="S247">
        <f>Graph!$D$40*((Graph!$D$36-Y247)/POWER((((Graph!$D$36-$Y247)^2)+((Graph!$E$36-$Z247)^2))+(Graph!$D$41^2),3/2))</f>
        <v>-3981.9337654422511</v>
      </c>
      <c r="T247">
        <f>Graph!$D$40*((Graph!$E$36-Z247)/POWER((((Graph!$D$36-$Y247)^2)+((Graph!$E$36-$Z247)^2))+(Graph!$D$41^2),3/2))</f>
        <v>3399.1546207574493</v>
      </c>
      <c r="U247">
        <f>O247+Q247+S247</f>
        <v>-3905.8468655942756</v>
      </c>
      <c r="V247">
        <f>P247+R247+T247</f>
        <v>3975.6982322225685</v>
      </c>
      <c r="W247">
        <f>W246+(U246*Graph!$D$5)</f>
        <v>-2627.9279504028668</v>
      </c>
      <c r="X247">
        <f>X246+(V246*Graph!$D$5)</f>
        <v>6188.1634647307365</v>
      </c>
      <c r="Y247">
        <f>Y246+(W246*Graph!$D$5)+(U246*Graph!$D$5^2)</f>
        <v>5830.5137976811502</v>
      </c>
      <c r="Z247">
        <f>Z246+(X246*Graph!$D$5)+(V246*Graph!$D$5^2)</f>
        <v>-19977.184223599656</v>
      </c>
    </row>
    <row r="248" spans="14:26" x14ac:dyDescent="0.35">
      <c r="N248">
        <f>N247+1</f>
        <v>245</v>
      </c>
      <c r="O248">
        <f>Graph!$D$22*((Graph!$D$18-Y248)/POWER((((Graph!$D$18-$Y248)^2)+((Graph!$E$18-$Z248)^2))+(Graph!$D$23^2),(3/2)))</f>
        <v>252.4952773272264</v>
      </c>
      <c r="P248" s="84">
        <f>Graph!$D$22*((Graph!$E$18-Z248)/POWER((((Graph!$D$18-$Y248)^2)+((Graph!$E$18-$Z248)^2))+(Graph!$D$23^2),3/2))</f>
        <v>570.41408542421902</v>
      </c>
      <c r="Q248">
        <f>Graph!$D$31*((Graph!$D$27-Y248)/POWER((((Graph!$D$27-$Y248)^2)+((Graph!$E$27-$Z248)^2))+(Graph!$D$32^2),3/2))</f>
        <v>-97.216140775161492</v>
      </c>
      <c r="R248">
        <f>Graph!$D$31*((Graph!$E$27-Z248)/POWER((((Graph!$D$27-$Y248)^2)+((Graph!$E$27-$Z248)^2))+(Graph!$D$32^2),3/2))</f>
        <v>106.91744037503915</v>
      </c>
      <c r="S248">
        <f>Graph!$D$40*((Graph!$D$36-Y248)/POWER((((Graph!$D$36-$Y248)^2)+((Graph!$E$36-$Z248)^2))+(Graph!$D$41^2),3/2))</f>
        <v>-7813.1435565115835</v>
      </c>
      <c r="T248">
        <f>Graph!$D$40*((Graph!$E$36-Z248)/POWER((((Graph!$D$36-$Y248)^2)+((Graph!$E$36-$Z248)^2))+(Graph!$D$41^2),3/2))</f>
        <v>1962.4581736463067</v>
      </c>
      <c r="U248">
        <f>O248+Q248+S248</f>
        <v>-7657.8644199595183</v>
      </c>
      <c r="V248">
        <f>P248+R248+T248</f>
        <v>2639.789699445565</v>
      </c>
      <c r="W248">
        <f>W247+(U247*Graph!$D$5)</f>
        <v>-4580.8513832000044</v>
      </c>
      <c r="X248">
        <f>X247+(V247*Graph!$D$5)</f>
        <v>8176.0125808420207</v>
      </c>
      <c r="Y248">
        <f>Y247+(W247*Graph!$D$5)+(U247*Graph!$D$5^2)</f>
        <v>3540.0881060811475</v>
      </c>
      <c r="Z248">
        <f>Z247+(X247*Graph!$D$5)+(V247*Graph!$D$5^2)</f>
        <v>-15889.177933178646</v>
      </c>
    </row>
    <row r="249" spans="14:26" x14ac:dyDescent="0.35">
      <c r="N249">
        <f>N248+1</f>
        <v>246</v>
      </c>
      <c r="O249">
        <f>Graph!$D$22*((Graph!$D$18-Y249)/POWER((((Graph!$D$18-$Y249)^2)+((Graph!$E$18-$Z249)^2))+(Graph!$D$23^2),(3/2)))</f>
        <v>426.911972720726</v>
      </c>
      <c r="P249" s="84">
        <f>Graph!$D$22*((Graph!$E$18-Z249)/POWER((((Graph!$D$18-$Y249)^2)+((Graph!$E$18-$Z249)^2))+(Graph!$D$23^2),3/2))</f>
        <v>576.16053893236892</v>
      </c>
      <c r="Q249">
        <f>Graph!$D$31*((Graph!$D$27-Y249)/POWER((((Graph!$D$27-$Y249)^2)+((Graph!$E$27-$Z249)^2))+(Graph!$D$32^2),3/2))</f>
        <v>-144.42214935698803</v>
      </c>
      <c r="R249">
        <f>Graph!$D$31*((Graph!$E$27-Z249)/POWER((((Graph!$D$27-$Y249)^2)+((Graph!$E$27-$Z249)^2))+(Graph!$D$32^2),3/2))</f>
        <v>157.9120787145977</v>
      </c>
      <c r="S249">
        <f>Graph!$D$40*((Graph!$D$36-Y249)/POWER((((Graph!$D$36-$Y249)^2)+((Graph!$E$36-$Z249)^2))+(Graph!$D$41^2),3/2))</f>
        <v>1358.9877971918768</v>
      </c>
      <c r="T249">
        <f>Graph!$D$40*((Graph!$E$36-Z249)/POWER((((Graph!$D$36-$Y249)^2)+((Graph!$E$36-$Z249)^2))+(Graph!$D$41^2),3/2))</f>
        <v>-7888.0867763619135</v>
      </c>
      <c r="U249">
        <f>O249+Q249+S249</f>
        <v>1641.4776205556147</v>
      </c>
      <c r="V249">
        <f>P249+R249+T249</f>
        <v>-7154.0141587149465</v>
      </c>
      <c r="W249">
        <f>W248+(U248*Graph!$D$5)</f>
        <v>-8409.7835931797636</v>
      </c>
      <c r="X249">
        <f>X248+(V248*Graph!$D$5)</f>
        <v>9495.9074305648028</v>
      </c>
      <c r="Y249">
        <f>Y248+(W248*Graph!$D$5)+(U248*Graph!$D$5^2)</f>
        <v>-664.80369050873423</v>
      </c>
      <c r="Z249">
        <f>Z248+(X248*Graph!$D$5)+(V248*Graph!$D$5^2)</f>
        <v>-11141.224217896244</v>
      </c>
    </row>
    <row r="250" spans="14:26" x14ac:dyDescent="0.35">
      <c r="N250">
        <f>N249+1</f>
        <v>247</v>
      </c>
      <c r="O250">
        <f>Graph!$D$22*((Graph!$D$18-Y250)/POWER((((Graph!$D$18-$Y250)^2)+((Graph!$E$18-$Z250)^2))+(Graph!$D$23^2),(3/2)))</f>
        <v>512.11481002710855</v>
      </c>
      <c r="P250" s="84">
        <f>Graph!$D$22*((Graph!$E$18-Z250)/POWER((((Graph!$D$18-$Y250)^2)+((Graph!$E$18-$Z250)^2))+(Graph!$D$23^2),3/2))</f>
        <v>478.49322840921161</v>
      </c>
      <c r="Q250">
        <f>Graph!$D$31*((Graph!$D$27-Y250)/POWER((((Graph!$D$27-$Y250)^2)+((Graph!$E$27-$Z250)^2))+(Graph!$D$32^2),3/2))</f>
        <v>-197.58991555984295</v>
      </c>
      <c r="R250">
        <f>Graph!$D$31*((Graph!$E$27-Z250)/POWER((((Graph!$D$27-$Y250)^2)+((Graph!$E$27-$Z250)^2))+(Graph!$D$32^2),3/2))</f>
        <v>231.16984608848682</v>
      </c>
      <c r="S250">
        <f>Graph!$D$40*((Graph!$D$36-Y250)/POWER((((Graph!$D$36-$Y250)^2)+((Graph!$E$36-$Z250)^2))+(Graph!$D$41^2),3/2))</f>
        <v>2673.2240756060646</v>
      </c>
      <c r="T250">
        <f>Graph!$D$40*((Graph!$E$36-Z250)/POWER((((Graph!$D$36-$Y250)^2)+((Graph!$E$36-$Z250)^2))+(Graph!$D$41^2),3/2))</f>
        <v>-4087.3094831082062</v>
      </c>
      <c r="U250">
        <f>O250+Q250+S250</f>
        <v>2987.7489700733304</v>
      </c>
      <c r="V250">
        <f>P250+R250+T250</f>
        <v>-3377.6464086105079</v>
      </c>
      <c r="W250">
        <f>W249+(U249*Graph!$D$5)</f>
        <v>-7589.0447829019558</v>
      </c>
      <c r="X250">
        <f>X249+(V249*Graph!$D$5)</f>
        <v>5918.9003512073295</v>
      </c>
      <c r="Y250">
        <f>Y249+(W249*Graph!$D$5)+(U249*Graph!$D$5^2)</f>
        <v>-4459.3260819597117</v>
      </c>
      <c r="Z250">
        <f>Z249+(X249*Graph!$D$5)+(V249*Graph!$D$5^2)</f>
        <v>-8181.7740422925799</v>
      </c>
    </row>
    <row r="251" spans="14:26" x14ac:dyDescent="0.35">
      <c r="N251">
        <f>N250+1</f>
        <v>248</v>
      </c>
      <c r="O251">
        <f>Graph!$D$22*((Graph!$D$18-Y251)/POWER((((Graph!$D$18-$Y251)^2)+((Graph!$E$18-$Z251)^2))+(Graph!$D$23^2),(3/2)))</f>
        <v>531.03170835591879</v>
      </c>
      <c r="P251" s="84">
        <f>Graph!$D$22*((Graph!$E$18-Z251)/POWER((((Graph!$D$18-$Y251)^2)+((Graph!$E$18-$Z251)^2))+(Graph!$D$23^2),3/2))</f>
        <v>379.0811585025869</v>
      </c>
      <c r="Q251">
        <f>Graph!$D$31*((Graph!$D$27-Y251)/POWER((((Graph!$D$27-$Y251)^2)+((Graph!$E$27-$Z251)^2))+(Graph!$D$32^2),3/2))</f>
        <v>-254.76163713709624</v>
      </c>
      <c r="R251">
        <f>Graph!$D$31*((Graph!$E$27-Z251)/POWER((((Graph!$D$27-$Y251)^2)+((Graph!$E$27-$Z251)^2))+(Graph!$D$32^2),3/2))</f>
        <v>327.63617606017317</v>
      </c>
      <c r="S251">
        <f>Graph!$D$40*((Graph!$D$36-Y251)/POWER((((Graph!$D$36-$Y251)^2)+((Graph!$E$36-$Z251)^2))+(Graph!$D$41^2),3/2))</f>
        <v>1921.2612280881167</v>
      </c>
      <c r="T251">
        <f>Graph!$D$40*((Graph!$E$36-Z251)/POWER((((Graph!$D$36-$Y251)^2)+((Graph!$E$36-$Z251)^2))+(Graph!$D$41^2),3/2))</f>
        <v>-2286.3111413040256</v>
      </c>
      <c r="U251">
        <f>O251+Q251+S251</f>
        <v>2197.5312993069392</v>
      </c>
      <c r="V251">
        <f>P251+R251+T251</f>
        <v>-1579.5938067412656</v>
      </c>
      <c r="W251">
        <f>W250+(U250*Graph!$D$5)</f>
        <v>-6095.1702978652902</v>
      </c>
      <c r="X251">
        <f>X250+(V250*Graph!$D$5)</f>
        <v>4230.0771469020756</v>
      </c>
      <c r="Y251">
        <f>Y250+(W250*Graph!$D$5)+(U250*Graph!$D$5^2)</f>
        <v>-7506.9112308923568</v>
      </c>
      <c r="Z251">
        <f>Z250+(X250*Graph!$D$5)+(V250*Graph!$D$5^2)</f>
        <v>-6066.7354688415426</v>
      </c>
    </row>
    <row r="252" spans="14:26" x14ac:dyDescent="0.35">
      <c r="N252">
        <f>N251+1</f>
        <v>249</v>
      </c>
      <c r="O252">
        <f>Graph!$D$22*((Graph!$D$18-Y252)/POWER((((Graph!$D$18-$Y252)^2)+((Graph!$E$18-$Z252)^2))+(Graph!$D$23^2),(3/2)))</f>
        <v>522.70366462914888</v>
      </c>
      <c r="P252" s="84">
        <f>Graph!$D$22*((Graph!$E$18-Z252)/POWER((((Graph!$D$18-$Y252)^2)+((Graph!$E$18-$Z252)^2))+(Graph!$D$23^2),3/2))</f>
        <v>299.89937643650694</v>
      </c>
      <c r="Q252">
        <f>Graph!$D$31*((Graph!$D$27-Y252)/POWER((((Graph!$D$27-$Y252)^2)+((Graph!$E$27-$Z252)^2))+(Graph!$D$32^2),3/2))</f>
        <v>-316.58195429874922</v>
      </c>
      <c r="R252">
        <f>Graph!$D$31*((Graph!$E$27-Z252)/POWER((((Graph!$D$27-$Y252)^2)+((Graph!$E$27-$Z252)^2))+(Graph!$D$32^2),3/2))</f>
        <v>454.4196892583924</v>
      </c>
      <c r="S252">
        <f>Graph!$D$40*((Graph!$D$36-Y252)/POWER((((Graph!$D$36-$Y252)^2)+((Graph!$E$36-$Z252)^2))+(Graph!$D$41^2),3/2))</f>
        <v>1421.4195385659036</v>
      </c>
      <c r="T252">
        <f>Graph!$D$40*((Graph!$E$36-Z252)/POWER((((Graph!$D$36-$Y252)^2)+((Graph!$E$36-$Z252)^2))+(Graph!$D$41^2),3/2))</f>
        <v>-1513.5218048924942</v>
      </c>
      <c r="U252">
        <f>O252+Q252+S252</f>
        <v>1627.5412488963034</v>
      </c>
      <c r="V252">
        <f>P252+R252+T252</f>
        <v>-759.20273919759484</v>
      </c>
      <c r="W252">
        <f>W251+(U251*Graph!$D$5)</f>
        <v>-4996.404648211821</v>
      </c>
      <c r="X252">
        <f>X251+(V251*Graph!$D$5)</f>
        <v>3440.2802435314429</v>
      </c>
      <c r="Y252">
        <f>Y251+(W251*Graph!$D$5)+(U251*Graph!$D$5^2)</f>
        <v>-10005.113554998268</v>
      </c>
      <c r="Z252">
        <f>Z251+(X251*Graph!$D$5)+(V251*Graph!$D$5^2)</f>
        <v>-4346.5953470758213</v>
      </c>
    </row>
    <row r="253" spans="14:26" x14ac:dyDescent="0.35">
      <c r="N253">
        <f>N252+1</f>
        <v>250</v>
      </c>
      <c r="O253">
        <f>Graph!$D$22*((Graph!$D$18-Y253)/POWER((((Graph!$D$18-$Y253)^2)+((Graph!$E$18-$Z253)^2))+(Graph!$D$23^2),(3/2)))</f>
        <v>505.56200582317842</v>
      </c>
      <c r="P253" s="84">
        <f>Graph!$D$22*((Graph!$E$18-Z253)/POWER((((Graph!$D$18-$Y253)^2)+((Graph!$E$18-$Z253)^2))+(Graph!$D$23^2),3/2))</f>
        <v>239.124191249673</v>
      </c>
      <c r="Q253">
        <f>Graph!$D$31*((Graph!$D$27-Y253)/POWER((((Graph!$D$27-$Y253)^2)+((Graph!$E$27-$Z253)^2))+(Graph!$D$32^2),3/2))</f>
        <v>-384.23174042506577</v>
      </c>
      <c r="R253">
        <f>Graph!$D$31*((Graph!$E$27-Z253)/POWER((((Graph!$D$27-$Y253)^2)+((Graph!$E$27-$Z253)^2))+(Graph!$D$32^2),3/2))</f>
        <v>623.06181475912194</v>
      </c>
      <c r="S253">
        <f>Graph!$D$40*((Graph!$D$36-Y253)/POWER((((Graph!$D$36-$Y253)^2)+((Graph!$E$36-$Z253)^2))+(Graph!$D$41^2),3/2))</f>
        <v>1107.6559407909588</v>
      </c>
      <c r="T253">
        <f>Graph!$D$40*((Graph!$E$36-Z253)/POWER((((Graph!$D$36-$Y253)^2)+((Graph!$E$36-$Z253)^2))+(Graph!$D$41^2),3/2))</f>
        <v>-1115.6511375507912</v>
      </c>
      <c r="U253">
        <f>O253+Q253+S253</f>
        <v>1228.9862061890715</v>
      </c>
      <c r="V253">
        <f>P253+R253+T253</f>
        <v>-253.46513154199624</v>
      </c>
      <c r="W253">
        <f>W252+(U252*Graph!$D$5)</f>
        <v>-4182.6340237636696</v>
      </c>
      <c r="X253">
        <f>X252+(V252*Graph!$D$5)</f>
        <v>3060.6788739326457</v>
      </c>
      <c r="Y253">
        <f>Y252+(W252*Graph!$D$5)+(U252*Graph!$D$5^2)</f>
        <v>-12096.430566880103</v>
      </c>
      <c r="Z253">
        <f>Z252+(X252*Graph!$D$5)+(V252*Graph!$D$5^2)</f>
        <v>-2816.2559101094989</v>
      </c>
    </row>
    <row r="254" spans="14:26" x14ac:dyDescent="0.35">
      <c r="N254">
        <f>N253+1</f>
        <v>251</v>
      </c>
      <c r="O254">
        <f>Graph!$D$22*((Graph!$D$18-Y254)/POWER((((Graph!$D$18-$Y254)^2)+((Graph!$E$18-$Z254)^2))+(Graph!$D$23^2),(3/2)))</f>
        <v>487.01322262675592</v>
      </c>
      <c r="P254" s="84">
        <f>Graph!$D$22*((Graph!$E$18-Z254)/POWER((((Graph!$D$18-$Y254)^2)+((Graph!$E$18-$Z254)^2))+(Graph!$D$23^2),3/2))</f>
        <v>191.38347926538248</v>
      </c>
      <c r="Q254">
        <f>Graph!$D$31*((Graph!$D$27-Y254)/POWER((((Graph!$D$27-$Y254)^2)+((Graph!$E$27-$Z254)^2))+(Graph!$D$32^2),3/2))</f>
        <v>-460.82380286834001</v>
      </c>
      <c r="R254">
        <f>Graph!$D$31*((Graph!$E$27-Z254)/POWER((((Graph!$D$27-$Y254)^2)+((Graph!$E$27-$Z254)^2))+(Graph!$D$32^2),3/2))</f>
        <v>854.64834012068297</v>
      </c>
      <c r="S254">
        <f>Graph!$D$40*((Graph!$D$36-Y254)/POWER((((Graph!$D$36-$Y254)^2)+((Graph!$E$36-$Z254)^2))+(Graph!$D$41^2),3/2))</f>
        <v>894.98336610306808</v>
      </c>
      <c r="T254">
        <f>Graph!$D$40*((Graph!$E$36-Z254)/POWER((((Graph!$D$36-$Y254)^2)+((Graph!$E$36-$Z254)^2))+(Graph!$D$41^2),3/2))</f>
        <v>-880.1674265775556</v>
      </c>
      <c r="U254">
        <f>O254+Q254+S254</f>
        <v>921.17278586148404</v>
      </c>
      <c r="V254">
        <f>P254+R254+T254</f>
        <v>165.86439280850993</v>
      </c>
      <c r="W254">
        <f>W253+(U253*Graph!$D$5)</f>
        <v>-3568.1409206691337</v>
      </c>
      <c r="X254">
        <f>X253+(V253*Graph!$D$5)</f>
        <v>2933.9463081616477</v>
      </c>
      <c r="Y254">
        <f>Y253+(W253*Graph!$D$5)+(U253*Graph!$D$5^2)</f>
        <v>-13880.501027214668</v>
      </c>
      <c r="Z254">
        <f>Z253+(X253*Graph!$D$5)+(V253*Graph!$D$5^2)</f>
        <v>-1349.2827560286751</v>
      </c>
    </row>
    <row r="255" spans="14:26" x14ac:dyDescent="0.35">
      <c r="N255">
        <f>N254+1</f>
        <v>252</v>
      </c>
      <c r="O255">
        <f>Graph!$D$22*((Graph!$D$18-Y255)/POWER((((Graph!$D$18-$Y255)^2)+((Graph!$E$18-$Z255)^2))+(Graph!$D$23^2),(3/2)))</f>
        <v>469.64026041419669</v>
      </c>
      <c r="P255" s="84">
        <f>Graph!$D$22*((Graph!$E$18-Z255)/POWER((((Graph!$D$18-$Y255)^2)+((Graph!$E$18-$Z255)^2))+(Graph!$D$23^2),3/2))</f>
        <v>151.85693781174612</v>
      </c>
      <c r="Q255">
        <f>Graph!$D$31*((Graph!$D$27-Y255)/POWER((((Graph!$D$27-$Y255)^2)+((Graph!$E$27-$Z255)^2))+(Graph!$D$32^2),3/2))</f>
        <v>-553.60223421796184</v>
      </c>
      <c r="R255">
        <f>Graph!$D$31*((Graph!$E$27-Z255)/POWER((((Graph!$D$27-$Y255)^2)+((Graph!$E$27-$Z255)^2))+(Graph!$D$32^2),3/2))</f>
        <v>1193.2205459706474</v>
      </c>
      <c r="S255">
        <f>Graph!$D$40*((Graph!$D$36-Y255)/POWER((((Graph!$D$36-$Y255)^2)+((Graph!$E$36-$Z255)^2))+(Graph!$D$41^2),3/2))</f>
        <v>738.23077150984943</v>
      </c>
      <c r="T255">
        <f>Graph!$D$40*((Graph!$E$36-Z255)/POWER((((Graph!$D$36-$Y255)^2)+((Graph!$E$36-$Z255)^2))+(Graph!$D$41^2),3/2))</f>
        <v>-725.07153134158375</v>
      </c>
      <c r="U255">
        <f>O255+Q255+S255</f>
        <v>654.26879770608434</v>
      </c>
      <c r="V255">
        <f>P255+R255+T255</f>
        <v>620.00595244080978</v>
      </c>
      <c r="W255">
        <f>W254+(U254*Graph!$D$5)</f>
        <v>-3107.5545277383917</v>
      </c>
      <c r="X255">
        <f>X254+(V254*Graph!$D$5)</f>
        <v>3016.8785045659029</v>
      </c>
      <c r="Y255">
        <f>Y254+(W254*Graph!$D$5)+(U254*Graph!$D$5^2)</f>
        <v>-15434.278291083865</v>
      </c>
      <c r="Z255">
        <f>Z254+(X254*Graph!$D$5)+(V254*Graph!$D$5^2)</f>
        <v>159.15649625427628</v>
      </c>
    </row>
    <row r="256" spans="14:26" x14ac:dyDescent="0.35">
      <c r="N256">
        <f>N255+1</f>
        <v>253</v>
      </c>
      <c r="O256">
        <f>Graph!$D$22*((Graph!$D$18-Y256)/POWER((((Graph!$D$18-$Y256)^2)+((Graph!$E$18-$Z256)^2))+(Graph!$D$23^2),(3/2)))</f>
        <v>453.85007013141546</v>
      </c>
      <c r="P256" s="84">
        <f>Graph!$D$22*((Graph!$E$18-Z256)/POWER((((Graph!$D$18-$Y256)^2)+((Graph!$E$18-$Z256)^2))+(Graph!$D$23^2),3/2))</f>
        <v>116.61820847454091</v>
      </c>
      <c r="Q256">
        <f>Graph!$D$31*((Graph!$D$27-Y256)/POWER((((Graph!$D$27-$Y256)^2)+((Graph!$E$27-$Z256)^2))+(Graph!$D$32^2),3/2))</f>
        <v>-676.91087422317912</v>
      </c>
      <c r="R256">
        <f>Graph!$D$31*((Graph!$E$27-Z256)/POWER((((Graph!$D$27-$Y256)^2)+((Graph!$E$27-$Z256)^2))+(Graph!$D$32^2),3/2))</f>
        <v>1743.1436168875598</v>
      </c>
      <c r="S256">
        <f>Graph!$D$40*((Graph!$D$36-Y256)/POWER((((Graph!$D$36-$Y256)^2)+((Graph!$E$36-$Z256)^2))+(Graph!$D$41^2),3/2))</f>
        <v>613.04114306554129</v>
      </c>
      <c r="T256">
        <f>Graph!$D$40*((Graph!$E$36-Z256)/POWER((((Graph!$D$36-$Y256)^2)+((Graph!$E$36-$Z256)^2))+(Graph!$D$41^2),3/2))</f>
        <v>-612.97223555080302</v>
      </c>
      <c r="U256">
        <f>O256+Q256+S256</f>
        <v>389.98033897377763</v>
      </c>
      <c r="V256">
        <f>P256+R256+T256</f>
        <v>1246.7895898112979</v>
      </c>
      <c r="W256">
        <f>W255+(U255*Graph!$D$5)</f>
        <v>-2780.4201288853496</v>
      </c>
      <c r="X256">
        <f>X255+(V255*Graph!$D$5)</f>
        <v>3326.8814807863077</v>
      </c>
      <c r="Y256">
        <f>Y255+(W255*Graph!$D$5)+(U255*Graph!$D$5^2)</f>
        <v>-16824.488355526541</v>
      </c>
      <c r="Z256">
        <f>Z255+(X255*Graph!$D$5)+(V255*Graph!$D$5^2)</f>
        <v>1822.5972366474302</v>
      </c>
    </row>
    <row r="257" spans="14:26" x14ac:dyDescent="0.35">
      <c r="N257">
        <f>N256+1</f>
        <v>254</v>
      </c>
      <c r="O257">
        <f>Graph!$D$22*((Graph!$D$18-Y257)/POWER((((Graph!$D$18-$Y257)^2)+((Graph!$E$18-$Z257)^2))+(Graph!$D$23^2),(3/2)))</f>
        <v>438.77644319539183</v>
      </c>
      <c r="P257" s="84">
        <f>Graph!$D$22*((Graph!$E$18-Z257)/POWER((((Graph!$D$18-$Y257)^2)+((Graph!$E$18-$Z257)^2))+(Graph!$D$23^2),3/2))</f>
        <v>82.175043121521739</v>
      </c>
      <c r="Q257">
        <f>Graph!$D$31*((Graph!$D$27-Y257)/POWER((((Graph!$D$27-$Y257)^2)+((Graph!$E$27-$Z257)^2))+(Graph!$D$32^2),3/2))</f>
        <v>-845.94152629701966</v>
      </c>
      <c r="R257">
        <f>Graph!$D$31*((Graph!$E$27-Z257)/POWER((((Graph!$D$27-$Y257)^2)+((Graph!$E$27-$Z257)^2))+(Graph!$D$32^2),3/2))</f>
        <v>2786.6807403911625</v>
      </c>
      <c r="S257">
        <f>Graph!$D$40*((Graph!$D$36-Y257)/POWER((((Graph!$D$36-$Y257)^2)+((Graph!$E$36-$Z257)^2))+(Graph!$D$41^2),3/2))</f>
        <v>505.05709430901362</v>
      </c>
      <c r="T257">
        <f>Graph!$D$40*((Graph!$E$36-Z257)/POWER((((Graph!$D$36-$Y257)^2)+((Graph!$E$36-$Z257)^2))+(Graph!$D$41^2),3/2))</f>
        <v>-524.02842934218722</v>
      </c>
      <c r="U257">
        <f>O257+Q257+S257</f>
        <v>97.892011207385792</v>
      </c>
      <c r="V257">
        <f>P257+R257+T257</f>
        <v>2344.8273541704971</v>
      </c>
      <c r="W257">
        <f>W256+(U256*Graph!$D$5)</f>
        <v>-2585.4299593984606</v>
      </c>
      <c r="X257">
        <f>X256+(V256*Graph!$D$5)</f>
        <v>3950.2762756919565</v>
      </c>
      <c r="Y257">
        <f>Y256+(W256*Graph!$D$5)+(U256*Graph!$D$5^2)</f>
        <v>-18117.203335225771</v>
      </c>
      <c r="Z257">
        <f>Z256+(X256*Graph!$D$5)+(V256*Graph!$D$5^2)</f>
        <v>3797.7353744934089</v>
      </c>
    </row>
    <row r="258" spans="14:26" x14ac:dyDescent="0.35">
      <c r="N258">
        <f>N257+1</f>
        <v>255</v>
      </c>
      <c r="O258">
        <f>Graph!$D$22*((Graph!$D$18-Y258)/POWER((((Graph!$D$18-$Y258)^2)+((Graph!$E$18-$Z258)^2))+(Graph!$D$23^2),(3/2)))</f>
        <v>422.18727954914283</v>
      </c>
      <c r="P258" s="84">
        <f>Graph!$D$22*((Graph!$E$18-Z258)/POWER((((Graph!$D$18-$Y258)^2)+((Graph!$E$18-$Z258)^2))+(Graph!$D$23^2),3/2))</f>
        <v>44.703506026027689</v>
      </c>
      <c r="Q258">
        <f>Graph!$D$31*((Graph!$D$27-Y258)/POWER((((Graph!$D$27-$Y258)^2)+((Graph!$E$27-$Z258)^2))+(Graph!$D$32^2),3/2))</f>
        <v>-838.12126934265359</v>
      </c>
      <c r="R258">
        <f>Graph!$D$31*((Graph!$E$27-Z258)/POWER((((Graph!$D$27-$Y258)^2)+((Graph!$E$27-$Z258)^2))+(Graph!$D$32^2),3/2))</f>
        <v>4965.4363689515976</v>
      </c>
      <c r="S258">
        <f>Graph!$D$40*((Graph!$D$36-Y258)/POWER((((Graph!$D$36-$Y258)^2)+((Graph!$E$36-$Z258)^2))+(Graph!$D$41^2),3/2))</f>
        <v>404.57473644301416</v>
      </c>
      <c r="T258">
        <f>Graph!$D$40*((Graph!$E$36-Z258)/POWER((((Graph!$D$36-$Y258)^2)+((Graph!$E$36-$Z258)^2))+(Graph!$D$41^2),3/2))</f>
        <v>-445.76454987181432</v>
      </c>
      <c r="U258">
        <f>O258+Q258+S258</f>
        <v>-11.359253350496601</v>
      </c>
      <c r="V258">
        <f>P258+R258+T258</f>
        <v>4564.3753251058115</v>
      </c>
      <c r="W258">
        <f>W257+(U257*Graph!$D$5)</f>
        <v>-2536.4839537947678</v>
      </c>
      <c r="X258">
        <f>X257+(V257*Graph!$D$5)</f>
        <v>5122.6899527772048</v>
      </c>
      <c r="Y258">
        <f>Y257+(W257*Graph!$D$5)+(U257*Graph!$D$5^2)</f>
        <v>-19385.445312123156</v>
      </c>
      <c r="Z258">
        <f>Z257+(X257*Graph!$D$5)+(V257*Graph!$D$5^2)</f>
        <v>6359.0803508820118</v>
      </c>
    </row>
    <row r="259" spans="14:26" x14ac:dyDescent="0.35">
      <c r="N259">
        <f>N258+1</f>
        <v>256</v>
      </c>
      <c r="O259">
        <f>Graph!$D$22*((Graph!$D$18-Y259)/POWER((((Graph!$D$18-$Y259)^2)+((Graph!$E$18-$Z259)^2))+(Graph!$D$23^2),(3/2)))</f>
        <v>399.97541336945528</v>
      </c>
      <c r="P259" s="84">
        <f>Graph!$D$22*((Graph!$E$18-Z259)/POWER((((Graph!$D$18-$Y259)^2)+((Graph!$E$18-$Z259)^2))+(Graph!$D$23^2),3/2))</f>
        <v>-0.6900882634859028</v>
      </c>
      <c r="Q259">
        <f>Graph!$D$31*((Graph!$D$27-Y259)/POWER((((Graph!$D$27-$Y259)^2)+((Graph!$E$27-$Z259)^2))+(Graph!$D$32^2),3/2))</f>
        <v>2609.8727098801392</v>
      </c>
      <c r="R259">
        <f>Graph!$D$31*((Graph!$E$27-Z259)/POWER((((Graph!$D$27-$Y259)^2)+((Graph!$E$27-$Z259)^2))+(Graph!$D$32^2),3/2))</f>
        <v>-244.55528560828478</v>
      </c>
      <c r="S259">
        <f>Graph!$D$40*((Graph!$D$36-Y259)/POWER((((Graph!$D$36-$Y259)^2)+((Graph!$E$36-$Z259)^2))+(Graph!$D$41^2),3/2))</f>
        <v>304.83015376143391</v>
      </c>
      <c r="T259">
        <f>Graph!$D$40*((Graph!$E$36-Z259)/POWER((((Graph!$D$36-$Y259)^2)+((Graph!$E$36-$Z259)^2))+(Graph!$D$41^2),3/2))</f>
        <v>-369.83500182481748</v>
      </c>
      <c r="U259">
        <f>O259+Q259+S259</f>
        <v>3314.6782770110281</v>
      </c>
      <c r="V259">
        <f>P259+R259+T259</f>
        <v>-615.08037569658813</v>
      </c>
      <c r="W259">
        <f>W258+(U258*Graph!$D$5)</f>
        <v>-2542.1635804700163</v>
      </c>
      <c r="X259">
        <f>X258+(V258*Graph!$D$5)</f>
        <v>7404.8776153301105</v>
      </c>
      <c r="Y259">
        <f>Y258+(W258*Graph!$D$5)+(U258*Graph!$D$5^2)</f>
        <v>-20656.527102358166</v>
      </c>
      <c r="Z259">
        <f>Z258+(X258*Graph!$D$5)+(V258*Graph!$D$5^2)</f>
        <v>10061.519158547067</v>
      </c>
    </row>
    <row r="260" spans="14:26" x14ac:dyDescent="0.35">
      <c r="N260">
        <f>N259+1</f>
        <v>257</v>
      </c>
      <c r="O260">
        <f>Graph!$D$22*((Graph!$D$18-Y260)/POWER((((Graph!$D$18-$Y260)^2)+((Graph!$E$18-$Z260)^2))+(Graph!$D$23^2),(3/2)))</f>
        <v>384.82992426708353</v>
      </c>
      <c r="P260" s="84">
        <f>Graph!$D$22*((Graph!$E$18-Z260)/POWER((((Graph!$D$18-$Y260)^2)+((Graph!$E$18-$Z260)^2))+(Graph!$D$23^2),3/2))</f>
        <v>-38.48612595063819</v>
      </c>
      <c r="Q260">
        <f>Graph!$D$31*((Graph!$D$27-Y260)/POWER((((Graph!$D$27-$Y260)^2)+((Graph!$E$27-$Z260)^2))+(Graph!$D$32^2),3/2))</f>
        <v>1447.4910110351254</v>
      </c>
      <c r="R260">
        <f>Graph!$D$31*((Graph!$E$27-Z260)/POWER((((Graph!$D$27-$Y260)^2)+((Graph!$E$27-$Z260)^2))+(Graph!$D$32^2),3/2))</f>
        <v>-4755.2347816623696</v>
      </c>
      <c r="S260">
        <f>Graph!$D$40*((Graph!$D$36-Y260)/POWER((((Graph!$D$36-$Y260)^2)+((Graph!$E$36-$Z260)^2))+(Graph!$D$41^2),3/2))</f>
        <v>238.79620074754962</v>
      </c>
      <c r="T260">
        <f>Graph!$D$40*((Graph!$E$36-Z260)/POWER((((Graph!$D$36-$Y260)^2)+((Graph!$E$36-$Z260)^2))+(Graph!$D$41^2),3/2))</f>
        <v>-323.80794417557172</v>
      </c>
      <c r="U260">
        <f>O260+Q260+S260</f>
        <v>2071.1171360497583</v>
      </c>
      <c r="V260">
        <f>P260+R260+T260</f>
        <v>-5117.5288517885792</v>
      </c>
      <c r="W260">
        <f>W259+(U259*Graph!$D$5)</f>
        <v>-884.82444196450228</v>
      </c>
      <c r="X260">
        <f>X259+(V259*Graph!$D$5)</f>
        <v>7097.3374274818161</v>
      </c>
      <c r="Y260">
        <f>Y259+(W259*Graph!$D$5)+(U259*Graph!$D$5^2)</f>
        <v>-21098.939323340419</v>
      </c>
      <c r="Z260">
        <f>Z259+(X259*Graph!$D$5)+(V259*Graph!$D$5^2)</f>
        <v>13610.187872287976</v>
      </c>
    </row>
    <row r="261" spans="14:26" x14ac:dyDescent="0.35">
      <c r="N261">
        <f>N260+1</f>
        <v>258</v>
      </c>
      <c r="O261">
        <f>Graph!$D$22*((Graph!$D$18-Y261)/POWER((((Graph!$D$18-$Y261)^2)+((Graph!$E$18-$Z261)^2))+(Graph!$D$23^2),(3/2)))</f>
        <v>377.21413252073484</v>
      </c>
      <c r="P261" s="84">
        <f>Graph!$D$22*((Graph!$E$18-Z261)/POWER((((Graph!$D$18-$Y261)^2)+((Graph!$E$18-$Z261)^2))+(Graph!$D$23^2),3/2))</f>
        <v>-61.565821659598505</v>
      </c>
      <c r="Q261">
        <f>Graph!$D$31*((Graph!$D$27-Y261)/POWER((((Graph!$D$27-$Y261)^2)+((Graph!$E$27-$Z261)^2))+(Graph!$D$32^2),3/2))</f>
        <v>555.1005359143827</v>
      </c>
      <c r="R261">
        <f>Graph!$D$31*((Graph!$E$27-Z261)/POWER((((Graph!$D$27-$Y261)^2)+((Graph!$E$27-$Z261)^2))+(Graph!$D$32^2),3/2))</f>
        <v>-3188.5383201019558</v>
      </c>
      <c r="S261">
        <f>Graph!$D$40*((Graph!$D$36-Y261)/POWER((((Graph!$D$36-$Y261)^2)+((Graph!$E$36-$Z261)^2))+(Graph!$D$41^2),3/2))</f>
        <v>205.60248523128749</v>
      </c>
      <c r="T261">
        <f>Graph!$D$40*((Graph!$E$36-Z261)/POWER((((Graph!$D$36-$Y261)^2)+((Graph!$E$36-$Z261)^2))+(Graph!$D$41^2),3/2))</f>
        <v>-301.98943334322632</v>
      </c>
      <c r="U261">
        <f>O261+Q261+S261</f>
        <v>1137.9171536664051</v>
      </c>
      <c r="V261">
        <f>P261+R261+T261</f>
        <v>-3552.0935751047805</v>
      </c>
      <c r="W261">
        <f>W260+(U260*Graph!$D$5)</f>
        <v>150.73412606037687</v>
      </c>
      <c r="X261">
        <f>X260+(V260*Graph!$D$5)</f>
        <v>4538.573001587527</v>
      </c>
      <c r="Y261">
        <f>Y260+(W260*Graph!$D$5)+(U260*Graph!$D$5^2)</f>
        <v>-21023.572260310233</v>
      </c>
      <c r="Z261">
        <f>Z260+(X260*Graph!$D$5)+(V260*Graph!$D$5^2)</f>
        <v>15879.474373081739</v>
      </c>
    </row>
    <row r="262" spans="14:26" x14ac:dyDescent="0.35">
      <c r="N262">
        <f>N261+1</f>
        <v>259</v>
      </c>
      <c r="O262">
        <f>Graph!$D$22*((Graph!$D$18-Y262)/POWER((((Graph!$D$18-$Y262)^2)+((Graph!$E$18-$Z262)^2))+(Graph!$D$23^2),(3/2)))</f>
        <v>376.62421923049897</v>
      </c>
      <c r="P262" s="84">
        <f>Graph!$D$22*((Graph!$E$18-Z262)/POWER((((Graph!$D$18-$Y262)^2)+((Graph!$E$18-$Z262)^2))+(Graph!$D$23^2),3/2))</f>
        <v>-76.676497331435684</v>
      </c>
      <c r="Q262">
        <f>Graph!$D$31*((Graph!$D$27-Y262)/POWER((((Graph!$D$27-$Y262)^2)+((Graph!$E$27-$Z262)^2))+(Graph!$D$32^2),3/2))</f>
        <v>225.3340560529715</v>
      </c>
      <c r="R262">
        <f>Graph!$D$31*((Graph!$E$27-Z262)/POWER((((Graph!$D$27-$Y262)^2)+((Graph!$E$27-$Z262)^2))+(Graph!$D$32^2),3/2))</f>
        <v>-2465.0106383947491</v>
      </c>
      <c r="S262">
        <f>Graph!$D$40*((Graph!$D$36-Y262)/POWER((((Graph!$D$36-$Y262)^2)+((Graph!$E$36-$Z262)^2))+(Graph!$D$41^2),3/2))</f>
        <v>187.5983117384927</v>
      </c>
      <c r="T262">
        <f>Graph!$D$40*((Graph!$E$36-Z262)/POWER((((Graph!$D$36-$Y262)^2)+((Graph!$E$36-$Z262)^2))+(Graph!$D$41^2),3/2))</f>
        <v>-292.88328316963356</v>
      </c>
      <c r="U262">
        <f>O262+Q262+S262</f>
        <v>789.5565870219632</v>
      </c>
      <c r="V262">
        <f>P262+R262+T262</f>
        <v>-2834.5704188958184</v>
      </c>
      <c r="W262">
        <f>W261+(U261*Graph!$D$5)</f>
        <v>719.69270289357939</v>
      </c>
      <c r="X262">
        <f>X261+(V261*Graph!$D$5)</f>
        <v>2762.5262140351369</v>
      </c>
      <c r="Y262">
        <f>Y261+(W261*Graph!$D$5)+(U261*Graph!$D$5^2)</f>
        <v>-20663.725908863442</v>
      </c>
      <c r="Z262">
        <f>Z261+(X261*Graph!$D$5)+(V261*Graph!$D$5^2)</f>
        <v>17260.737480099306</v>
      </c>
    </row>
    <row r="263" spans="14:26" x14ac:dyDescent="0.35">
      <c r="N263">
        <f>N262+1</f>
        <v>260</v>
      </c>
      <c r="O263">
        <f>Graph!$D$22*((Graph!$D$18-Y263)/POWER((((Graph!$D$18-$Y263)^2)+((Graph!$E$18-$Z263)^2))+(Graph!$D$23^2),(3/2)))</f>
        <v>383.1121017183354</v>
      </c>
      <c r="P263" s="84">
        <f>Graph!$D$22*((Graph!$E$18-Z263)/POWER((((Graph!$D$18-$Y263)^2)+((Graph!$E$18-$Z263)^2))+(Graph!$D$23^2),3/2))</f>
        <v>-86.575599405273749</v>
      </c>
      <c r="Q263">
        <f>Graph!$D$31*((Graph!$D$27-Y263)/POWER((((Graph!$D$27-$Y263)^2)+((Graph!$E$27-$Z263)^2))+(Graph!$D$32^2),3/2))</f>
        <v>29.327884413997662</v>
      </c>
      <c r="R263">
        <f>Graph!$D$31*((Graph!$E$27-Z263)/POWER((((Graph!$D$27-$Y263)^2)+((Graph!$E$27-$Z263)^2))+(Graph!$D$32^2),3/2))</f>
        <v>-2184.8784738262207</v>
      </c>
      <c r="S263">
        <f>Graph!$D$40*((Graph!$D$36-Y263)/POWER((((Graph!$D$36-$Y263)^2)+((Graph!$E$36-$Z263)^2))+(Graph!$D$41^2),3/2))</f>
        <v>178.73063422341022</v>
      </c>
      <c r="T263">
        <f>Graph!$D$40*((Graph!$E$36-Z263)/POWER((((Graph!$D$36-$Y263)^2)+((Graph!$E$36-$Z263)^2))+(Graph!$D$41^2),3/2))</f>
        <v>-292.75123798724354</v>
      </c>
      <c r="U263">
        <f>O263+Q263+S263</f>
        <v>591.17062035574327</v>
      </c>
      <c r="V263">
        <f>P263+R263+T263</f>
        <v>-2564.2053112187382</v>
      </c>
      <c r="W263">
        <f>W262+(U262*Graph!$D$5)</f>
        <v>1114.470996404561</v>
      </c>
      <c r="X263">
        <f>X262+(V262*Graph!$D$5)</f>
        <v>1345.2410045872277</v>
      </c>
      <c r="Y263">
        <f>Y262+(W262*Graph!$D$5)+(U262*Graph!$D$5^2)</f>
        <v>-20106.490410661161</v>
      </c>
      <c r="Z263">
        <f>Z262+(X262*Graph!$D$5)+(V262*Graph!$D$5^2)</f>
        <v>17933.357982392921</v>
      </c>
    </row>
    <row r="264" spans="14:26" x14ac:dyDescent="0.35">
      <c r="N264">
        <f>N263+1</f>
        <v>261</v>
      </c>
      <c r="O264">
        <f>Graph!$D$22*((Graph!$D$18-Y264)/POWER((((Graph!$D$18-$Y264)^2)+((Graph!$E$18-$Z264)^2))+(Graph!$D$23^2),(3/2)))</f>
        <v>397.09619996704669</v>
      </c>
      <c r="P264" s="84">
        <f>Graph!$D$22*((Graph!$E$18-Z264)/POWER((((Graph!$D$18-$Y264)^2)+((Graph!$E$18-$Z264)^2))+(Graph!$D$23^2),3/2))</f>
        <v>-91.939182217015485</v>
      </c>
      <c r="Q264">
        <f>Graph!$D$31*((Graph!$D$27-Y264)/POWER((((Graph!$D$27-$Y264)^2)+((Graph!$E$27-$Z264)^2))+(Graph!$D$32^2),3/2))</f>
        <v>-162.0876460885552</v>
      </c>
      <c r="R264">
        <f>Graph!$D$31*((Graph!$E$27-Z264)/POWER((((Graph!$D$27-$Y264)^2)+((Graph!$E$27-$Z264)^2))+(Graph!$D$32^2),3/2))</f>
        <v>-2156.9505181960449</v>
      </c>
      <c r="S264">
        <f>Graph!$D$40*((Graph!$D$36-Y264)/POWER((((Graph!$D$36-$Y264)^2)+((Graph!$E$36-$Z264)^2))+(Graph!$D$41^2),3/2))</f>
        <v>176.96342986613863</v>
      </c>
      <c r="T264">
        <f>Graph!$D$40*((Graph!$E$36-Z264)/POWER((((Graph!$D$36-$Y264)^2)+((Graph!$E$36-$Z264)^2))+(Graph!$D$41^2),3/2))</f>
        <v>-300.67767560938614</v>
      </c>
      <c r="U264">
        <f>O264+Q264+S264</f>
        <v>411.97198374463011</v>
      </c>
      <c r="V264">
        <f>P264+R264+T264</f>
        <v>-2549.5673760224463</v>
      </c>
      <c r="W264">
        <f>W263+(U263*Graph!$D$5)</f>
        <v>1410.0563065824326</v>
      </c>
      <c r="X264">
        <f>X263+(V263*Graph!$D$5)</f>
        <v>63.138348977858641</v>
      </c>
      <c r="Y264">
        <f>Y263+(W263*Graph!$D$5)+(U263*Graph!$D$5^2)</f>
        <v>-19401.462257369945</v>
      </c>
      <c r="Z264">
        <f>Z263+(X263*Graph!$D$5)+(V263*Graph!$D$5^2)</f>
        <v>17964.927156881851</v>
      </c>
    </row>
    <row r="265" spans="14:26" x14ac:dyDescent="0.35">
      <c r="N265">
        <f>N264+1</f>
        <v>262</v>
      </c>
      <c r="O265">
        <f>Graph!$D$22*((Graph!$D$18-Y265)/POWER((((Graph!$D$18-$Y265)^2)+((Graph!$E$18-$Z265)^2))+(Graph!$D$23^2),(3/2)))</f>
        <v>419.10961165689582</v>
      </c>
      <c r="P265" s="84">
        <f>Graph!$D$22*((Graph!$E$18-Z265)/POWER((((Graph!$D$18-$Y265)^2)+((Graph!$E$18-$Z265)^2))+(Graph!$D$23^2),3/2))</f>
        <v>-91.811714492521958</v>
      </c>
      <c r="Q265">
        <f>Graph!$D$31*((Graph!$D$27-Y265)/POWER((((Graph!$D$27-$Y265)^2)+((Graph!$E$27-$Z265)^2))+(Graph!$D$32^2),3/2))</f>
        <v>-446.69494333349701</v>
      </c>
      <c r="R265">
        <f>Graph!$D$31*((Graph!$E$27-Z265)/POWER((((Graph!$D$27-$Y265)^2)+((Graph!$E$27-$Z265)^2))+(Graph!$D$32^2),3/2))</f>
        <v>-2337.1042485308694</v>
      </c>
      <c r="S265">
        <f>Graph!$D$40*((Graph!$D$36-Y265)/POWER((((Graph!$D$36-$Y265)^2)+((Graph!$E$36-$Z265)^2))+(Graph!$D$41^2),3/2))</f>
        <v>182.35732446315092</v>
      </c>
      <c r="T265">
        <f>Graph!$D$40*((Graph!$E$36-Z265)/POWER((((Graph!$D$36-$Y265)^2)+((Graph!$E$36-$Z265)^2))+(Graph!$D$41^2),3/2))</f>
        <v>-317.3656603970569</v>
      </c>
      <c r="U265">
        <f>O265+Q265+S265</f>
        <v>154.77199278654973</v>
      </c>
      <c r="V265">
        <f>P265+R265+T265</f>
        <v>-2746.2816234204483</v>
      </c>
      <c r="W265">
        <f>W264+(U264*Graph!$D$5)</f>
        <v>1616.0422984547477</v>
      </c>
      <c r="X265">
        <f>X264+(V264*Graph!$D$5)</f>
        <v>-1211.6453390333645</v>
      </c>
      <c r="Y265">
        <f>Y264+(W264*Graph!$D$5)+(U264*Graph!$D$5^2)</f>
        <v>-18593.441108142571</v>
      </c>
      <c r="Z265">
        <f>Z264+(X264*Graph!$D$5)+(V264*Graph!$D$5^2)</f>
        <v>17359.10448736517</v>
      </c>
    </row>
    <row r="266" spans="14:26" x14ac:dyDescent="0.35">
      <c r="N266">
        <f>N265+1</f>
        <v>263</v>
      </c>
      <c r="O266">
        <f>Graph!$D$22*((Graph!$D$18-Y266)/POWER((((Graph!$D$18-$Y266)^2)+((Graph!$E$18-$Z266)^2))+(Graph!$D$23^2),(3/2)))</f>
        <v>448.90969690724336</v>
      </c>
      <c r="P266" s="84">
        <f>Graph!$D$22*((Graph!$E$18-Z266)/POWER((((Graph!$D$18-$Y266)^2)+((Graph!$E$18-$Z266)^2))+(Graph!$D$23^2),3/2))</f>
        <v>-83.165733920477933</v>
      </c>
      <c r="Q266">
        <f>Graph!$D$31*((Graph!$D$27-Y266)/POWER((((Graph!$D$27-$Y266)^2)+((Graph!$E$27-$Z266)^2))+(Graph!$D$32^2),3/2))</f>
        <v>-1016.0678837636575</v>
      </c>
      <c r="R266">
        <f>Graph!$D$31*((Graph!$E$27-Z266)/POWER((((Graph!$D$27-$Y266)^2)+((Graph!$E$27-$Z266)^2))+(Graph!$D$32^2),3/2))</f>
        <v>-2735.6607558552573</v>
      </c>
      <c r="S266">
        <f>Graph!$D$40*((Graph!$D$36-Y266)/POWER((((Graph!$D$36-$Y266)^2)+((Graph!$E$36-$Z266)^2))+(Graph!$D$41^2),3/2))</f>
        <v>197.086899049126</v>
      </c>
      <c r="T266">
        <f>Graph!$D$40*((Graph!$E$36-Z266)/POWER((((Graph!$D$36-$Y266)^2)+((Graph!$E$36-$Z266)^2))+(Graph!$D$41^2),3/2))</f>
        <v>-345.012453811706</v>
      </c>
      <c r="U266">
        <f>O266+Q266+S266</f>
        <v>-370.07128780728817</v>
      </c>
      <c r="V266">
        <f>P266+R266+T266</f>
        <v>-3163.8389435874415</v>
      </c>
      <c r="W266">
        <f>W265+(U265*Graph!$D$5)</f>
        <v>1693.4282948480225</v>
      </c>
      <c r="X266">
        <f>X265+(V265*Graph!$D$5)</f>
        <v>-2584.7861507435887</v>
      </c>
      <c r="Y266">
        <f>Y265+(W265*Graph!$D$5)+(U265*Graph!$D$5^2)</f>
        <v>-17746.726960718559</v>
      </c>
      <c r="Z266">
        <f>Z265+(X265*Graph!$D$5)+(V265*Graph!$D$5^2)</f>
        <v>16066.711411993376</v>
      </c>
    </row>
    <row r="267" spans="14:26" x14ac:dyDescent="0.35">
      <c r="N267">
        <f>N266+1</f>
        <v>264</v>
      </c>
      <c r="O267">
        <f>Graph!$D$22*((Graph!$D$18-Y267)/POWER((((Graph!$D$18-$Y267)^2)+((Graph!$E$18-$Z267)^2))+(Graph!$D$23^2),(3/2)))</f>
        <v>482.38806153261584</v>
      </c>
      <c r="P267" s="84">
        <f>Graph!$D$22*((Graph!$E$18-Z267)/POWER((((Graph!$D$18-$Y267)^2)+((Graph!$E$18-$Z267)^2))+(Graph!$D$23^2),3/2))</f>
        <v>-60.0616642584665</v>
      </c>
      <c r="Q267">
        <f>Graph!$D$31*((Graph!$D$27-Y267)/POWER((((Graph!$D$27-$Y267)^2)+((Graph!$E$27-$Z267)^2))+(Graph!$D$32^2),3/2))</f>
        <v>-2384.2128555890004</v>
      </c>
      <c r="R267">
        <f>Graph!$D$31*((Graph!$E$27-Z267)/POWER((((Graph!$D$27-$Y267)^2)+((Graph!$E$27-$Z267)^2))+(Graph!$D$32^2),3/2))</f>
        <v>-3157.8625190906591</v>
      </c>
      <c r="S267">
        <f>Graph!$D$40*((Graph!$D$36-Y267)/POWER((((Graph!$D$36-$Y267)^2)+((Graph!$E$36-$Z267)^2))+(Graph!$D$41^2),3/2))</f>
        <v>227.02386429702233</v>
      </c>
      <c r="T267">
        <f>Graph!$D$40*((Graph!$E$36-Z267)/POWER((((Graph!$D$36-$Y267)^2)+((Graph!$E$36-$Z267)^2))+(Graph!$D$41^2),3/2))</f>
        <v>-387.22390508419204</v>
      </c>
      <c r="U267">
        <f>O267+Q267+S267</f>
        <v>-1674.8009297593621</v>
      </c>
      <c r="V267">
        <f>P267+R267+T267</f>
        <v>-3605.1480884333178</v>
      </c>
      <c r="W267">
        <f>W266+(U266*Graph!$D$5)</f>
        <v>1508.3926509443784</v>
      </c>
      <c r="X267">
        <f>X266+(V266*Graph!$D$5)</f>
        <v>-4166.705622537309</v>
      </c>
      <c r="Y267">
        <f>Y266+(W266*Graph!$D$5)+(U266*Graph!$D$5^2)</f>
        <v>-16992.530635246367</v>
      </c>
      <c r="Z267">
        <f>Z266+(X266*Graph!$D$5)+(V266*Graph!$D$5^2)</f>
        <v>13983.358600724721</v>
      </c>
    </row>
    <row r="268" spans="14:26" x14ac:dyDescent="0.35">
      <c r="N268">
        <f>N267+1</f>
        <v>265</v>
      </c>
      <c r="O268">
        <f>Graph!$D$22*((Graph!$D$18-Y268)/POWER((((Graph!$D$18-$Y268)^2)+((Graph!$E$18-$Z268)^2))+(Graph!$D$23^2),(3/2)))</f>
        <v>502.77590250760426</v>
      </c>
      <c r="P268" s="84">
        <f>Graph!$D$22*((Graph!$E$18-Z268)/POWER((((Graph!$D$18-$Y268)^2)+((Graph!$E$18-$Z268)^2))+(Graph!$D$23^2),3/2))</f>
        <v>-15.861616126265982</v>
      </c>
      <c r="Q268">
        <f>Graph!$D$31*((Graph!$D$27-Y268)/POWER((((Graph!$D$27-$Y268)^2)+((Graph!$E$27-$Z268)^2))+(Graph!$D$32^2),3/2))</f>
        <v>-4974.2765367998945</v>
      </c>
      <c r="R268">
        <f>Graph!$D$31*((Graph!$E$27-Z268)/POWER((((Graph!$D$27-$Y268)^2)+((Graph!$E$27-$Z268)^2))+(Graph!$D$32^2),3/2))</f>
        <v>-1486.076776446793</v>
      </c>
      <c r="S268">
        <f>Graph!$D$40*((Graph!$D$36-Y268)/POWER((((Graph!$D$36-$Y268)^2)+((Graph!$E$36-$Z268)^2))+(Graph!$D$41^2),3/2))</f>
        <v>284.98905604409043</v>
      </c>
      <c r="T268">
        <f>Graph!$D$40*((Graph!$E$36-Z268)/POWER((((Graph!$D$36-$Y268)^2)+((Graph!$E$36-$Z268)^2))+(Graph!$D$41^2),3/2))</f>
        <v>-444.81809178486424</v>
      </c>
      <c r="U268">
        <f>O268+Q268+S268</f>
        <v>-4186.5115782481998</v>
      </c>
      <c r="V268">
        <f>P268+R268+T268</f>
        <v>-1946.7564843579232</v>
      </c>
      <c r="W268">
        <f>W267+(U267*Graph!$D$5)</f>
        <v>670.99218606469731</v>
      </c>
      <c r="X268">
        <f>X267+(V267*Graph!$D$5)</f>
        <v>-5969.2796667539678</v>
      </c>
      <c r="Y268">
        <f>Y267+(W267*Graph!$D$5)+(U267*Graph!$D$5^2)</f>
        <v>-16657.03454221402</v>
      </c>
      <c r="Z268">
        <f>Z267+(X267*Graph!$D$5)+(V267*Graph!$D$5^2)</f>
        <v>10998.718767347738</v>
      </c>
    </row>
    <row r="269" spans="14:26" x14ac:dyDescent="0.35">
      <c r="N269">
        <f>N268+1</f>
        <v>266</v>
      </c>
      <c r="O269">
        <f>Graph!$D$22*((Graph!$D$18-Y269)/POWER((((Graph!$D$18-$Y269)^2)+((Graph!$E$18-$Z269)^2))+(Graph!$D$23^2),(3/2)))</f>
        <v>478.29745561793004</v>
      </c>
      <c r="P269" s="84">
        <f>Graph!$D$22*((Graph!$E$18-Z269)/POWER((((Graph!$D$18-$Y269)^2)+((Graph!$E$18-$Z269)^2))+(Graph!$D$23^2),3/2))</f>
        <v>36.537230706071426</v>
      </c>
      <c r="Q269">
        <f>Graph!$D$31*((Graph!$D$27-Y269)/POWER((((Graph!$D$27-$Y269)^2)+((Graph!$E$27-$Z269)^2))+(Graph!$D$32^2),3/2))</f>
        <v>-3716.3698774499853</v>
      </c>
      <c r="R269">
        <f>Graph!$D$31*((Graph!$E$27-Z269)/POWER((((Graph!$D$27-$Y269)^2)+((Graph!$E$27-$Z269)^2))+(Graph!$D$32^2),3/2))</f>
        <v>3491.5329835683192</v>
      </c>
      <c r="S269">
        <f>Graph!$D$40*((Graph!$D$36-Y269)/POWER((((Graph!$D$36-$Y269)^2)+((Graph!$E$36-$Z269)^2))+(Graph!$D$41^2),3/2))</f>
        <v>377.4825749654795</v>
      </c>
      <c r="T269">
        <f>Graph!$D$40*((Graph!$E$36-Z269)/POWER((((Graph!$D$36-$Y269)^2)+((Graph!$E$36-$Z269)^2))+(Graph!$D$41^2),3/2))</f>
        <v>-489.61398373989533</v>
      </c>
      <c r="U269">
        <f>O269+Q269+S269</f>
        <v>-2860.5898468665755</v>
      </c>
      <c r="V269">
        <f>P269+R269+T269</f>
        <v>3038.4562305344953</v>
      </c>
      <c r="W269">
        <f>W268+(U268*Graph!$D$5)</f>
        <v>-1422.2636030594026</v>
      </c>
      <c r="X269">
        <f>X268+(V268*Graph!$D$5)</f>
        <v>-6942.6579089329298</v>
      </c>
      <c r="Y269">
        <f>Y268+(W268*Graph!$D$5)+(U268*Graph!$D$5^2)</f>
        <v>-17368.16634374372</v>
      </c>
      <c r="Z269">
        <f>Z268+(X268*Graph!$D$5)+(V268*Graph!$D$5^2)</f>
        <v>7527.3898128812734</v>
      </c>
    </row>
    <row r="270" spans="14:26" x14ac:dyDescent="0.35">
      <c r="N270">
        <f>N269+1</f>
        <v>267</v>
      </c>
      <c r="O270">
        <f>Graph!$D$22*((Graph!$D$18-Y270)/POWER((((Graph!$D$18-$Y270)^2)+((Graph!$E$18-$Z270)^2))+(Graph!$D$23^2),(3/2)))</f>
        <v>428.91301382715761</v>
      </c>
      <c r="P270" s="84">
        <f>Graph!$D$22*((Graph!$E$18-Z270)/POWER((((Graph!$D$18-$Y270)^2)+((Graph!$E$18-$Z270)^2))+(Graph!$D$23^2),3/2))</f>
        <v>65.798519741287393</v>
      </c>
      <c r="Q270">
        <f>Graph!$D$31*((Graph!$D$27-Y270)/POWER((((Graph!$D$27-$Y270)^2)+((Graph!$E$27-$Z270)^2))+(Graph!$D$32^2),3/2))</f>
        <v>-837.53323450153448</v>
      </c>
      <c r="R270">
        <f>Graph!$D$31*((Graph!$E$27-Z270)/POWER((((Graph!$D$27-$Y270)^2)+((Graph!$E$27-$Z270)^2))+(Graph!$D$32^2),3/2))</f>
        <v>3601.6994184961709</v>
      </c>
      <c r="S270">
        <f>Graph!$D$40*((Graph!$D$36-Y270)/POWER((((Graph!$D$36-$Y270)^2)+((Graph!$E$36-$Z270)^2))+(Graph!$D$41^2),3/2))</f>
        <v>459.76689815206396</v>
      </c>
      <c r="T270">
        <f>Graph!$D$40*((Graph!$E$36-Z270)/POWER((((Graph!$D$36-$Y270)^2)+((Graph!$E$36-$Z270)^2))+(Graph!$D$41^2),3/2))</f>
        <v>-484.74914245689814</v>
      </c>
      <c r="U270">
        <f>O270+Q270+S270</f>
        <v>51.146677477687092</v>
      </c>
      <c r="V270">
        <f>P270+R270+T270</f>
        <v>3182.7487957805602</v>
      </c>
      <c r="W270">
        <f>W269+(U269*Graph!$D$5)</f>
        <v>-2852.5585264926904</v>
      </c>
      <c r="X270">
        <f>X269+(V269*Graph!$D$5)</f>
        <v>-5423.4297936656822</v>
      </c>
      <c r="Y270">
        <f>Y269+(W269*Graph!$D$5)+(U269*Graph!$D$5^2)</f>
        <v>-18794.445606990063</v>
      </c>
      <c r="Z270">
        <f>Z269+(X269*Graph!$D$5)+(V269*Graph!$D$5^2)</f>
        <v>4815.6749160484324</v>
      </c>
    </row>
    <row r="271" spans="14:26" x14ac:dyDescent="0.35">
      <c r="N271">
        <f>N270+1</f>
        <v>268</v>
      </c>
      <c r="O271">
        <f>Graph!$D$22*((Graph!$D$18-Y271)/POWER((((Graph!$D$18-$Y271)^2)+((Graph!$E$18-$Z271)^2))+(Graph!$D$23^2),(3/2)))</f>
        <v>386.58383451906451</v>
      </c>
      <c r="P271" s="84">
        <f>Graph!$D$22*((Graph!$E$18-Z271)/POWER((((Graph!$D$18-$Y271)^2)+((Graph!$E$18-$Z271)^2))+(Graph!$D$23^2),3/2))</f>
        <v>77.962009282723045</v>
      </c>
      <c r="Q271">
        <f>Graph!$D$31*((Graph!$D$27-Y271)/POWER((((Graph!$D$27-$Y271)^2)+((Graph!$E$27-$Z271)^2))+(Graph!$D$32^2),3/2))</f>
        <v>75.20384131274453</v>
      </c>
      <c r="R271">
        <f>Graph!$D$31*((Graph!$E$27-Z271)/POWER((((Graph!$D$27-$Y271)^2)+((Graph!$E$27-$Z271)^2))+(Graph!$D$32^2),3/2))</f>
        <v>2567.9447145525633</v>
      </c>
      <c r="S271">
        <f>Graph!$D$40*((Graph!$D$36-Y271)/POWER((((Graph!$D$36-$Y271)^2)+((Graph!$E$36-$Z271)^2))+(Graph!$D$41^2),3/2))</f>
        <v>511.29624973616308</v>
      </c>
      <c r="T271">
        <f>Graph!$D$40*((Graph!$E$36-Z271)/POWER((((Graph!$D$36-$Y271)^2)+((Graph!$E$36-$Z271)^2))+(Graph!$D$41^2),3/2))</f>
        <v>-452.8924427259617</v>
      </c>
      <c r="U271">
        <f>O271+Q271+S271</f>
        <v>973.08392556797207</v>
      </c>
      <c r="V271">
        <f>P271+R271+T271</f>
        <v>2193.0142811093247</v>
      </c>
      <c r="W271">
        <f>W270+(U270*Graph!$D$5)</f>
        <v>-2826.9851877538467</v>
      </c>
      <c r="X271">
        <f>X270+(V270*Graph!$D$5)</f>
        <v>-3832.0553957754018</v>
      </c>
      <c r="Y271">
        <f>Y270+(W270*Graph!$D$5)+(U270*Graph!$D$5^2)</f>
        <v>-20207.938200866985</v>
      </c>
      <c r="Z271">
        <f>Z270+(X270*Graph!$D$5)+(V270*Graph!$D$5^2)</f>
        <v>2899.6472181607314</v>
      </c>
    </row>
    <row r="272" spans="14:26" x14ac:dyDescent="0.35">
      <c r="N272">
        <f>N271+1</f>
        <v>269</v>
      </c>
      <c r="O272">
        <f>Graph!$D$22*((Graph!$D$18-Y272)/POWER((((Graph!$D$18-$Y272)^2)+((Graph!$E$18-$Z272)^2))+(Graph!$D$23^2),(3/2)))</f>
        <v>355.93465707095891</v>
      </c>
      <c r="P272" s="84">
        <f>Graph!$D$22*((Graph!$E$18-Z272)/POWER((((Graph!$D$18-$Y272)^2)+((Graph!$E$18-$Z272)^2))+(Graph!$D$23^2),3/2))</f>
        <v>82.854654084015763</v>
      </c>
      <c r="Q272">
        <f>Graph!$D$31*((Graph!$D$27-Y272)/POWER((((Graph!$D$27-$Y272)^2)+((Graph!$E$27-$Z272)^2))+(Graph!$D$32^2),3/2))</f>
        <v>311.11245329000957</v>
      </c>
      <c r="R272">
        <f>Graph!$D$31*((Graph!$E$27-Z272)/POWER((((Graph!$D$27-$Y272)^2)+((Graph!$E$27-$Z272)^2))+(Graph!$D$32^2),3/2))</f>
        <v>1911.6358727384331</v>
      </c>
      <c r="S272">
        <f>Graph!$D$40*((Graph!$D$36-Y272)/POWER((((Graph!$D$36-$Y272)^2)+((Graph!$E$36-$Z272)^2))+(Graph!$D$41^2),3/2))</f>
        <v>539.21888652853204</v>
      </c>
      <c r="T272">
        <f>Graph!$D$40*((Graph!$E$36-Z272)/POWER((((Graph!$D$36-$Y272)^2)+((Graph!$E$36-$Z272)^2))+(Graph!$D$41^2),3/2))</f>
        <v>-416.98154929827336</v>
      </c>
      <c r="U272">
        <f>O272+Q272+S272</f>
        <v>1206.2659968895005</v>
      </c>
      <c r="V272">
        <f>P272+R272+T272</f>
        <v>1577.5089775241754</v>
      </c>
      <c r="W272">
        <f>W271+(U271*Graph!$D$5)</f>
        <v>-2340.4432249698607</v>
      </c>
      <c r="X272">
        <f>X271+(V271*Graph!$D$5)</f>
        <v>-2735.5482552207395</v>
      </c>
      <c r="Y272">
        <f>Y271+(W271*Graph!$D$5)+(U271*Graph!$D$5^2)</f>
        <v>-21378.159813351915</v>
      </c>
      <c r="Z272">
        <f>Z271+(X271*Graph!$D$5)+(V271*Graph!$D$5^2)</f>
        <v>1531.8730905503617</v>
      </c>
    </row>
    <row r="273" spans="14:26" x14ac:dyDescent="0.35">
      <c r="N273">
        <f>N272+1</f>
        <v>270</v>
      </c>
      <c r="O273">
        <f>Graph!$D$22*((Graph!$D$18-Y273)/POWER((((Graph!$D$18-$Y273)^2)+((Graph!$E$18-$Z273)^2))+(Graph!$D$23^2),(3/2)))</f>
        <v>335.20757056302739</v>
      </c>
      <c r="P273" s="84">
        <f>Graph!$D$22*((Graph!$E$18-Z273)/POWER((((Graph!$D$18-$Y273)^2)+((Graph!$E$18-$Z273)^2))+(Graph!$D$23^2),3/2))</f>
        <v>84.970225217713832</v>
      </c>
      <c r="Q273">
        <f>Graph!$D$31*((Graph!$D$27-Y273)/POWER((((Graph!$D$27-$Y273)^2)+((Graph!$E$27-$Z273)^2))+(Graph!$D$32^2),3/2))</f>
        <v>367.45095877923734</v>
      </c>
      <c r="R273">
        <f>Graph!$D$31*((Graph!$E$27-Z273)/POWER((((Graph!$D$27-$Y273)^2)+((Graph!$E$27-$Z273)^2))+(Graph!$D$32^2),3/2))</f>
        <v>1544.0955678465477</v>
      </c>
      <c r="S273">
        <f>Graph!$D$40*((Graph!$D$36-Y273)/POWER((((Graph!$D$36-$Y273)^2)+((Graph!$E$36-$Z273)^2))+(Graph!$D$41^2),3/2))</f>
        <v>553.79006279424186</v>
      </c>
      <c r="T273">
        <f>Graph!$D$40*((Graph!$E$36-Z273)/POWER((((Graph!$D$36-$Y273)^2)+((Graph!$E$36-$Z273)^2))+(Graph!$D$41^2),3/2))</f>
        <v>-387.29721734356337</v>
      </c>
      <c r="U273">
        <f>O273+Q273+S273</f>
        <v>1256.4485921365067</v>
      </c>
      <c r="V273">
        <f>P273+R273+T273</f>
        <v>1241.7685757206982</v>
      </c>
      <c r="W273">
        <f>W272+(U272*Graph!$D$5)</f>
        <v>-1737.3102265251105</v>
      </c>
      <c r="X273">
        <f>X272+(V272*Graph!$D$5)</f>
        <v>-1946.7937664586518</v>
      </c>
      <c r="Y273">
        <f>Y272+(W272*Graph!$D$5)+(U272*Graph!$D$5^2)</f>
        <v>-22246.814926614468</v>
      </c>
      <c r="Z273">
        <f>Z272+(X272*Graph!$D$5)+(V272*Graph!$D$5^2)</f>
        <v>558.47620732103576</v>
      </c>
    </row>
    <row r="274" spans="14:26" x14ac:dyDescent="0.35">
      <c r="N274">
        <f>N273+1</f>
        <v>271</v>
      </c>
      <c r="O274">
        <f>Graph!$D$22*((Graph!$D$18-Y274)/POWER((((Graph!$D$18-$Y274)^2)+((Graph!$E$18-$Z274)^2))+(Graph!$D$23^2),(3/2)))</f>
        <v>322.45830820688406</v>
      </c>
      <c r="P274" s="84">
        <f>Graph!$D$22*((Graph!$E$18-Z274)/POWER((((Graph!$D$18-$Y274)^2)+((Graph!$E$18-$Z274)^2))+(Graph!$D$23^2),3/2))</f>
        <v>86.194603433479855</v>
      </c>
      <c r="Q274">
        <f>Graph!$D$31*((Graph!$D$27-Y274)/POWER((((Graph!$D$27-$Y274)^2)+((Graph!$E$27-$Z274)^2))+(Graph!$D$32^2),3/2))</f>
        <v>372.44718742662656</v>
      </c>
      <c r="R274">
        <f>Graph!$D$31*((Graph!$E$27-Z274)/POWER((((Graph!$D$27-$Y274)^2)+((Graph!$E$27-$Z274)^2))+(Graph!$D$32^2),3/2))</f>
        <v>1343.4144279123891</v>
      </c>
      <c r="S274">
        <f>Graph!$D$40*((Graph!$D$36-Y274)/POWER((((Graph!$D$36-$Y274)^2)+((Graph!$E$36-$Z274)^2))+(Graph!$D$41^2),3/2))</f>
        <v>562.28235981699015</v>
      </c>
      <c r="T274">
        <f>Graph!$D$40*((Graph!$E$36-Z274)/POWER((((Graph!$D$36-$Y274)^2)+((Graph!$E$36-$Z274)^2))+(Graph!$D$41^2),3/2))</f>
        <v>-367.32413049576678</v>
      </c>
      <c r="U274">
        <f>O274+Q274+S274</f>
        <v>1257.1878554505006</v>
      </c>
      <c r="V274">
        <f>P274+R274+T274</f>
        <v>1062.2849008501021</v>
      </c>
      <c r="W274">
        <f>W273+(U273*Graph!$D$5)</f>
        <v>-1109.0859304568571</v>
      </c>
      <c r="X274">
        <f>X273+(V273*Graph!$D$5)</f>
        <v>-1325.9094785983027</v>
      </c>
      <c r="Y274">
        <f>Y273+(W273*Graph!$D$5)+(U273*Graph!$D$5^2)</f>
        <v>-22801.357891842894</v>
      </c>
      <c r="Z274">
        <f>Z273+(X273*Graph!$D$5)+(V273*Graph!$D$5^2)</f>
        <v>-104.4785319781156</v>
      </c>
    </row>
    <row r="275" spans="14:26" x14ac:dyDescent="0.35">
      <c r="N275">
        <f>N274+1</f>
        <v>272</v>
      </c>
      <c r="O275">
        <f>Graph!$D$22*((Graph!$D$18-Y275)/POWER((((Graph!$D$18-$Y275)^2)+((Graph!$E$18-$Z275)^2))+(Graph!$D$23^2),(3/2)))</f>
        <v>316.41810211220235</v>
      </c>
      <c r="P275" s="84">
        <f>Graph!$D$22*((Graph!$E$18-Z275)/POWER((((Graph!$D$18-$Y275)^2)+((Graph!$E$18-$Z275)^2))+(Graph!$D$23^2),3/2))</f>
        <v>87.351187047431637</v>
      </c>
      <c r="Q275">
        <f>Graph!$D$31*((Graph!$D$27-Y275)/POWER((((Graph!$D$27-$Y275)^2)+((Graph!$E$27-$Z275)^2))+(Graph!$D$32^2),3/2))</f>
        <v>361.05173279858451</v>
      </c>
      <c r="R275">
        <f>Graph!$D$31*((Graph!$E$27-Z275)/POWER((((Graph!$D$27-$Y275)^2)+((Graph!$E$27-$Z275)^2))+(Graph!$D$32^2),3/2))</f>
        <v>1246.6171212528741</v>
      </c>
      <c r="S275">
        <f>Graph!$D$40*((Graph!$D$36-Y275)/POWER((((Graph!$D$36-$Y275)^2)+((Graph!$E$36-$Z275)^2))+(Graph!$D$41^2),3/2))</f>
        <v>568.94900788716018</v>
      </c>
      <c r="T275">
        <f>Graph!$D$40*((Graph!$E$36-Z275)/POWER((((Graph!$D$36-$Y275)^2)+((Graph!$E$36-$Z275)^2))+(Graph!$D$41^2),3/2))</f>
        <v>-357.99162433887147</v>
      </c>
      <c r="U275">
        <f>O275+Q275+S275</f>
        <v>1246.418842797947</v>
      </c>
      <c r="V275">
        <f>P275+R275+T275</f>
        <v>975.97668396143433</v>
      </c>
      <c r="W275">
        <f>W274+(U274*Graph!$D$5)</f>
        <v>-480.49200273160682</v>
      </c>
      <c r="X275">
        <f>X274+(V274*Graph!$D$5)</f>
        <v>-794.76702817325167</v>
      </c>
      <c r="Y275">
        <f>Y274+(W274*Graph!$D$5)+(U274*Graph!$D$5^2)</f>
        <v>-23041.603893208699</v>
      </c>
      <c r="Z275">
        <f>Z274+(X274*Graph!$D$5)+(V274*Graph!$D$5^2)</f>
        <v>-501.86204606474143</v>
      </c>
    </row>
    <row r="276" spans="14:26" x14ac:dyDescent="0.35">
      <c r="N276">
        <f>N275+1</f>
        <v>273</v>
      </c>
      <c r="O276">
        <f>Graph!$D$22*((Graph!$D$18-Y276)/POWER((((Graph!$D$18-$Y276)^2)+((Graph!$E$18-$Z276)^2))+(Graph!$D$23^2),(3/2)))</f>
        <v>316.4779612817274</v>
      </c>
      <c r="P276" s="84">
        <f>Graph!$D$22*((Graph!$E$18-Z276)/POWER((((Graph!$D$18-$Y276)^2)+((Graph!$E$18-$Z276)^2))+(Graph!$D$23^2),3/2))</f>
        <v>88.810388772997328</v>
      </c>
      <c r="Q276">
        <f>Graph!$D$31*((Graph!$D$27-Y276)/POWER((((Graph!$D$27-$Y276)^2)+((Graph!$E$27-$Z276)^2))+(Graph!$D$32^2),3/2))</f>
        <v>341.57402701234156</v>
      </c>
      <c r="R276">
        <f>Graph!$D$31*((Graph!$E$27-Z276)/POWER((((Graph!$D$27-$Y276)^2)+((Graph!$E$27-$Z276)^2))+(Graph!$D$32^2),3/2))</f>
        <v>1225.3389536941756</v>
      </c>
      <c r="S276">
        <f>Graph!$D$40*((Graph!$D$36-Y276)/POWER((((Graph!$D$36-$Y276)^2)+((Graph!$E$36-$Z276)^2))+(Graph!$D$41^2),3/2))</f>
        <v>575.85527703970592</v>
      </c>
      <c r="T276">
        <f>Graph!$D$40*((Graph!$E$36-Z276)/POWER((((Graph!$D$36-$Y276)^2)+((Graph!$E$36-$Z276)^2))+(Graph!$D$41^2),3/2))</f>
        <v>-359.61737104828336</v>
      </c>
      <c r="U276">
        <f>O276+Q276+S276</f>
        <v>1233.9072653337748</v>
      </c>
      <c r="V276">
        <f>P276+R276+T276</f>
        <v>954.53197141888973</v>
      </c>
      <c r="W276">
        <f>W275+(U275*Graph!$D$5)</f>
        <v>142.7174186673667</v>
      </c>
      <c r="X276">
        <f>X275+(V275*Graph!$D$5)</f>
        <v>-306.77868619253451</v>
      </c>
      <c r="Y276">
        <f>Y275+(W275*Graph!$D$5)+(U275*Graph!$D$5^2)</f>
        <v>-22970.245183875013</v>
      </c>
      <c r="Z276">
        <f>Z275+(X275*Graph!$D$5)+(V275*Graph!$D$5^2)</f>
        <v>-655.25138916100866</v>
      </c>
    </row>
    <row r="277" spans="14:26" x14ac:dyDescent="0.35">
      <c r="N277">
        <f>N276+1</f>
        <v>274</v>
      </c>
      <c r="O277">
        <f>Graph!$D$22*((Graph!$D$18-Y277)/POWER((((Graph!$D$18-$Y277)^2)+((Graph!$E$18-$Z277)^2))+(Graph!$D$23^2),(3/2)))</f>
        <v>322.60964297534554</v>
      </c>
      <c r="P277" s="84">
        <f>Graph!$D$22*((Graph!$E$18-Z277)/POWER((((Graph!$D$18-$Y277)^2)+((Graph!$E$18-$Z277)^2))+(Graph!$D$23^2),3/2))</f>
        <v>90.714266060431854</v>
      </c>
      <c r="Q277">
        <f>Graph!$D$31*((Graph!$D$27-Y277)/POWER((((Graph!$D$27-$Y277)^2)+((Graph!$E$27-$Z277)^2))+(Graph!$D$32^2),3/2))</f>
        <v>311.40182610540808</v>
      </c>
      <c r="R277">
        <f>Graph!$D$31*((Graph!$E$27-Z277)/POWER((((Graph!$D$27-$Y277)^2)+((Graph!$E$27-$Z277)^2))+(Graph!$D$32^2),3/2))</f>
        <v>1270.6560530180436</v>
      </c>
      <c r="S277">
        <f>Graph!$D$40*((Graph!$D$36-Y277)/POWER((((Graph!$D$36-$Y277)^2)+((Graph!$E$36-$Z277)^2))+(Graph!$D$41^2),3/2))</f>
        <v>583.38644756040242</v>
      </c>
      <c r="T277">
        <f>Graph!$D$40*((Graph!$E$36-Z277)/POWER((((Graph!$D$36-$Y277)^2)+((Graph!$E$36-$Z277)^2))+(Graph!$D$41^2),3/2))</f>
        <v>-372.6475991627446</v>
      </c>
      <c r="U277">
        <f>O277+Q277+S277</f>
        <v>1217.3979166411559</v>
      </c>
      <c r="V277">
        <f>P277+R277+T277</f>
        <v>988.72271991573075</v>
      </c>
      <c r="W277">
        <f>W276+(U276*Graph!$D$5)</f>
        <v>759.67105133425412</v>
      </c>
      <c r="X277">
        <f>X276+(V276*Graph!$D$5)</f>
        <v>170.48729951691035</v>
      </c>
      <c r="Y277">
        <f>Y276+(W276*Graph!$D$5)+(U276*Graph!$D$5^2)</f>
        <v>-22590.409658207886</v>
      </c>
      <c r="Z277">
        <f>Z276+(X276*Graph!$D$5)+(V276*Graph!$D$5^2)</f>
        <v>-570.0077394025534</v>
      </c>
    </row>
    <row r="278" spans="14:26" x14ac:dyDescent="0.35">
      <c r="N278">
        <f>N277+1</f>
        <v>275</v>
      </c>
      <c r="O278">
        <f>Graph!$D$22*((Graph!$D$18-Y278)/POWER((((Graph!$D$18-$Y278)^2)+((Graph!$E$18-$Z278)^2))+(Graph!$D$23^2),(3/2)))</f>
        <v>335.35013313036768</v>
      </c>
      <c r="P278" s="84">
        <f>Graph!$D$22*((Graph!$E$18-Z278)/POWER((((Graph!$D$18-$Y278)^2)+((Graph!$E$18-$Z278)^2))+(Graph!$D$23^2),3/2))</f>
        <v>93.024279551985842</v>
      </c>
      <c r="Q278">
        <f>Graph!$D$31*((Graph!$D$27-Y278)/POWER((((Graph!$D$27-$Y278)^2)+((Graph!$E$27-$Z278)^2))+(Graph!$D$32^2),3/2))</f>
        <v>258.19637622465427</v>
      </c>
      <c r="R278">
        <f>Graph!$D$31*((Graph!$E$27-Z278)/POWER((((Graph!$D$27-$Y278)^2)+((Graph!$E$27-$Z278)^2))+(Graph!$D$32^2),3/2))</f>
        <v>1386.6712577584115</v>
      </c>
      <c r="S278">
        <f>Graph!$D$40*((Graph!$D$36-Y278)/POWER((((Graph!$D$36-$Y278)^2)+((Graph!$E$36-$Z278)^2))+(Graph!$D$41^2),3/2))</f>
        <v>590.23977040862724</v>
      </c>
      <c r="T278">
        <f>Graph!$D$40*((Graph!$E$36-Z278)/POWER((((Graph!$D$36-$Y278)^2)+((Graph!$E$36-$Z278)^2))+(Graph!$D$41^2),3/2))</f>
        <v>-397.75751033444908</v>
      </c>
      <c r="U278">
        <f>O278+Q278+S278</f>
        <v>1183.7862797636492</v>
      </c>
      <c r="V278">
        <f>P278+R278+T278</f>
        <v>1081.9380269759483</v>
      </c>
      <c r="W278">
        <f>W277+(U277*Graph!$D$5)</f>
        <v>1368.3700096548321</v>
      </c>
      <c r="X278">
        <f>X277+(V277*Graph!$D$5)</f>
        <v>664.84865947477579</v>
      </c>
      <c r="Y278">
        <f>Y277+(W277*Graph!$D$5)+(U277*Graph!$D$5^2)</f>
        <v>-21906.224653380468</v>
      </c>
      <c r="Z278">
        <f>Z277+(X277*Graph!$D$5)+(V277*Graph!$D$5^2)</f>
        <v>-237.58340966516556</v>
      </c>
    </row>
    <row r="279" spans="14:26" x14ac:dyDescent="0.35">
      <c r="N279">
        <f>N278+1</f>
        <v>276</v>
      </c>
      <c r="O279">
        <f>Graph!$D$22*((Graph!$D$18-Y279)/POWER((((Graph!$D$18-$Y279)^2)+((Graph!$E$18-$Z279)^2))+(Graph!$D$23^2),(3/2)))</f>
        <v>355.85100272156245</v>
      </c>
      <c r="P279" s="84">
        <f>Graph!$D$22*((Graph!$E$18-Z279)/POWER((((Graph!$D$18-$Y279)^2)+((Graph!$E$18-$Z279)^2))+(Graph!$D$23^2),3/2))</f>
        <v>95.432269806273098</v>
      </c>
      <c r="Q279">
        <f>Graph!$D$31*((Graph!$D$27-Y279)/POWER((((Graph!$D$27-$Y279)^2)+((Graph!$E$27-$Z279)^2))+(Graph!$D$32^2),3/2))</f>
        <v>152.54241532987291</v>
      </c>
      <c r="R279">
        <f>Graph!$D$31*((Graph!$E$27-Z279)/POWER((((Graph!$D$27-$Y279)^2)+((Graph!$E$27-$Z279)^2))+(Graph!$D$32^2),3/2))</f>
        <v>1586.9857622878289</v>
      </c>
      <c r="S279">
        <f>Graph!$D$40*((Graph!$D$36-Y279)/POWER((((Graph!$D$36-$Y279)^2)+((Graph!$E$36-$Z279)^2))+(Graph!$D$41^2),3/2))</f>
        <v>592.89262313090762</v>
      </c>
      <c r="T279">
        <f>Graph!$D$40*((Graph!$E$36-Z279)/POWER((((Graph!$D$36-$Y279)^2)+((Graph!$E$36-$Z279)^2))+(Graph!$D$41^2),3/2))</f>
        <v>-435.34108652494285</v>
      </c>
      <c r="U279">
        <f>O279+Q279+S279</f>
        <v>1101.2860411823431</v>
      </c>
      <c r="V279">
        <f>P279+R279+T279</f>
        <v>1247.0769455691593</v>
      </c>
      <c r="W279">
        <f>W278+(U278*Graph!$D$5)</f>
        <v>1960.2631495366568</v>
      </c>
      <c r="X279">
        <f>X278+(V278*Graph!$D$5)</f>
        <v>1205.8176729627498</v>
      </c>
      <c r="Y279">
        <f>Y278+(W278*Graph!$D$5)+(U278*Graph!$D$5^2)</f>
        <v>-20926.093078612139</v>
      </c>
      <c r="Z279">
        <f>Z278+(X278*Graph!$D$5)+(V278*Graph!$D$5^2)</f>
        <v>365.32542681620941</v>
      </c>
    </row>
    <row r="280" spans="14:26" x14ac:dyDescent="0.35">
      <c r="N280">
        <f>N279+1</f>
        <v>277</v>
      </c>
      <c r="O280">
        <f>Graph!$D$22*((Graph!$D$18-Y280)/POWER((((Graph!$D$18-$Y280)^2)+((Graph!$E$18-$Z280)^2))+(Graph!$D$23^2),(3/2)))</f>
        <v>385.92068293266829</v>
      </c>
      <c r="P280" s="84">
        <f>Graph!$D$22*((Graph!$E$18-Z280)/POWER((((Graph!$D$18-$Y280)^2)+((Graph!$E$18-$Z280)^2))+(Graph!$D$23^2),3/2))</f>
        <v>97.062731036876983</v>
      </c>
      <c r="Q280">
        <f>Graph!$D$31*((Graph!$D$27-Y280)/POWER((((Graph!$D$27-$Y280)^2)+((Graph!$E$27-$Z280)^2))+(Graph!$D$32^2),3/2))</f>
        <v>-71.171917101245441</v>
      </c>
      <c r="R280">
        <f>Graph!$D$31*((Graph!$E$27-Z280)/POWER((((Graph!$D$27-$Y280)^2)+((Graph!$E$27-$Z280)^2))+(Graph!$D$32^2),3/2))</f>
        <v>1884.3176338536075</v>
      </c>
      <c r="S280">
        <f>Graph!$D$40*((Graph!$D$36-Y280)/POWER((((Graph!$D$36-$Y280)^2)+((Graph!$E$36-$Z280)^2))+(Graph!$D$41^2),3/2))</f>
        <v>584.73687646953601</v>
      </c>
      <c r="T280">
        <f>Graph!$D$40*((Graph!$E$36-Z280)/POWER((((Graph!$D$36-$Y280)^2)+((Graph!$E$36-$Z280)^2))+(Graph!$D$41^2),3/2))</f>
        <v>-483.94553499245984</v>
      </c>
      <c r="U280">
        <f>O280+Q280+S280</f>
        <v>899.48564230095883</v>
      </c>
      <c r="V280">
        <f>P280+R280+T280</f>
        <v>1497.4348298980246</v>
      </c>
      <c r="W280">
        <f>W279+(U279*Graph!$D$5)</f>
        <v>2510.9061701278283</v>
      </c>
      <c r="X280">
        <f>X279+(V279*Graph!$D$5)</f>
        <v>1829.3561457473295</v>
      </c>
      <c r="Y280">
        <f>Y279+(W279*Graph!$D$5)+(U279*Graph!$D$5^2)</f>
        <v>-19670.639993548222</v>
      </c>
      <c r="Z280">
        <f>Z279+(X279*Graph!$D$5)+(V279*Graph!$D$5^2)</f>
        <v>1280.0034996898742</v>
      </c>
    </row>
    <row r="281" spans="14:26" x14ac:dyDescent="0.35">
      <c r="N281">
        <f>N280+1</f>
        <v>278</v>
      </c>
      <c r="O281">
        <f>Graph!$D$22*((Graph!$D$18-Y281)/POWER((((Graph!$D$18-$Y281)^2)+((Graph!$E$18-$Z281)^2))+(Graph!$D$23^2),(3/2)))</f>
        <v>427.74514789577927</v>
      </c>
      <c r="P281" s="84">
        <f>Graph!$D$22*((Graph!$E$18-Z281)/POWER((((Graph!$D$18-$Y281)^2)+((Graph!$E$18-$Z281)^2))+(Graph!$D$23^2),3/2))</f>
        <v>95.767603192050061</v>
      </c>
      <c r="Q281">
        <f>Graph!$D$31*((Graph!$D$27-Y281)/POWER((((Graph!$D$27-$Y281)^2)+((Graph!$E$27-$Z281)^2))+(Graph!$D$32^2),3/2))</f>
        <v>-546.21054870857893</v>
      </c>
      <c r="R281">
        <f>Graph!$D$31*((Graph!$E$27-Z281)/POWER((((Graph!$D$27-$Y281)^2)+((Graph!$E$27-$Z281)^2))+(Graph!$D$32^2),3/2))</f>
        <v>2242.8597810182391</v>
      </c>
      <c r="S281">
        <f>Graph!$D$40*((Graph!$D$36-Y281)/POWER((((Graph!$D$36-$Y281)^2)+((Graph!$E$36-$Z281)^2))+(Graph!$D$41^2),3/2))</f>
        <v>555.95389715010708</v>
      </c>
      <c r="T281">
        <f>Graph!$D$40*((Graph!$E$36-Z281)/POWER((((Graph!$D$36-$Y281)^2)+((Graph!$E$36-$Z281)^2))+(Graph!$D$41^2),3/2))</f>
        <v>-536.96575048393845</v>
      </c>
      <c r="U281">
        <f>O281+Q281+S281</f>
        <v>437.48849633730742</v>
      </c>
      <c r="V281">
        <f>P281+R281+T281</f>
        <v>1801.6616337263508</v>
      </c>
      <c r="W281">
        <f>W280+(U280*Graph!$D$5)</f>
        <v>2960.6489912783077</v>
      </c>
      <c r="X281">
        <f>X280+(V280*Graph!$D$5)</f>
        <v>2578.0735606963417</v>
      </c>
      <c r="Y281">
        <f>Y280+(W280*Graph!$D$5)+(U280*Graph!$D$5^2)</f>
        <v>-18190.315497909069</v>
      </c>
      <c r="Z281">
        <f>Z280+(X280*Graph!$D$5)+(V280*Graph!$D$5^2)</f>
        <v>2569.0402800380448</v>
      </c>
    </row>
    <row r="282" spans="14:26" x14ac:dyDescent="0.35">
      <c r="N282">
        <f>N281+1</f>
        <v>279</v>
      </c>
      <c r="O282">
        <f>Graph!$D$22*((Graph!$D$18-Y282)/POWER((((Graph!$D$18-$Y282)^2)+((Graph!$E$18-$Z282)^2))+(Graph!$D$23^2),(3/2)))</f>
        <v>482.1731680639877</v>
      </c>
      <c r="P282" s="84">
        <f>Graph!$D$22*((Graph!$E$18-Z282)/POWER((((Graph!$D$18-$Y282)^2)+((Graph!$E$18-$Z282)^2))+(Graph!$D$23^2),3/2))</f>
        <v>86.842989624630235</v>
      </c>
      <c r="Q282">
        <f>Graph!$D$31*((Graph!$D$27-Y282)/POWER((((Graph!$D$27-$Y282)^2)+((Graph!$E$27-$Z282)^2))+(Graph!$D$32^2),3/2))</f>
        <v>-1449.1026124543014</v>
      </c>
      <c r="R282">
        <f>Graph!$D$31*((Graph!$E$27-Z282)/POWER((((Graph!$D$27-$Y282)^2)+((Graph!$E$27-$Z282)^2))+(Graph!$D$32^2),3/2))</f>
        <v>2426.1999866132478</v>
      </c>
      <c r="S282">
        <f>Graph!$D$40*((Graph!$D$36-Y282)/POWER((((Graph!$D$36-$Y282)^2)+((Graph!$E$36-$Z282)^2))+(Graph!$D$41^2),3/2))</f>
        <v>497.41027639428654</v>
      </c>
      <c r="T282">
        <f>Graph!$D$40*((Graph!$E$36-Z282)/POWER((((Graph!$D$36-$Y282)^2)+((Graph!$E$36-$Z282)^2))+(Graph!$D$41^2),3/2))</f>
        <v>-578.54726056582945</v>
      </c>
      <c r="U282">
        <f>O282+Q282+S282</f>
        <v>-469.51916799602708</v>
      </c>
      <c r="V282">
        <f>P282+R282+T282</f>
        <v>1934.4957156720486</v>
      </c>
      <c r="W282">
        <f>W281+(U281*Graph!$D$5)</f>
        <v>3179.3932394469612</v>
      </c>
      <c r="X282">
        <f>X281+(V281*Graph!$D$5)</f>
        <v>3478.9043775595173</v>
      </c>
      <c r="Y282">
        <f>Y281+(W281*Graph!$D$5)+(U281*Graph!$D$5^2)</f>
        <v>-16600.618878185589</v>
      </c>
      <c r="Z282">
        <f>Z281+(X281*Graph!$D$5)+(V281*Graph!$D$5^2)</f>
        <v>4308.4924688178035</v>
      </c>
    </row>
    <row r="283" spans="14:26" x14ac:dyDescent="0.35">
      <c r="N283">
        <f>N282+1</f>
        <v>280</v>
      </c>
      <c r="O283">
        <f>Graph!$D$22*((Graph!$D$18-Y283)/POWER((((Graph!$D$18-$Y283)^2)+((Graph!$E$18-$Z283)^2))+(Graph!$D$23^2),(3/2)))</f>
        <v>543.25239672238979</v>
      </c>
      <c r="P283" s="84">
        <f>Graph!$D$22*((Graph!$E$18-Z283)/POWER((((Graph!$D$18-$Y283)^2)+((Graph!$E$18-$Z283)^2))+(Graph!$D$23^2),3/2))</f>
        <v>62.540320894512618</v>
      </c>
      <c r="Q283">
        <f>Graph!$D$31*((Graph!$D$27-Y283)/POWER((((Graph!$D$27-$Y283)^2)+((Graph!$E$27-$Z283)^2))+(Graph!$D$32^2),3/2))</f>
        <v>-2629.8357570707817</v>
      </c>
      <c r="R283">
        <f>Graph!$D$31*((Graph!$E$27-Z283)/POWER((((Graph!$D$27-$Y283)^2)+((Graph!$E$27-$Z283)^2))+(Graph!$D$32^2),3/2))</f>
        <v>1872.3256340209384</v>
      </c>
      <c r="S283">
        <f>Graph!$D$40*((Graph!$D$36-Y283)/POWER((((Graph!$D$36-$Y283)^2)+((Graph!$E$36-$Z283)^2))+(Graph!$D$41^2),3/2))</f>
        <v>412.17304461849744</v>
      </c>
      <c r="T283">
        <f>Graph!$D$40*((Graph!$E$36-Z283)/POWER((((Graph!$D$36-$Y283)^2)+((Graph!$E$36-$Z283)^2))+(Graph!$D$41^2),3/2))</f>
        <v>-586.63108061394223</v>
      </c>
      <c r="U283">
        <f>O283+Q283+S283</f>
        <v>-1674.4103157298946</v>
      </c>
      <c r="V283">
        <f>P283+R283+T283</f>
        <v>1348.2348743015089</v>
      </c>
      <c r="W283">
        <f>W282+(U282*Graph!$D$5)</f>
        <v>2944.6336554489476</v>
      </c>
      <c r="X283">
        <f>X282+(V282*Graph!$D$5)</f>
        <v>4446.1522353955415</v>
      </c>
      <c r="Y283">
        <f>Y282+(W282*Graph!$D$5)+(U282*Graph!$D$5^2)</f>
        <v>-15128.302050461116</v>
      </c>
      <c r="Z283">
        <f>Z282+(X282*Graph!$D$5)+(V282*Graph!$D$5^2)</f>
        <v>6531.5685865155738</v>
      </c>
    </row>
    <row r="284" spans="14:26" x14ac:dyDescent="0.35">
      <c r="N284">
        <f>N283+1</f>
        <v>281</v>
      </c>
      <c r="O284">
        <f>Graph!$D$22*((Graph!$D$18-Y284)/POWER((((Graph!$D$18-$Y284)^2)+((Graph!$E$18-$Z284)^2))+(Graph!$D$23^2),(3/2)))</f>
        <v>592.06283178634544</v>
      </c>
      <c r="P284" s="84">
        <f>Graph!$D$22*((Graph!$E$18-Z284)/POWER((((Graph!$D$18-$Y284)^2)+((Graph!$E$18-$Z284)^2))+(Graph!$D$23^2),3/2))</f>
        <v>18.496174297428293</v>
      </c>
      <c r="Q284">
        <f>Graph!$D$31*((Graph!$D$27-Y284)/POWER((((Graph!$D$27-$Y284)^2)+((Graph!$E$27-$Z284)^2))+(Graph!$D$32^2),3/2))</f>
        <v>-3181.5341357181564</v>
      </c>
      <c r="R284">
        <f>Graph!$D$31*((Graph!$E$27-Z284)/POWER((((Graph!$D$27-$Y284)^2)+((Graph!$E$27-$Z284)^2))+(Graph!$D$32^2),3/2))</f>
        <v>487.69207424382387</v>
      </c>
      <c r="S284">
        <f>Graph!$D$40*((Graph!$D$36-Y284)/POWER((((Graph!$D$36-$Y284)^2)+((Graph!$E$36-$Z284)^2))+(Graph!$D$41^2),3/2))</f>
        <v>323.55795638769246</v>
      </c>
      <c r="T284">
        <f>Graph!$D$40*((Graph!$E$36-Z284)/POWER((((Graph!$D$36-$Y284)^2)+((Graph!$E$36-$Z284)^2))+(Graph!$D$41^2),3/2))</f>
        <v>-553.83947545884587</v>
      </c>
      <c r="U284">
        <f>O284+Q284+S284</f>
        <v>-2265.9133475441186</v>
      </c>
      <c r="V284">
        <f>P284+R284+T284</f>
        <v>-47.651226917593704</v>
      </c>
      <c r="W284">
        <f>W283+(U283*Graph!$D$5)</f>
        <v>2107.4284975840001</v>
      </c>
      <c r="X284">
        <f>X283+(V283*Graph!$D$5)</f>
        <v>5120.2696725462956</v>
      </c>
      <c r="Y284">
        <f>Y283+(W283*Graph!$D$5)+(U283*Graph!$D$5^2)</f>
        <v>-14074.587801669117</v>
      </c>
      <c r="Z284">
        <f>Z283+(X283*Graph!$D$5)+(V283*Graph!$D$5^2)</f>
        <v>9091.7034227887216</v>
      </c>
    </row>
    <row r="285" spans="14:26" x14ac:dyDescent="0.35">
      <c r="N285">
        <f>N284+1</f>
        <v>282</v>
      </c>
      <c r="O285">
        <f>Graph!$D$22*((Graph!$D$18-Y285)/POWER((((Graph!$D$18-$Y285)^2)+((Graph!$E$18-$Z285)^2))+(Graph!$D$23^2),(3/2)))</f>
        <v>609.45901395964256</v>
      </c>
      <c r="P285" s="84">
        <f>Graph!$D$22*((Graph!$E$18-Z285)/POWER((((Graph!$D$18-$Y285)^2)+((Graph!$E$18-$Z285)^2))+(Graph!$D$23^2),3/2))</f>
        <v>-34.961872404270082</v>
      </c>
      <c r="Q285">
        <f>Graph!$D$31*((Graph!$D$27-Y285)/POWER((((Graph!$D$27-$Y285)^2)+((Graph!$E$27-$Z285)^2))+(Graph!$D$32^2),3/2))</f>
        <v>-2743.6841332610234</v>
      </c>
      <c r="R285">
        <f>Graph!$D$31*((Graph!$E$27-Z285)/POWER((((Graph!$D$27-$Y285)^2)+((Graph!$E$27-$Z285)^2))+(Graph!$D$32^2),3/2))</f>
        <v>-701.65045172411919</v>
      </c>
      <c r="S285">
        <f>Graph!$D$40*((Graph!$D$36-Y285)/POWER((((Graph!$D$36-$Y285)^2)+((Graph!$E$36-$Z285)^2))+(Graph!$D$41^2),3/2))</f>
        <v>255.23857328615048</v>
      </c>
      <c r="T285">
        <f>Graph!$D$40*((Graph!$E$36-Z285)/POWER((((Graph!$D$36-$Y285)^2)+((Graph!$E$36-$Z285)^2))+(Graph!$D$41^2),3/2))</f>
        <v>-500.43132908227614</v>
      </c>
      <c r="U285">
        <f>O285+Q285+S285</f>
        <v>-1878.9865460152303</v>
      </c>
      <c r="V285">
        <f>P285+R285+T285</f>
        <v>-1237.0436532106653</v>
      </c>
      <c r="W285">
        <f>W284+(U284*Graph!$D$5)</f>
        <v>974.47182381194079</v>
      </c>
      <c r="X285">
        <f>X284+(V284*Graph!$D$5)</f>
        <v>5096.4440590874983</v>
      </c>
      <c r="Y285">
        <f>Y284+(W284*Graph!$D$5)+(U284*Graph!$D$5^2)</f>
        <v>-13587.351889763147</v>
      </c>
      <c r="Z285">
        <f>Z284+(X284*Graph!$D$5)+(V284*Graph!$D$5^2)</f>
        <v>11639.925452332471</v>
      </c>
    </row>
    <row r="286" spans="14:26" x14ac:dyDescent="0.35">
      <c r="N286">
        <f>N285+1</f>
        <v>283</v>
      </c>
      <c r="O286">
        <f>Graph!$D$22*((Graph!$D$18-Y286)/POWER((((Graph!$D$18-$Y286)^2)+((Graph!$E$18-$Z286)^2))+(Graph!$D$23^2),(3/2)))</f>
        <v>597.00907842257527</v>
      </c>
      <c r="P286" s="84">
        <f>Graph!$D$22*((Graph!$E$18-Z286)/POWER((((Graph!$D$18-$Y286)^2)+((Graph!$E$18-$Z286)^2))+(Graph!$D$23^2),3/2))</f>
        <v>-81.055009849636875</v>
      </c>
      <c r="Q286">
        <f>Graph!$D$31*((Graph!$D$27-Y286)/POWER((((Graph!$D$27-$Y286)^2)+((Graph!$E$27-$Z286)^2))+(Graph!$D$32^2),3/2))</f>
        <v>-2030.5984062923069</v>
      </c>
      <c r="R286">
        <f>Graph!$D$31*((Graph!$E$27-Z286)/POWER((((Graph!$D$27-$Y286)^2)+((Graph!$E$27-$Z286)^2))+(Graph!$D$32^2),3/2))</f>
        <v>-1224.9288641834114</v>
      </c>
      <c r="S286">
        <f>Graph!$D$40*((Graph!$D$36-Y286)/POWER((((Graph!$D$36-$Y286)^2)+((Graph!$E$36-$Z286)^2))+(Graph!$D$41^2),3/2))</f>
        <v>210.89468372393827</v>
      </c>
      <c r="T286">
        <f>Graph!$D$40*((Graph!$E$36-Z286)/POWER((((Graph!$D$36-$Y286)^2)+((Graph!$E$36-$Z286)^2))+(Graph!$D$41^2),3/2))</f>
        <v>-448.81837217226763</v>
      </c>
      <c r="U286">
        <f>O286+Q286+S286</f>
        <v>-1222.6946441457935</v>
      </c>
      <c r="V286">
        <f>P286+R286+T286</f>
        <v>-1754.8022462053159</v>
      </c>
      <c r="W286">
        <f>W285+(U285*Graph!$D$5)</f>
        <v>34.978550804325664</v>
      </c>
      <c r="X286">
        <f>X285+(V285*Graph!$D$5)</f>
        <v>4477.9222324821658</v>
      </c>
      <c r="Y286">
        <f>Y285+(W285*Graph!$D$5)+(U285*Graph!$D$5^2)</f>
        <v>-13569.862614360984</v>
      </c>
      <c r="Z286">
        <f>Z285+(X285*Graph!$D$5)+(V285*Graph!$D$5^2)</f>
        <v>13878.886568573553</v>
      </c>
    </row>
    <row r="287" spans="14:26" x14ac:dyDescent="0.35">
      <c r="N287">
        <f>N286+1</f>
        <v>284</v>
      </c>
      <c r="O287">
        <f>Graph!$D$22*((Graph!$D$18-Y287)/POWER((((Graph!$D$18-$Y287)^2)+((Graph!$E$18-$Z287)^2))+(Graph!$D$23^2),(3/2)))</f>
        <v>569.05149959647144</v>
      </c>
      <c r="P287" s="84">
        <f>Graph!$D$22*((Graph!$E$18-Z287)/POWER((((Graph!$D$18-$Y287)^2)+((Graph!$E$18-$Z287)^2))+(Graph!$D$23^2),3/2))</f>
        <v>-111.9870373390999</v>
      </c>
      <c r="Q287">
        <f>Graph!$D$31*((Graph!$D$27-Y287)/POWER((((Graph!$D$27-$Y287)^2)+((Graph!$E$27-$Z287)^2))+(Graph!$D$32^2),3/2))</f>
        <v>-1479.3914989699633</v>
      </c>
      <c r="R287">
        <f>Graph!$D$31*((Graph!$E$27-Z287)/POWER((((Graph!$D$27-$Y287)^2)+((Graph!$E$27-$Z287)^2))+(Graph!$D$32^2),3/2))</f>
        <v>-1367.9170087346781</v>
      </c>
      <c r="S287">
        <f>Graph!$D$40*((Graph!$D$36-Y287)/POWER((((Graph!$D$36-$Y287)^2)+((Graph!$E$36-$Z287)^2))+(Graph!$D$41^2),3/2))</f>
        <v>184.07468922240307</v>
      </c>
      <c r="T287">
        <f>Graph!$D$40*((Graph!$E$36-Z287)/POWER((((Graph!$D$36-$Y287)^2)+((Graph!$E$36-$Z287)^2))+(Graph!$D$41^2),3/2))</f>
        <v>-407.50723910266731</v>
      </c>
      <c r="U287">
        <f>O287+Q287+S287</f>
        <v>-726.26531015108878</v>
      </c>
      <c r="V287">
        <f>P287+R287+T287</f>
        <v>-1887.4112851764453</v>
      </c>
      <c r="W287">
        <f>W286+(U286*Graph!$D$5)</f>
        <v>-576.36877126857109</v>
      </c>
      <c r="X287">
        <f>X286+(V286*Graph!$D$5)</f>
        <v>3600.5211093795078</v>
      </c>
      <c r="Y287">
        <f>Y286+(W286*Graph!$D$5)+(U286*Graph!$D$5^2)</f>
        <v>-13858.046999995269</v>
      </c>
      <c r="Z287">
        <f>Z286+(X286*Graph!$D$5)+(V286*Graph!$D$5^2)</f>
        <v>15679.147123263305</v>
      </c>
    </row>
    <row r="288" spans="14:26" x14ac:dyDescent="0.35">
      <c r="N288">
        <f>N287+1</f>
        <v>285</v>
      </c>
      <c r="O288">
        <f>Graph!$D$22*((Graph!$D$18-Y288)/POWER((((Graph!$D$18-$Y288)^2)+((Graph!$E$18-$Z288)^2))+(Graph!$D$23^2),(3/2)))</f>
        <v>537.77482535304637</v>
      </c>
      <c r="P288" s="84">
        <f>Graph!$D$22*((Graph!$E$18-Z288)/POWER((((Graph!$D$18-$Y288)^2)+((Graph!$E$18-$Z288)^2))+(Graph!$D$23^2),3/2))</f>
        <v>-128.49538264169479</v>
      </c>
      <c r="Q288">
        <f>Graph!$D$31*((Graph!$D$27-Y288)/POWER((((Graph!$D$27-$Y288)^2)+((Graph!$E$27-$Z288)^2))+(Graph!$D$32^2),3/2))</f>
        <v>-1126.2119056940319</v>
      </c>
      <c r="R288">
        <f>Graph!$D$31*((Graph!$E$27-Z288)/POWER((((Graph!$D$27-$Y288)^2)+((Graph!$E$27-$Z288)^2))+(Graph!$D$32^2),3/2))</f>
        <v>-1391.3452500968872</v>
      </c>
      <c r="S288">
        <f>Graph!$D$40*((Graph!$D$36-Y288)/POWER((((Graph!$D$36-$Y288)^2)+((Graph!$E$36-$Z288)^2))+(Graph!$D$41^2),3/2))</f>
        <v>168.78436272809765</v>
      </c>
      <c r="T288">
        <f>Graph!$D$40*((Graph!$E$36-Z288)/POWER((((Graph!$D$36-$Y288)^2)+((Graph!$E$36-$Z288)^2))+(Graph!$D$41^2),3/2))</f>
        <v>-377.05548732035732</v>
      </c>
      <c r="U288">
        <f>O288+Q288+S288</f>
        <v>-419.65271761288784</v>
      </c>
      <c r="V288">
        <f>P288+R288+T288</f>
        <v>-1896.8961200589392</v>
      </c>
      <c r="W288">
        <f>W287+(U287*Graph!$D$5)</f>
        <v>-939.50142634411554</v>
      </c>
      <c r="X288">
        <f>X287+(V287*Graph!$D$5)</f>
        <v>2656.815466791285</v>
      </c>
      <c r="Y288">
        <f>Y287+(W287*Graph!$D$5)+(U287*Graph!$D$5^2)</f>
        <v>-14327.797713167327</v>
      </c>
      <c r="Z288">
        <f>Z287+(X287*Graph!$D$5)+(V287*Graph!$D$5^2)</f>
        <v>17007.554856658946</v>
      </c>
    </row>
    <row r="289" spans="14:26" x14ac:dyDescent="0.35">
      <c r="N289">
        <f>N288+1</f>
        <v>286</v>
      </c>
      <c r="O289">
        <f>Graph!$D$22*((Graph!$D$18-Y289)/POWER((((Graph!$D$18-$Y289)^2)+((Graph!$E$18-$Z289)^2))+(Graph!$D$23^2),(3/2)))</f>
        <v>509.59582830207938</v>
      </c>
      <c r="P289" s="84">
        <f>Graph!$D$22*((Graph!$E$18-Z289)/POWER((((Graph!$D$18-$Y289)^2)+((Graph!$E$18-$Z289)^2))+(Graph!$D$23^2),3/2))</f>
        <v>-133.97924312119227</v>
      </c>
      <c r="Q289">
        <f>Graph!$D$31*((Graph!$D$27-Y289)/POWER((((Graph!$D$27-$Y289)^2)+((Graph!$E$27-$Z289)^2))+(Graph!$D$32^2),3/2))</f>
        <v>-914.91511217554034</v>
      </c>
      <c r="R289">
        <f>Graph!$D$31*((Graph!$E$27-Z289)/POWER((((Graph!$D$27-$Y289)^2)+((Graph!$E$27-$Z289)^2))+(Graph!$D$32^2),3/2))</f>
        <v>-1411.0385955418542</v>
      </c>
      <c r="S289">
        <f>Graph!$D$40*((Graph!$D$36-Y289)/POWER((((Graph!$D$36-$Y289)^2)+((Graph!$E$36-$Z289)^2))+(Graph!$D$41^2),3/2))</f>
        <v>161.42151952878308</v>
      </c>
      <c r="T289">
        <f>Graph!$D$40*((Graph!$E$36-Z289)/POWER((((Graph!$D$36-$Y289)^2)+((Graph!$E$36-$Z289)^2))+(Graph!$D$41^2),3/2))</f>
        <v>-355.95406403698655</v>
      </c>
      <c r="U289">
        <f>O289+Q289+S289</f>
        <v>-243.89776434467788</v>
      </c>
      <c r="V289">
        <f>P289+R289+T289</f>
        <v>-1900.9719027000328</v>
      </c>
      <c r="W289">
        <f>W288+(U288*Graph!$D$5)</f>
        <v>-1149.3277851505595</v>
      </c>
      <c r="X289">
        <f>X288+(V288*Graph!$D$5)</f>
        <v>1708.3674067618153</v>
      </c>
      <c r="Y289">
        <f>Y288+(W288*Graph!$D$5)+(U288*Graph!$D$5^2)</f>
        <v>-14902.461605742606</v>
      </c>
      <c r="Z289">
        <f>Z288+(X288*Graph!$D$5)+(V288*Graph!$D$5^2)</f>
        <v>17861.738560039852</v>
      </c>
    </row>
    <row r="290" spans="14:26" x14ac:dyDescent="0.35">
      <c r="N290">
        <f>N289+1</f>
        <v>287</v>
      </c>
      <c r="O290">
        <f>Graph!$D$22*((Graph!$D$18-Y290)/POWER((((Graph!$D$18-$Y290)^2)+((Graph!$E$18-$Z290)^2))+(Graph!$D$23^2),(3/2)))</f>
        <v>486.9081941808256</v>
      </c>
      <c r="P290" s="84">
        <f>Graph!$D$22*((Graph!$E$18-Z290)/POWER((((Graph!$D$18-$Y290)^2)+((Graph!$E$18-$Z290)^2))+(Graph!$D$23^2),3/2))</f>
        <v>-131.39174600847537</v>
      </c>
      <c r="Q290">
        <f>Graph!$D$31*((Graph!$D$27-Y290)/POWER((((Graph!$D$27-$Y290)^2)+((Graph!$E$27-$Z290)^2))+(Graph!$D$32^2),3/2))</f>
        <v>-800.52334301949656</v>
      </c>
      <c r="R290">
        <f>Graph!$D$31*((Graph!$E$27-Z290)/POWER((((Graph!$D$27-$Y290)^2)+((Graph!$E$27-$Z290)^2))+(Graph!$D$32^2),3/2))</f>
        <v>-1478.4858563812509</v>
      </c>
      <c r="S290">
        <f>Graph!$D$40*((Graph!$D$36-Y290)/POWER((((Graph!$D$36-$Y290)^2)+((Graph!$E$36-$Z290)^2))+(Graph!$D$41^2),3/2))</f>
        <v>160.19982737584786</v>
      </c>
      <c r="T290">
        <f>Graph!$D$40*((Graph!$E$36-Z290)/POWER((((Graph!$D$36-$Y290)^2)+((Graph!$E$36-$Z290)^2))+(Graph!$D$41^2),3/2))</f>
        <v>-342.71571842889233</v>
      </c>
      <c r="U290">
        <f>O290+Q290+S290</f>
        <v>-153.4153214628231</v>
      </c>
      <c r="V290">
        <f>P290+R290+T290</f>
        <v>-1952.5933208186186</v>
      </c>
      <c r="W290">
        <f>W289+(U289*Graph!$D$5)</f>
        <v>-1271.2766673228984</v>
      </c>
      <c r="X290">
        <f>X289+(V289*Graph!$D$5)</f>
        <v>757.88145541179892</v>
      </c>
      <c r="Y290">
        <f>Y289+(W289*Graph!$D$5)+(U289*Graph!$D$5^2)</f>
        <v>-15538.099939404055</v>
      </c>
      <c r="Z290">
        <f>Z289+(X289*Graph!$D$5)+(V289*Graph!$D$5^2)</f>
        <v>18240.679287745748</v>
      </c>
    </row>
    <row r="291" spans="14:26" x14ac:dyDescent="0.35">
      <c r="N291">
        <f>N290+1</f>
        <v>288</v>
      </c>
      <c r="O291">
        <f>Graph!$D$22*((Graph!$D$18-Y291)/POWER((((Graph!$D$18-$Y291)^2)+((Graph!$E$18-$Z291)^2))+(Graph!$D$23^2),(3/2)))</f>
        <v>470.0067745745385</v>
      </c>
      <c r="P291" s="84">
        <f>Graph!$D$22*((Graph!$E$18-Z291)/POWER((((Graph!$D$18-$Y291)^2)+((Graph!$E$18-$Z291)^2))+(Graph!$D$23^2),3/2))</f>
        <v>-122.44763236832121</v>
      </c>
      <c r="Q291">
        <f>Graph!$D$31*((Graph!$D$27-Y291)/POWER((((Graph!$D$27-$Y291)^2)+((Graph!$E$27-$Z291)^2))+(Graph!$D$32^2),3/2))</f>
        <v>-761.9710940569106</v>
      </c>
      <c r="R291">
        <f>Graph!$D$31*((Graph!$E$27-Z291)/POWER((((Graph!$D$27-$Y291)^2)+((Graph!$E$27-$Z291)^2))+(Graph!$D$32^2),3/2))</f>
        <v>-1635.7172733563384</v>
      </c>
      <c r="S291">
        <f>Graph!$D$40*((Graph!$D$36-Y291)/POWER((((Graph!$D$36-$Y291)^2)+((Graph!$E$36-$Z291)^2))+(Graph!$D$41^2),3/2))</f>
        <v>164.59456934098287</v>
      </c>
      <c r="T291">
        <f>Graph!$D$40*((Graph!$E$36-Z291)/POWER((((Graph!$D$36-$Y291)^2)+((Graph!$E$36-$Z291)^2))+(Graph!$D$41^2),3/2))</f>
        <v>-336.36993170745933</v>
      </c>
      <c r="U291">
        <f>O291+Q291+S291</f>
        <v>-127.36975014138923</v>
      </c>
      <c r="V291">
        <f>P291+R291+T291</f>
        <v>-2094.5348374321188</v>
      </c>
      <c r="W291">
        <f>W290+(U290*Graph!$D$5)</f>
        <v>-1347.98432805431</v>
      </c>
      <c r="X291">
        <f>X290+(V290*Graph!$D$5)</f>
        <v>-218.41520499751039</v>
      </c>
      <c r="Y291">
        <f>Y290+(W290*Graph!$D$5)+(U290*Graph!$D$5^2)</f>
        <v>-16212.09210343121</v>
      </c>
      <c r="Z291">
        <f>Z290+(X290*Graph!$D$5)+(V290*Graph!$D$5^2)</f>
        <v>18131.471685246994</v>
      </c>
    </row>
    <row r="292" spans="14:26" x14ac:dyDescent="0.35">
      <c r="N292">
        <f>N291+1</f>
        <v>289</v>
      </c>
      <c r="O292">
        <f>Graph!$D$22*((Graph!$D$18-Y292)/POWER((((Graph!$D$18-$Y292)^2)+((Graph!$E$18-$Z292)^2))+(Graph!$D$23^2),(3/2)))</f>
        <v>458.09340328260555</v>
      </c>
      <c r="P292" s="84">
        <f>Graph!$D$22*((Graph!$E$18-Z292)/POWER((((Graph!$D$18-$Y292)^2)+((Graph!$E$18-$Z292)^2))+(Graph!$D$23^2),3/2))</f>
        <v>-107.62206265631917</v>
      </c>
      <c r="Q292">
        <f>Graph!$D$31*((Graph!$D$27-Y292)/POWER((((Graph!$D$27-$Y292)^2)+((Graph!$E$27-$Z292)^2))+(Graph!$D$32^2),3/2))</f>
        <v>-803.84492874613181</v>
      </c>
      <c r="R292">
        <f>Graph!$D$31*((Graph!$E$27-Z292)/POWER((((Graph!$D$27-$Y292)^2)+((Graph!$E$27-$Z292)^2))+(Graph!$D$32^2),3/2))</f>
        <v>-1955.7406398990699</v>
      </c>
      <c r="S292">
        <f>Graph!$D$40*((Graph!$D$36-Y292)/POWER((((Graph!$D$36-$Y292)^2)+((Graph!$E$36-$Z292)^2))+(Graph!$D$41^2),3/2))</f>
        <v>175.19158857851548</v>
      </c>
      <c r="T292">
        <f>Graph!$D$40*((Graph!$E$36-Z292)/POWER((((Graph!$D$36-$Y292)^2)+((Graph!$E$36-$Z292)^2))+(Graph!$D$41^2),3/2))</f>
        <v>-336.53572219695582</v>
      </c>
      <c r="U292">
        <f>O292+Q292+S292</f>
        <v>-170.55993688501079</v>
      </c>
      <c r="V292">
        <f>P292+R292+T292</f>
        <v>-2399.8984247523449</v>
      </c>
      <c r="W292">
        <f>W291+(U291*Graph!$D$5)</f>
        <v>-1411.6692031250047</v>
      </c>
      <c r="X292">
        <f>X291+(V291*Graph!$D$5)</f>
        <v>-1265.6826237135697</v>
      </c>
      <c r="Y292">
        <f>Y291+(W291*Graph!$D$5)+(U291*Graph!$D$5^2)</f>
        <v>-16917.926704993712</v>
      </c>
      <c r="Z292">
        <f>Z291+(X291*Graph!$D$5)+(V291*Graph!$D$5^2)</f>
        <v>17498.63037339021</v>
      </c>
    </row>
    <row r="293" spans="14:26" x14ac:dyDescent="0.35">
      <c r="N293">
        <f>N292+1</f>
        <v>290</v>
      </c>
      <c r="O293">
        <f>Graph!$D$22*((Graph!$D$18-Y293)/POWER((((Graph!$D$18-$Y293)^2)+((Graph!$E$18-$Z293)^2))+(Graph!$D$23^2),(3/2)))</f>
        <v>449.47135858350981</v>
      </c>
      <c r="P293" s="84">
        <f>Graph!$D$22*((Graph!$E$18-Z293)/POWER((((Graph!$D$18-$Y293)^2)+((Graph!$E$18-$Z293)^2))+(Graph!$D$23^2),3/2))</f>
        <v>-86.214092296459242</v>
      </c>
      <c r="Q293">
        <f>Graph!$D$31*((Graph!$D$27-Y293)/POWER((((Graph!$D$27-$Y293)^2)+((Graph!$E$27-$Z293)^2))+(Graph!$D$32^2),3/2))</f>
        <v>-975.00848573352744</v>
      </c>
      <c r="R293">
        <f>Graph!$D$31*((Graph!$E$27-Z293)/POWER((((Graph!$D$27-$Y293)^2)+((Graph!$E$27-$Z293)^2))+(Graph!$D$32^2),3/2))</f>
        <v>-2617.9403681744693</v>
      </c>
      <c r="S293">
        <f>Graph!$D$40*((Graph!$D$36-Y293)/POWER((((Graph!$D$36-$Y293)^2)+((Graph!$E$36-$Z293)^2))+(Graph!$D$41^2),3/2))</f>
        <v>194.0573353685613</v>
      </c>
      <c r="T293">
        <f>Graph!$D$40*((Graph!$E$36-Z293)/POWER((((Graph!$D$36-$Y293)^2)+((Graph!$E$36-$Z293)^2))+(Graph!$D$41^2),3/2))</f>
        <v>-343.44066691723765</v>
      </c>
      <c r="U293">
        <f>O293+Q293+S293</f>
        <v>-331.47979178145624</v>
      </c>
      <c r="V293">
        <f>P293+R293+T293</f>
        <v>-3047.595127388166</v>
      </c>
      <c r="W293">
        <f>W292+(U292*Graph!$D$5)</f>
        <v>-1496.9491715675101</v>
      </c>
      <c r="X293">
        <f>X292+(V292*Graph!$D$5)</f>
        <v>-2465.6318360897421</v>
      </c>
      <c r="Y293">
        <f>Y292+(W292*Graph!$D$5)+(U292*Graph!$D$5^2)</f>
        <v>-17666.401290777467</v>
      </c>
      <c r="Z293">
        <f>Z292+(X292*Graph!$D$5)+(V292*Graph!$D$5^2)</f>
        <v>16265.814455345339</v>
      </c>
    </row>
    <row r="294" spans="14:26" x14ac:dyDescent="0.35">
      <c r="N294">
        <f>N293+1</f>
        <v>291</v>
      </c>
      <c r="O294">
        <f>Graph!$D$22*((Graph!$D$18-Y294)/POWER((((Graph!$D$18-$Y294)^2)+((Graph!$E$18-$Z294)^2))+(Graph!$D$23^2),(3/2)))</f>
        <v>440.89433177456129</v>
      </c>
      <c r="P294" s="84">
        <f>Graph!$D$22*((Graph!$E$18-Z294)/POWER((((Graph!$D$18-$Y294)^2)+((Graph!$E$18-$Z294)^2))+(Graph!$D$23^2),3/2))</f>
        <v>-56.215832626130698</v>
      </c>
      <c r="Q294">
        <f>Graph!$D$31*((Graph!$D$27-Y294)/POWER((((Graph!$D$27-$Y294)^2)+((Graph!$E$27-$Z294)^2))+(Graph!$D$32^2),3/2))</f>
        <v>-1439.5869109782152</v>
      </c>
      <c r="R294">
        <f>Graph!$D$31*((Graph!$E$27-Z294)/POWER((((Graph!$D$27-$Y294)^2)+((Graph!$E$27-$Z294)^2))+(Graph!$D$32^2),3/2))</f>
        <v>-4092.9287491668988</v>
      </c>
      <c r="S294">
        <f>Graph!$D$40*((Graph!$D$36-Y294)/POWER((((Graph!$D$36-$Y294)^2)+((Graph!$E$36-$Z294)^2))+(Graph!$D$41^2),3/2))</f>
        <v>226.18537826549516</v>
      </c>
      <c r="T294">
        <f>Graph!$D$40*((Graph!$E$36-Z294)/POWER((((Graph!$D$36-$Y294)^2)+((Graph!$E$36-$Z294)^2))+(Graph!$D$41^2),3/2))</f>
        <v>-357.91900446933937</v>
      </c>
      <c r="U294">
        <f>O294+Q294+S294</f>
        <v>-772.50720093815869</v>
      </c>
      <c r="V294">
        <f>P294+R294+T294</f>
        <v>-4507.0635862623694</v>
      </c>
      <c r="W294">
        <f>W293+(U293*Graph!$D$5)</f>
        <v>-1662.6890674582382</v>
      </c>
      <c r="X294">
        <f>X293+(V293*Graph!$D$5)</f>
        <v>-3989.4293997838249</v>
      </c>
      <c r="Y294">
        <f>Y293+(W293*Graph!$D$5)+(U293*Graph!$D$5^2)</f>
        <v>-18497.745824506586</v>
      </c>
      <c r="Z294">
        <f>Z293+(X293*Graph!$D$5)+(V293*Graph!$D$5^2)</f>
        <v>14271.099755453426</v>
      </c>
    </row>
    <row r="295" spans="14:26" x14ac:dyDescent="0.35">
      <c r="N295">
        <f>N294+1</f>
        <v>292</v>
      </c>
      <c r="O295">
        <f>Graph!$D$22*((Graph!$D$18-Y295)/POWER((((Graph!$D$18-$Y295)^2)+((Graph!$E$18-$Z295)^2))+(Graph!$D$23^2),(3/2)))</f>
        <v>425.17738762752333</v>
      </c>
      <c r="P295" s="84">
        <f>Graph!$D$22*((Graph!$E$18-Z295)/POWER((((Graph!$D$18-$Y295)^2)+((Graph!$E$18-$Z295)^2))+(Graph!$D$23^2),3/2))</f>
        <v>-14.158768208446546</v>
      </c>
      <c r="Q295">
        <f>Graph!$D$31*((Graph!$D$27-Y295)/POWER((((Graph!$D$27-$Y295)^2)+((Graph!$E$27-$Z295)^2))+(Graph!$D$32^2),3/2))</f>
        <v>-1673.8223073136739</v>
      </c>
      <c r="R295">
        <f>Graph!$D$31*((Graph!$E$27-Z295)/POWER((((Graph!$D$27-$Y295)^2)+((Graph!$E$27-$Z295)^2))+(Graph!$D$32^2),3/2))</f>
        <v>-4027.4744632551224</v>
      </c>
      <c r="S295">
        <f>Graph!$D$40*((Graph!$D$36-Y295)/POWER((((Graph!$D$36-$Y295)^2)+((Graph!$E$36-$Z295)^2))+(Graph!$D$41^2),3/2))</f>
        <v>284.07701821069901</v>
      </c>
      <c r="T295">
        <f>Graph!$D$40*((Graph!$E$36-Z295)/POWER((((Graph!$D$36-$Y295)^2)+((Graph!$E$36-$Z295)^2))+(Graph!$D$41^2),3/2))</f>
        <v>-380.51548027217126</v>
      </c>
      <c r="U295">
        <f>O295+Q295+S295</f>
        <v>-964.56790147545166</v>
      </c>
      <c r="V295">
        <f>P295+R295+T295</f>
        <v>-4422.1487117357401</v>
      </c>
      <c r="W295">
        <f>W294+(U294*Graph!$D$5)</f>
        <v>-2048.9426679273174</v>
      </c>
      <c r="X295">
        <f>X294+(V294*Graph!$D$5)</f>
        <v>-6242.9611929150096</v>
      </c>
      <c r="Y295">
        <f>Y294+(W294*Graph!$D$5)+(U294*Graph!$D$5^2)</f>
        <v>-19522.217158470245</v>
      </c>
      <c r="Z295">
        <f>Z294+(X294*Graph!$D$5)+(V294*Graph!$D$5^2)</f>
        <v>11149.619158995922</v>
      </c>
    </row>
    <row r="296" spans="14:26" x14ac:dyDescent="0.35">
      <c r="N296">
        <f>N295+1</f>
        <v>293</v>
      </c>
      <c r="O296">
        <f>Graph!$D$22*((Graph!$D$18-Y296)/POWER((((Graph!$D$18-$Y296)^2)+((Graph!$E$18-$Z296)^2))+(Graph!$D$23^2),(3/2)))</f>
        <v>392.85011196833142</v>
      </c>
      <c r="P296" s="84">
        <f>Graph!$D$22*((Graph!$E$18-Z296)/POWER((((Graph!$D$18-$Y296)^2)+((Graph!$E$18-$Z296)^2))+(Graph!$D$23^2),3/2))</f>
        <v>33.781214866237249</v>
      </c>
      <c r="Q296">
        <f>Graph!$D$31*((Graph!$D$27-Y296)/POWER((((Graph!$D$27-$Y296)^2)+((Graph!$E$27-$Z296)^2))+(Graph!$D$32^2),3/2))</f>
        <v>1339.8922617825367</v>
      </c>
      <c r="R296">
        <f>Graph!$D$31*((Graph!$E$27-Z296)/POWER((((Graph!$D$27-$Y296)^2)+((Graph!$E$27-$Z296)^2))+(Graph!$D$32^2),3/2))</f>
        <v>5233.84504624291</v>
      </c>
      <c r="S296">
        <f>Graph!$D$40*((Graph!$D$36-Y296)/POWER((((Graph!$D$36-$Y296)^2)+((Graph!$E$36-$Z296)^2))+(Graph!$D$41^2),3/2))</f>
        <v>379.04262707608621</v>
      </c>
      <c r="T296">
        <f>Graph!$D$40*((Graph!$E$36-Z296)/POWER((((Graph!$D$36-$Y296)^2)+((Graph!$E$36-$Z296)^2))+(Graph!$D$41^2),3/2))</f>
        <v>-399.73389402192078</v>
      </c>
      <c r="U296">
        <f>O296+Q296+S296</f>
        <v>2111.7850008269543</v>
      </c>
      <c r="V296">
        <f>P296+R296+T296</f>
        <v>4867.8923670872264</v>
      </c>
      <c r="W296">
        <f>W295+(U295*Graph!$D$5)</f>
        <v>-2531.2266186650431</v>
      </c>
      <c r="X296">
        <f>X295+(V295*Graph!$D$5)</f>
        <v>-8454.0355487828801</v>
      </c>
      <c r="Y296">
        <f>Y295+(W295*Graph!$D$5)+(U295*Graph!$D$5^2)</f>
        <v>-20787.830467802767</v>
      </c>
      <c r="Z296">
        <f>Z295+(X295*Graph!$D$5)+(V295*Graph!$D$5^2)</f>
        <v>6922.6013846044825</v>
      </c>
    </row>
    <row r="297" spans="14:26" x14ac:dyDescent="0.35">
      <c r="N297">
        <f>N296+1</f>
        <v>294</v>
      </c>
      <c r="O297">
        <f>Graph!$D$22*((Graph!$D$18-Y297)/POWER((((Graph!$D$18-$Y297)^2)+((Graph!$E$18-$Z297)^2))+(Graph!$D$23^2),(3/2)))</f>
        <v>366.5960712858701</v>
      </c>
      <c r="P297" s="84">
        <f>Graph!$D$22*((Graph!$E$18-Z297)/POWER((((Graph!$D$18-$Y297)^2)+((Graph!$E$18-$Z297)^2))+(Graph!$D$23^2),3/2))</f>
        <v>61.097943856413593</v>
      </c>
      <c r="Q297">
        <f>Graph!$D$31*((Graph!$D$27-Y297)/POWER((((Graph!$D$27-$Y297)^2)+((Graph!$E$27-$Z297)^2))+(Graph!$D$32^2),3/2))</f>
        <v>738.41281359455866</v>
      </c>
      <c r="R297">
        <f>Graph!$D$31*((Graph!$E$27-Z297)/POWER((((Graph!$D$27-$Y297)^2)+((Graph!$E$27-$Z297)^2))+(Graph!$D$32^2),3/2))</f>
        <v>2946.6099118069842</v>
      </c>
      <c r="S297">
        <f>Graph!$D$40*((Graph!$D$36-Y297)/POWER((((Graph!$D$36-$Y297)^2)+((Graph!$E$36-$Z297)^2))+(Graph!$D$41^2),3/2))</f>
        <v>458.00661983913648</v>
      </c>
      <c r="T297">
        <f>Graph!$D$40*((Graph!$E$36-Z297)/POWER((((Graph!$D$36-$Y297)^2)+((Graph!$E$36-$Z297)^2))+(Graph!$D$41^2),3/2))</f>
        <v>-402.4100328810411</v>
      </c>
      <c r="U297">
        <f>O297+Q297+S297</f>
        <v>1563.0155047195651</v>
      </c>
      <c r="V297">
        <f>P297+R297+T297</f>
        <v>2605.2978227823569</v>
      </c>
      <c r="W297">
        <f>W296+(U296*Graph!$D$5)</f>
        <v>-1475.334118251566</v>
      </c>
      <c r="X297">
        <f>X296+(V296*Graph!$D$5)</f>
        <v>-6020.089365239267</v>
      </c>
      <c r="Y297">
        <f>Y296+(W296*Graph!$D$5)+(U296*Graph!$D$5^2)</f>
        <v>-21525.49752692855</v>
      </c>
      <c r="Z297">
        <f>Z296+(X296*Graph!$D$5)+(V296*Graph!$D$5^2)</f>
        <v>3912.556701984849</v>
      </c>
    </row>
    <row r="298" spans="14:26" x14ac:dyDescent="0.35">
      <c r="N298">
        <f>N297+1</f>
        <v>295</v>
      </c>
      <c r="O298">
        <f>Graph!$D$22*((Graph!$D$18-Y298)/POWER((((Graph!$D$18-$Y298)^2)+((Graph!$E$18-$Z298)^2))+(Graph!$D$23^2),(3/2)))</f>
        <v>347.53400879310107</v>
      </c>
      <c r="P298" s="84">
        <f>Graph!$D$22*((Graph!$E$18-Z298)/POWER((((Graph!$D$18-$Y298)^2)+((Graph!$E$18-$Z298)^2))+(Graph!$D$23^2),3/2))</f>
        <v>79.60773413597569</v>
      </c>
      <c r="Q298">
        <f>Graph!$D$31*((Graph!$D$27-Y298)/POWER((((Graph!$D$27-$Y298)^2)+((Graph!$E$27-$Z298)^2))+(Graph!$D$32^2),3/2))</f>
        <v>413.72760021334648</v>
      </c>
      <c r="R298">
        <f>Graph!$D$31*((Graph!$E$27-Z298)/POWER((((Graph!$D$27-$Y298)^2)+((Graph!$E$27-$Z298)^2))+(Graph!$D$32^2),3/2))</f>
        <v>1866.2630734562053</v>
      </c>
      <c r="S298">
        <f>Graph!$D$40*((Graph!$D$36-Y298)/POWER((((Graph!$D$36-$Y298)^2)+((Graph!$E$36-$Z298)^2))+(Graph!$D$41^2),3/2))</f>
        <v>528.32575125878623</v>
      </c>
      <c r="T298">
        <f>Graph!$D$40*((Graph!$E$36-Z298)/POWER((((Graph!$D$36-$Y298)^2)+((Graph!$E$36-$Z298)^2))+(Graph!$D$41^2),3/2))</f>
        <v>-399.85615705146029</v>
      </c>
      <c r="U298">
        <f>O298+Q298+S298</f>
        <v>1289.5873602652337</v>
      </c>
      <c r="V298">
        <f>P298+R298+T298</f>
        <v>1546.0146505407208</v>
      </c>
      <c r="W298">
        <f>W297+(U297*Graph!$D$5)</f>
        <v>-693.82636589178344</v>
      </c>
      <c r="X298">
        <f>X297+(V297*Graph!$D$5)</f>
        <v>-4717.4404538480885</v>
      </c>
      <c r="Y298">
        <f>Y297+(W297*Graph!$D$5)+(U297*Graph!$D$5^2)</f>
        <v>-21872.410709874443</v>
      </c>
      <c r="Z298">
        <f>Z297+(X297*Graph!$D$5)+(V297*Graph!$D$5^2)</f>
        <v>1553.8364750608048</v>
      </c>
    </row>
    <row r="299" spans="14:26" x14ac:dyDescent="0.35">
      <c r="N299">
        <f>N298+1</f>
        <v>296</v>
      </c>
      <c r="O299">
        <f>Graph!$D$22*((Graph!$D$18-Y299)/POWER((((Graph!$D$18-$Y299)^2)+((Graph!$E$18-$Z299)^2))+(Graph!$D$23^2),(3/2)))</f>
        <v>334.24070125887181</v>
      </c>
      <c r="P299" s="84">
        <f>Graph!$D$22*((Graph!$E$18-Z299)/POWER((((Graph!$D$18-$Y299)^2)+((Graph!$E$18-$Z299)^2))+(Graph!$D$23^2),3/2))</f>
        <v>94.377687931199546</v>
      </c>
      <c r="Q299">
        <f>Graph!$D$31*((Graph!$D$27-Y299)/POWER((((Graph!$D$27-$Y299)^2)+((Graph!$E$27-$Z299)^2))+(Graph!$D$32^2),3/2))</f>
        <v>245.56137687771428</v>
      </c>
      <c r="R299">
        <f>Graph!$D$31*((Graph!$E$27-Z299)/POWER((((Graph!$D$27-$Y299)^2)+((Graph!$E$27-$Z299)^2))+(Graph!$D$32^2),3/2))</f>
        <v>1348.6822046382317</v>
      </c>
      <c r="S299">
        <f>Graph!$D$40*((Graph!$D$36-Y299)/POWER((((Graph!$D$36-$Y299)^2)+((Graph!$E$36-$Z299)^2))+(Graph!$D$41^2),3/2))</f>
        <v>597.05325435927318</v>
      </c>
      <c r="T299">
        <f>Graph!$D$40*((Graph!$E$36-Z299)/POWER((((Graph!$D$36-$Y299)^2)+((Graph!$E$36-$Z299)^2))+(Graph!$D$41^2),3/2))</f>
        <v>-397.59020069719719</v>
      </c>
      <c r="U299">
        <f>O299+Q299+S299</f>
        <v>1176.8553324958593</v>
      </c>
      <c r="V299">
        <f>P299+R299+T299</f>
        <v>1045.4696918722341</v>
      </c>
      <c r="W299">
        <f>W298+(U298*Graph!$D$5)</f>
        <v>-49.032685759166611</v>
      </c>
      <c r="X299">
        <f>X298+(V298*Graph!$D$5)</f>
        <v>-3944.433128577728</v>
      </c>
      <c r="Y299">
        <f>Y298+(W298*Graph!$D$5)+(U298*Graph!$D$5^2)</f>
        <v>-21896.927052754028</v>
      </c>
      <c r="Z299">
        <f>Z298+(X298*Graph!$D$5)+(V298*Graph!$D$5^2)</f>
        <v>-418.38008922805926</v>
      </c>
    </row>
    <row r="300" spans="14:26" x14ac:dyDescent="0.35">
      <c r="N300">
        <f>N299+1</f>
        <v>297</v>
      </c>
      <c r="O300">
        <f>Graph!$D$22*((Graph!$D$18-Y300)/POWER((((Graph!$D$18-$Y300)^2)+((Graph!$E$18-$Z300)^2))+(Graph!$D$23^2),(3/2)))</f>
        <v>325.65290997799752</v>
      </c>
      <c r="P300" s="84">
        <f>Graph!$D$22*((Graph!$E$18-Z300)/POWER((((Graph!$D$18-$Y300)^2)+((Graph!$E$18-$Z300)^2))+(Graph!$D$23^2),3/2))</f>
        <v>107.84104727269423</v>
      </c>
      <c r="Q300">
        <f>Graph!$D$31*((Graph!$D$27-Y300)/POWER((((Graph!$D$27-$Y300)^2)+((Graph!$E$27-$Z300)^2))+(Graph!$D$32^2),3/2))</f>
        <v>141.71127214150488</v>
      </c>
      <c r="R300">
        <f>Graph!$D$31*((Graph!$E$27-Z300)/POWER((((Graph!$D$27-$Y300)^2)+((Graph!$E$27-$Z300)^2))+(Graph!$D$32^2),3/2))</f>
        <v>1056.3036365354983</v>
      </c>
      <c r="S300">
        <f>Graph!$D$40*((Graph!$D$36-Y300)/POWER((((Graph!$D$36-$Y300)^2)+((Graph!$E$36-$Z300)^2))+(Graph!$D$41^2),3/2))</f>
        <v>670.30261679280238</v>
      </c>
      <c r="T300">
        <f>Graph!$D$40*((Graph!$E$36-Z300)/POWER((((Graph!$D$36-$Y300)^2)+((Graph!$E$36-$Z300)^2))+(Graph!$D$41^2),3/2))</f>
        <v>-398.90968475493844</v>
      </c>
      <c r="U300">
        <f>O300+Q300+S300</f>
        <v>1137.6667989123048</v>
      </c>
      <c r="V300">
        <f>P300+R300+T300</f>
        <v>765.234999053254</v>
      </c>
      <c r="W300">
        <f>W299+(U299*Graph!$D$5)</f>
        <v>539.39498048876305</v>
      </c>
      <c r="X300">
        <f>X299+(V299*Graph!$D$5)</f>
        <v>-3421.6982826416111</v>
      </c>
      <c r="Y300">
        <f>Y299+(W299*Graph!$D$5)+(U299*Graph!$D$5^2)</f>
        <v>-21627.229562509645</v>
      </c>
      <c r="Z300">
        <f>Z299+(X299*Graph!$D$5)+(V299*Graph!$D$5^2)</f>
        <v>-2129.2292305488645</v>
      </c>
    </row>
    <row r="301" spans="14:26" x14ac:dyDescent="0.35">
      <c r="N301">
        <f>N300+1</f>
        <v>298</v>
      </c>
      <c r="O301">
        <f>Graph!$D$22*((Graph!$D$18-Y301)/POWER((((Graph!$D$18-$Y301)^2)+((Graph!$E$18-$Z301)^2))+(Graph!$D$23^2),(3/2)))</f>
        <v>321.08053237949338</v>
      </c>
      <c r="P301" s="84">
        <f>Graph!$D$22*((Graph!$E$18-Z301)/POWER((((Graph!$D$18-$Y301)^2)+((Graph!$E$18-$Z301)^2))+(Graph!$D$23^2),3/2))</f>
        <v>121.48532699028526</v>
      </c>
      <c r="Q301">
        <f>Graph!$D$31*((Graph!$D$27-Y301)/POWER((((Graph!$D$27-$Y301)^2)+((Graph!$E$27-$Z301)^2))+(Graph!$D$32^2),3/2))</f>
        <v>68.29722978253011</v>
      </c>
      <c r="R301">
        <f>Graph!$D$31*((Graph!$E$27-Z301)/POWER((((Graph!$D$27-$Y301)^2)+((Graph!$E$27-$Z301)^2))+(Graph!$D$32^2),3/2))</f>
        <v>868.66070413832495</v>
      </c>
      <c r="S301">
        <f>Graph!$D$40*((Graph!$D$36-Y301)/POWER((((Graph!$D$36-$Y301)^2)+((Graph!$E$36-$Z301)^2))+(Graph!$D$41^2),3/2))</f>
        <v>754.66729789227782</v>
      </c>
      <c r="T301">
        <f>Graph!$D$40*((Graph!$E$36-Z301)/POWER((((Graph!$D$36-$Y301)^2)+((Graph!$E$36-$Z301)^2))+(Graph!$D$41^2),3/2))</f>
        <v>-406.50858715468354</v>
      </c>
      <c r="U301">
        <f>O301+Q301+S301</f>
        <v>1144.0450600543013</v>
      </c>
      <c r="V301">
        <f>P301+R301+T301</f>
        <v>583.63744397392657</v>
      </c>
      <c r="W301">
        <f>W300+(U300*Graph!$D$5)</f>
        <v>1108.2283799449156</v>
      </c>
      <c r="X301">
        <f>X300+(V300*Graph!$D$5)</f>
        <v>-3039.0807831149841</v>
      </c>
      <c r="Y301">
        <f>Y300+(W300*Graph!$D$5)+(U300*Graph!$D$5^2)</f>
        <v>-21073.115372537188</v>
      </c>
      <c r="Z301">
        <f>Z300+(X300*Graph!$D$5)+(V300*Graph!$D$5^2)</f>
        <v>-3648.7696221063566</v>
      </c>
    </row>
    <row r="302" spans="14:26" x14ac:dyDescent="0.35">
      <c r="N302">
        <f>N301+1</f>
        <v>299</v>
      </c>
      <c r="O302">
        <f>Graph!$D$22*((Graph!$D$18-Y302)/POWER((((Graph!$D$18-$Y302)^2)+((Graph!$E$18-$Z302)^2))+(Graph!$D$23^2),(3/2)))</f>
        <v>320.0951731521339</v>
      </c>
      <c r="P302" s="84">
        <f>Graph!$D$22*((Graph!$E$18-Z302)/POWER((((Graph!$D$18-$Y302)^2)+((Graph!$E$18-$Z302)^2))+(Graph!$D$23^2),3/2))</f>
        <v>136.47998507449603</v>
      </c>
      <c r="Q302">
        <f>Graph!$D$31*((Graph!$D$27-Y302)/POWER((((Graph!$D$27-$Y302)^2)+((Graph!$E$27-$Z302)^2))+(Graph!$D$32^2),3/2))</f>
        <v>11.397980874779011</v>
      </c>
      <c r="R302">
        <f>Graph!$D$31*((Graph!$E$27-Z302)/POWER((((Graph!$D$27-$Y302)^2)+((Graph!$E$27-$Z302)^2))+(Graph!$D$32^2),3/2))</f>
        <v>734.90319723732068</v>
      </c>
      <c r="S302">
        <f>Graph!$D$40*((Graph!$D$36-Y302)/POWER((((Graph!$D$36-$Y302)^2)+((Graph!$E$36-$Z302)^2))+(Graph!$D$41^2),3/2))</f>
        <v>858.6904476866473</v>
      </c>
      <c r="T302">
        <f>Graph!$D$40*((Graph!$E$36-Z302)/POWER((((Graph!$D$36-$Y302)^2)+((Graph!$E$36-$Z302)^2))+(Graph!$D$41^2),3/2))</f>
        <v>-423.45047792291132</v>
      </c>
      <c r="U302">
        <f>O302+Q302+S302</f>
        <v>1190.1836017135602</v>
      </c>
      <c r="V302">
        <f>P302+R302+T302</f>
        <v>447.93270438890534</v>
      </c>
      <c r="W302">
        <f>W301+(U301*Graph!$D$5)</f>
        <v>1680.2509099720662</v>
      </c>
      <c r="X302">
        <f>X301+(V301*Graph!$D$5)</f>
        <v>-2747.2620611280208</v>
      </c>
      <c r="Y302">
        <f>Y301+(W301*Graph!$D$5)+(U301*Graph!$D$5^2)</f>
        <v>-20232.989917551156</v>
      </c>
      <c r="Z302">
        <f>Z301+(X301*Graph!$D$5)+(V301*Graph!$D$5^2)</f>
        <v>-5022.400652670367</v>
      </c>
    </row>
    <row r="303" spans="14:26" x14ac:dyDescent="0.35">
      <c r="N303">
        <f>N302+1</f>
        <v>300</v>
      </c>
      <c r="O303">
        <f>Graph!$D$22*((Graph!$D$18-Y303)/POWER((((Graph!$D$18-$Y303)^2)+((Graph!$E$18-$Z303)^2))+(Graph!$D$23^2),(3/2)))</f>
        <v>322.43855528788049</v>
      </c>
      <c r="P303" s="84">
        <f>Graph!$D$22*((Graph!$E$18-Z303)/POWER((((Graph!$D$18-$Y303)^2)+((Graph!$E$18-$Z303)^2))+(Graph!$D$23^2),3/2))</f>
        <v>153.99783009242597</v>
      </c>
      <c r="Q303">
        <f>Graph!$D$31*((Graph!$D$27-Y303)/POWER((((Graph!$D$27-$Y303)^2)+((Graph!$E$27-$Z303)^2))+(Graph!$D$32^2),3/2))</f>
        <v>-35.007585280727028</v>
      </c>
      <c r="R303">
        <f>Graph!$D$31*((Graph!$E$27-Z303)/POWER((((Graph!$D$27-$Y303)^2)+((Graph!$E$27-$Z303)^2))+(Graph!$D$32^2),3/2))</f>
        <v>630.12812352546496</v>
      </c>
      <c r="S303">
        <f>Graph!$D$40*((Graph!$D$36-Y303)/POWER((((Graph!$D$36-$Y303)^2)+((Graph!$E$36-$Z303)^2))+(Graph!$D$41^2),3/2))</f>
        <v>995.19336066407789</v>
      </c>
      <c r="T303">
        <f>Graph!$D$40*((Graph!$E$36-Z303)/POWER((((Graph!$D$36-$Y303)^2)+((Graph!$E$36-$Z303)^2))+(Graph!$D$41^2),3/2))</f>
        <v>-454.25045040969729</v>
      </c>
      <c r="U303">
        <f>O303+Q303+S303</f>
        <v>1282.6243306712313</v>
      </c>
      <c r="V303">
        <f>P303+R303+T303</f>
        <v>329.87550320819361</v>
      </c>
      <c r="W303">
        <f>W302+(U302*Graph!$D$5)</f>
        <v>2275.3427108288461</v>
      </c>
      <c r="X303">
        <f>X302+(V302*Graph!$D$5)</f>
        <v>-2523.2957089335682</v>
      </c>
      <c r="Y303">
        <f>Y302+(W302*Graph!$D$5)+(U302*Graph!$D$5^2)</f>
        <v>-19095.318562136734</v>
      </c>
      <c r="Z303">
        <f>Z302+(X302*Graph!$D$5)+(V302*Graph!$D$5^2)</f>
        <v>-6284.0485071371513</v>
      </c>
    </row>
    <row r="304" spans="14:26" x14ac:dyDescent="0.35">
      <c r="N304">
        <f>N303+1</f>
        <v>301</v>
      </c>
      <c r="O304">
        <f>Graph!$D$22*((Graph!$D$18-Y304)/POWER((((Graph!$D$18-$Y304)^2)+((Graph!$E$18-$Z304)^2))+(Graph!$D$23^2),(3/2)))</f>
        <v>327.93156031353584</v>
      </c>
      <c r="P304" s="84">
        <f>Graph!$D$22*((Graph!$E$18-Z304)/POWER((((Graph!$D$18-$Y304)^2)+((Graph!$E$18-$Z304)^2))+(Graph!$D$23^2),3/2))</f>
        <v>175.4678737314251</v>
      </c>
      <c r="Q304">
        <f>Graph!$D$31*((Graph!$D$27-Y304)/POWER((((Graph!$D$27-$Y304)^2)+((Graph!$E$27-$Z304)^2))+(Graph!$D$32^2),3/2))</f>
        <v>-73.174807702303596</v>
      </c>
      <c r="R304">
        <f>Graph!$D$31*((Graph!$E$27-Z304)/POWER((((Graph!$D$27-$Y304)^2)+((Graph!$E$27-$Z304)^2))+(Graph!$D$32^2),3/2))</f>
        <v>540.78015793479847</v>
      </c>
      <c r="S304">
        <f>Graph!$D$40*((Graph!$D$36-Y304)/POWER((((Graph!$D$36-$Y304)^2)+((Graph!$E$36-$Z304)^2))+(Graph!$D$41^2),3/2))</f>
        <v>1185.9210960206642</v>
      </c>
      <c r="T304">
        <f>Graph!$D$40*((Graph!$E$36-Z304)/POWER((((Graph!$D$36-$Y304)^2)+((Graph!$E$36-$Z304)^2))+(Graph!$D$41^2),3/2))</f>
        <v>-506.776777151403</v>
      </c>
      <c r="U304">
        <f>O304+Q304+S304</f>
        <v>1440.6778486318965</v>
      </c>
      <c r="V304">
        <f>P304+R304+T304</f>
        <v>209.4712545148206</v>
      </c>
      <c r="W304">
        <f>W303+(U303*Graph!$D$5)</f>
        <v>2916.6548761644617</v>
      </c>
      <c r="X304">
        <f>X303+(V303*Graph!$D$5)</f>
        <v>-2358.3579573294714</v>
      </c>
      <c r="Y304">
        <f>Y303+(W303*Graph!$D$5)+(U303*Graph!$D$5^2)</f>
        <v>-17636.991124054504</v>
      </c>
      <c r="Z304">
        <f>Z303+(X303*Graph!$D$5)+(V303*Graph!$D$5^2)</f>
        <v>-7463.2274858018873</v>
      </c>
    </row>
    <row r="305" spans="14:26" x14ac:dyDescent="0.35">
      <c r="N305">
        <f>N304+1</f>
        <v>302</v>
      </c>
      <c r="O305">
        <f>Graph!$D$22*((Graph!$D$18-Y305)/POWER((((Graph!$D$18-$Y305)^2)+((Graph!$E$18-$Z305)^2))+(Graph!$D$23^2),(3/2)))</f>
        <v>336.33107704882639</v>
      </c>
      <c r="P305" s="84">
        <f>Graph!$D$22*((Graph!$E$18-Z305)/POWER((((Graph!$D$18-$Y305)^2)+((Graph!$E$18-$Z305)^2))+(Graph!$D$23^2),3/2))</f>
        <v>202.87842995860001</v>
      </c>
      <c r="Q305">
        <f>Graph!$D$31*((Graph!$D$27-Y305)/POWER((((Graph!$D$27-$Y305)^2)+((Graph!$E$27-$Z305)^2))+(Graph!$D$32^2),3/2))</f>
        <v>-103.27971324039233</v>
      </c>
      <c r="R305">
        <f>Graph!$D$31*((Graph!$E$27-Z305)/POWER((((Graph!$D$27-$Y305)^2)+((Graph!$E$27-$Z305)^2))+(Graph!$D$32^2),3/2))</f>
        <v>459.15848590258736</v>
      </c>
      <c r="S305">
        <f>Graph!$D$40*((Graph!$D$36-Y305)/POWER((((Graph!$D$36-$Y305)^2)+((Graph!$E$36-$Z305)^2))+(Graph!$D$41^2),3/2))</f>
        <v>1472.2769427199114</v>
      </c>
      <c r="T305">
        <f>Graph!$D$40*((Graph!$E$36-Z305)/POWER((((Graph!$D$36-$Y305)^2)+((Graph!$E$36-$Z305)^2))+(Graph!$D$41^2),3/2))</f>
        <v>-596.59523621974404</v>
      </c>
      <c r="U305">
        <f>O305+Q305+S305</f>
        <v>1705.3283065283454</v>
      </c>
      <c r="V305">
        <f>P305+R305+T305</f>
        <v>65.441679641443329</v>
      </c>
      <c r="W305">
        <f>W304+(U304*Graph!$D$5)</f>
        <v>3636.9938004804098</v>
      </c>
      <c r="X305">
        <f>X304+(V304*Graph!$D$5)</f>
        <v>-2253.6223300720612</v>
      </c>
      <c r="Y305">
        <f>Y304+(W304*Graph!$D$5)+(U304*Graph!$D$5^2)</f>
        <v>-15818.494223814299</v>
      </c>
      <c r="Z305">
        <f>Z304+(X304*Graph!$D$5)+(V304*Graph!$D$5^2)</f>
        <v>-8590.0386508379179</v>
      </c>
    </row>
    <row r="306" spans="14:26" x14ac:dyDescent="0.35">
      <c r="N306">
        <f>N305+1</f>
        <v>303</v>
      </c>
      <c r="O306">
        <f>Graph!$D$22*((Graph!$D$18-Y306)/POWER((((Graph!$D$18-$Y306)^2)+((Graph!$E$18-$Z306)^2))+(Graph!$D$23^2),(3/2)))</f>
        <v>347.00686215028816</v>
      </c>
      <c r="P306" s="84">
        <f>Graph!$D$22*((Graph!$E$18-Z306)/POWER((((Graph!$D$18-$Y306)^2)+((Graph!$E$18-$Z306)^2))+(Graph!$D$23^2),3/2))</f>
        <v>239.24844604421099</v>
      </c>
      <c r="Q306">
        <f>Graph!$D$31*((Graph!$D$27-Y306)/POWER((((Graph!$D$27-$Y306)^2)+((Graph!$E$27-$Z306)^2))+(Graph!$D$32^2),3/2))</f>
        <v>-124.34499809955646</v>
      </c>
      <c r="R306">
        <f>Graph!$D$31*((Graph!$E$27-Z306)/POWER((((Graph!$D$27-$Y306)^2)+((Graph!$E$27-$Z306)^2))+(Graph!$D$32^2),3/2))</f>
        <v>381.19043134747176</v>
      </c>
      <c r="S306">
        <f>Graph!$D$40*((Graph!$D$36-Y306)/POWER((((Graph!$D$36-$Y306)^2)+((Graph!$E$36-$Z306)^2))+(Graph!$D$41^2),3/2))</f>
        <v>1943.8779407648949</v>
      </c>
      <c r="T306">
        <f>Graph!$D$40*((Graph!$E$36-Z306)/POWER((((Graph!$D$36-$Y306)^2)+((Graph!$E$36-$Z306)^2))+(Graph!$D$41^2),3/2))</f>
        <v>-758.94031366044328</v>
      </c>
      <c r="U306">
        <f>O306+Q306+S306</f>
        <v>2166.5398048156267</v>
      </c>
      <c r="V306">
        <f>P306+R306+T306</f>
        <v>-138.50143626876047</v>
      </c>
      <c r="W306">
        <f>W305+(U305*Graph!$D$5)</f>
        <v>4489.6579537445823</v>
      </c>
      <c r="X306">
        <f>X305+(V305*Graph!$D$5)</f>
        <v>-2220.9014902513395</v>
      </c>
      <c r="Y306">
        <f>Y305+(W305*Graph!$D$5)+(U305*Graph!$D$5^2)</f>
        <v>-13573.665246942008</v>
      </c>
      <c r="Z306">
        <f>Z305+(X305*Graph!$D$5)+(V305*Graph!$D$5^2)</f>
        <v>-9700.4893959635883</v>
      </c>
    </row>
    <row r="307" spans="14:26" x14ac:dyDescent="0.35">
      <c r="N307">
        <f>N306+1</f>
        <v>304</v>
      </c>
      <c r="O307">
        <f>Graph!$D$22*((Graph!$D$18-Y307)/POWER((((Graph!$D$18-$Y307)^2)+((Graph!$E$18-$Z307)^2))+(Graph!$D$23^2),(3/2)))</f>
        <v>358.0581724700375</v>
      </c>
      <c r="P307" s="84">
        <f>Graph!$D$22*((Graph!$E$18-Z307)/POWER((((Graph!$D$18-$Y307)^2)+((Graph!$E$18-$Z307)^2))+(Graph!$D$23^2),3/2))</f>
        <v>289.44300681555171</v>
      </c>
      <c r="Q307">
        <f>Graph!$D$31*((Graph!$D$27-Y307)/POWER((((Graph!$D$27-$Y307)^2)+((Graph!$E$27-$Z307)^2))+(Graph!$D$32^2),3/2))</f>
        <v>-134.96754484201617</v>
      </c>
      <c r="R307">
        <f>Graph!$D$31*((Graph!$E$27-Z307)/POWER((((Graph!$D$27-$Y307)^2)+((Graph!$E$27-$Z307)^2))+(Graph!$D$32^2),3/2))</f>
        <v>305.38763450469571</v>
      </c>
      <c r="S307">
        <f>Graph!$D$40*((Graph!$D$36-Y307)/POWER((((Graph!$D$36-$Y307)^2)+((Graph!$E$36-$Z307)^2))+(Graph!$D$41^2),3/2))</f>
        <v>2827.2096200987226</v>
      </c>
      <c r="T307">
        <f>Graph!$D$40*((Graph!$E$36-Z307)/POWER((((Graph!$D$36-$Y307)^2)+((Graph!$E$36-$Z307)^2))+(Graph!$D$41^2),3/2))</f>
        <v>-1088.8326672355695</v>
      </c>
      <c r="U307">
        <f>O307+Q307+S307</f>
        <v>3050.3002477267437</v>
      </c>
      <c r="V307">
        <f>P307+R307+T307</f>
        <v>-494.00202591532206</v>
      </c>
      <c r="W307">
        <f>W306+(U306*Graph!$D$5)</f>
        <v>5572.9278561523952</v>
      </c>
      <c r="X307">
        <f>X306+(V306*Graph!$D$5)</f>
        <v>-2290.1522083857199</v>
      </c>
      <c r="Y307">
        <f>Y306+(W306*Graph!$D$5)+(U306*Graph!$D$5^2)</f>
        <v>-10787.201318865809</v>
      </c>
      <c r="Z307">
        <f>Z306+(X306*Graph!$D$5)+(V306*Graph!$D$5^2)</f>
        <v>-10845.565500156448</v>
      </c>
    </row>
    <row r="308" spans="14:26" x14ac:dyDescent="0.35">
      <c r="N308">
        <f>N307+1</f>
        <v>305</v>
      </c>
      <c r="O308">
        <f>Graph!$D$22*((Graph!$D$18-Y308)/POWER((((Graph!$D$18-$Y308)^2)+((Graph!$E$18-$Z308)^2))+(Graph!$D$23^2),(3/2)))</f>
        <v>363.52786842629143</v>
      </c>
      <c r="P308" s="84">
        <f>Graph!$D$22*((Graph!$E$18-Z308)/POWER((((Graph!$D$18-$Y308)^2)+((Graph!$E$18-$Z308)^2))+(Graph!$D$23^2),3/2))</f>
        <v>361.50050641519459</v>
      </c>
      <c r="Q308">
        <f>Graph!$D$31*((Graph!$D$27-Y308)/POWER((((Graph!$D$27-$Y308)^2)+((Graph!$E$27-$Z308)^2))+(Graph!$D$32^2),3/2))</f>
        <v>-133.90811815169846</v>
      </c>
      <c r="R308">
        <f>Graph!$D$31*((Graph!$E$27-Z308)/POWER((((Graph!$D$27-$Y308)^2)+((Graph!$E$27-$Z308)^2))+(Graph!$D$32^2),3/2))</f>
        <v>232.04049690245097</v>
      </c>
      <c r="S308">
        <f>Graph!$D$40*((Graph!$D$36-Y308)/POWER((((Graph!$D$36-$Y308)^2)+((Graph!$E$36-$Z308)^2))+(Graph!$D$41^2),3/2))</f>
        <v>4775.4027791329136</v>
      </c>
      <c r="T308">
        <f>Graph!$D$40*((Graph!$E$36-Z308)/POWER((((Graph!$D$36-$Y308)^2)+((Graph!$E$36-$Z308)^2))+(Graph!$D$41^2),3/2))</f>
        <v>-1903.9547827201611</v>
      </c>
      <c r="U308">
        <f>O308+Q308+S308</f>
        <v>5005.0225294075062</v>
      </c>
      <c r="V308">
        <f>P308+R308+T308</f>
        <v>-1310.4137794025155</v>
      </c>
      <c r="W308">
        <f>W307+(U307*Graph!$D$5)</f>
        <v>7098.077980015767</v>
      </c>
      <c r="X308">
        <f>X307+(V307*Graph!$D$5)</f>
        <v>-2537.1532213433811</v>
      </c>
      <c r="Y308">
        <f>Y307+(W307*Graph!$D$5)+(U307*Graph!$D$5^2)</f>
        <v>-7238.1623288579258</v>
      </c>
      <c r="Z308">
        <f>Z307+(X307*Graph!$D$5)+(V307*Graph!$D$5^2)</f>
        <v>-12114.142110828139</v>
      </c>
    </row>
    <row r="309" spans="14:26" x14ac:dyDescent="0.35">
      <c r="N309">
        <f>N308+1</f>
        <v>306</v>
      </c>
      <c r="O309">
        <f>Graph!$D$22*((Graph!$D$18-Y309)/POWER((((Graph!$D$18-$Y309)^2)+((Graph!$E$18-$Z309)^2))+(Graph!$D$23^2),(3/2)))</f>
        <v>343.15188997311714</v>
      </c>
      <c r="P309" s="84">
        <f>Graph!$D$22*((Graph!$E$18-Z309)/POWER((((Graph!$D$18-$Y309)^2)+((Graph!$E$18-$Z309)^2))+(Graph!$D$23^2),3/2))</f>
        <v>466.58467653259623</v>
      </c>
      <c r="Q309">
        <f>Graph!$D$31*((Graph!$D$27-Y309)/POWER((((Graph!$D$27-$Y309)^2)+((Graph!$E$27-$Z309)^2))+(Graph!$D$32^2),3/2))</f>
        <v>-120.23580047087113</v>
      </c>
      <c r="R309">
        <f>Graph!$D$31*((Graph!$E$27-Z309)/POWER((((Graph!$D$27-$Y309)^2)+((Graph!$E$27-$Z309)^2))+(Graph!$D$32^2),3/2))</f>
        <v>162.32821376412377</v>
      </c>
      <c r="S309">
        <f>Graph!$D$40*((Graph!$D$36-Y309)/POWER((((Graph!$D$36-$Y309)^2)+((Graph!$E$36-$Z309)^2))+(Graph!$D$41^2),3/2))</f>
        <v>6855.7208046404976</v>
      </c>
      <c r="T309">
        <f>Graph!$D$40*((Graph!$E$36-Z309)/POWER((((Graph!$D$36-$Y309)^2)+((Graph!$E$36-$Z309)^2))+(Graph!$D$41^2),3/2))</f>
        <v>-3626.8051510208138</v>
      </c>
      <c r="U309">
        <f>O309+Q309+S309</f>
        <v>7078.6368941427436</v>
      </c>
      <c r="V309">
        <f>P309+R309+T309</f>
        <v>-2997.8922607240938</v>
      </c>
      <c r="W309">
        <f>W308+(U308*Graph!$D$5)</f>
        <v>9600.5892447195201</v>
      </c>
      <c r="X309">
        <f>X308+(V308*Graph!$D$5)</f>
        <v>-3192.3601110446389</v>
      </c>
      <c r="Y309">
        <f>Y308+(W308*Graph!$D$5)+(U308*Graph!$D$5^2)</f>
        <v>-2437.8677064981657</v>
      </c>
      <c r="Z309">
        <f>Z308+(X308*Graph!$D$5)+(V308*Graph!$D$5^2)</f>
        <v>-13710.322166350459</v>
      </c>
    </row>
    <row r="310" spans="14:26" x14ac:dyDescent="0.35">
      <c r="N310">
        <f>N309+1</f>
        <v>307</v>
      </c>
      <c r="O310">
        <f>Graph!$D$22*((Graph!$D$18-Y310)/POWER((((Graph!$D$18-$Y310)^2)+((Graph!$E$18-$Z310)^2))+(Graph!$D$23^2),(3/2)))</f>
        <v>241.44429844041198</v>
      </c>
      <c r="P310" s="84">
        <f>Graph!$D$22*((Graph!$E$18-Z310)/POWER((((Graph!$D$18-$Y310)^2)+((Graph!$E$18-$Z310)^2))+(Graph!$D$23^2),3/2))</f>
        <v>578.86607807678422</v>
      </c>
      <c r="Q310">
        <f>Graph!$D$31*((Graph!$D$27-Y310)/POWER((((Graph!$D$27-$Y310)^2)+((Graph!$E$27-$Z310)^2))+(Graph!$D$32^2),3/2))</f>
        <v>-95.362630744892925</v>
      </c>
      <c r="R310">
        <f>Graph!$D$31*((Graph!$E$27-Z310)/POWER((((Graph!$D$27-$Y310)^2)+((Graph!$E$27-$Z310)^2))+(Graph!$D$32^2),3/2))</f>
        <v>102.96525280260856</v>
      </c>
      <c r="S310">
        <f>Graph!$D$40*((Graph!$D$36-Y310)/POWER((((Graph!$D$36-$Y310)^2)+((Graph!$E$36-$Z310)^2))+(Graph!$D$41^2),3/2))</f>
        <v>-7622.6319809688375</v>
      </c>
      <c r="T310">
        <f>Graph!$D$40*((Graph!$E$36-Z310)/POWER((((Graph!$D$36-$Y310)^2)+((Graph!$E$36-$Z310)^2))+(Graph!$D$41^2),3/2))</f>
        <v>1948.0017411696961</v>
      </c>
      <c r="U310">
        <f>O310+Q310+S310</f>
        <v>-7476.5503132733184</v>
      </c>
      <c r="V310">
        <f>P310+R310+T310</f>
        <v>2629.833072049089</v>
      </c>
      <c r="W310">
        <f>W309+(U309*Graph!$D$5)</f>
        <v>13139.907691790891</v>
      </c>
      <c r="X310">
        <f>X309+(V309*Graph!$D$5)</f>
        <v>-4691.3062414066862</v>
      </c>
      <c r="Y310">
        <f>Y309+(W309*Graph!$D$5)+(U309*Graph!$D$5^2)</f>
        <v>4132.08613939728</v>
      </c>
      <c r="Z310">
        <f>Z309+(X309*Graph!$D$5)+(V309*Graph!$D$5^2)</f>
        <v>-16055.975287053803</v>
      </c>
    </row>
    <row r="311" spans="14:26" x14ac:dyDescent="0.35">
      <c r="N311">
        <f>N310+1</f>
        <v>308</v>
      </c>
      <c r="O311">
        <f>Graph!$D$22*((Graph!$D$18-Y311)/POWER((((Graph!$D$18-$Y311)^2)+((Graph!$E$18-$Z311)^2))+(Graph!$D$23^2),(3/2)))</f>
        <v>134.36625632592799</v>
      </c>
      <c r="P311" s="84">
        <f>Graph!$D$22*((Graph!$E$18-Z311)/POWER((((Graph!$D$18-$Y311)^2)+((Graph!$E$18-$Z311)^2))+(Graph!$D$23^2),3/2))</f>
        <v>604.47888497224233</v>
      </c>
      <c r="Q311">
        <f>Graph!$D$31*((Graph!$D$27-Y311)/POWER((((Graph!$D$27-$Y311)^2)+((Graph!$E$27-$Z311)^2))+(Graph!$D$32^2),3/2))</f>
        <v>-79.909463108061459</v>
      </c>
      <c r="R311">
        <f>Graph!$D$31*((Graph!$E$27-Z311)/POWER((((Graph!$D$27-$Y311)^2)+((Graph!$E$27-$Z311)^2))+(Graph!$D$32^2),3/2))</f>
        <v>76.892076591964866</v>
      </c>
      <c r="S311">
        <f>Graph!$D$40*((Graph!$D$36-Y311)/POWER((((Graph!$D$36-$Y311)^2)+((Graph!$E$36-$Z311)^2))+(Graph!$D$41^2),3/2))</f>
        <v>-3978.8740685618259</v>
      </c>
      <c r="T311">
        <f>Graph!$D$40*((Graph!$E$36-Z311)/POWER((((Graph!$D$36-$Y311)^2)+((Graph!$E$36-$Z311)^2))+(Graph!$D$41^2),3/2))</f>
        <v>1236.140388025937</v>
      </c>
      <c r="U311">
        <f>O311+Q311+S311</f>
        <v>-3924.4172753439593</v>
      </c>
      <c r="V311">
        <f>P311+R311+T311</f>
        <v>1917.5113495901442</v>
      </c>
      <c r="W311">
        <f>W310+(U310*Graph!$D$5)</f>
        <v>9401.6325351542328</v>
      </c>
      <c r="X311">
        <f>X310+(V310*Graph!$D$5)</f>
        <v>-3376.389705382142</v>
      </c>
      <c r="Y311">
        <f>Y310+(W310*Graph!$D$5)+(U310*Graph!$D$5^2)</f>
        <v>8832.9024069743955</v>
      </c>
      <c r="Z311">
        <f>Z310+(X310*Graph!$D$5)+(V310*Graph!$D$5^2)</f>
        <v>-17744.170139744874</v>
      </c>
    </row>
    <row r="312" spans="14:26" x14ac:dyDescent="0.35">
      <c r="N312">
        <f>N311+1</f>
        <v>309</v>
      </c>
      <c r="O312">
        <f>Graph!$D$22*((Graph!$D$18-Y312)/POWER((((Graph!$D$18-$Y312)^2)+((Graph!$E$18-$Z312)^2))+(Graph!$D$23^2),(3/2)))</f>
        <v>50.000301026056405</v>
      </c>
      <c r="P312" s="84">
        <f>Graph!$D$22*((Graph!$E$18-Z312)/POWER((((Graph!$D$18-$Y312)^2)+((Graph!$E$18-$Z312)^2))+(Graph!$D$23^2),3/2))</f>
        <v>591.51203928006419</v>
      </c>
      <c r="Q312">
        <f>Graph!$D$31*((Graph!$D$27-Y312)/POWER((((Graph!$D$27-$Y312)^2)+((Graph!$E$27-$Z312)^2))+(Graph!$D$32^2),3/2))</f>
        <v>-70.026267708980612</v>
      </c>
      <c r="R312">
        <f>Graph!$D$31*((Graph!$E$27-Z312)/POWER((((Graph!$D$27-$Y312)^2)+((Graph!$E$27-$Z312)^2))+(Graph!$D$32^2),3/2))</f>
        <v>62.282850997416666</v>
      </c>
      <c r="S312">
        <f>Graph!$D$40*((Graph!$D$36-Y312)/POWER((((Graph!$D$36-$Y312)^2)+((Graph!$E$36-$Z312)^2))+(Graph!$D$41^2),3/2))</f>
        <v>-2355.5714585444944</v>
      </c>
      <c r="T312">
        <f>Graph!$D$40*((Graph!$E$36-Z312)/POWER((((Graph!$D$36-$Y312)^2)+((Graph!$E$36-$Z312)^2))+(Graph!$D$41^2),3/2))</f>
        <v>741.80114632149878</v>
      </c>
      <c r="U312">
        <f>O312+Q312+S312</f>
        <v>-2375.5974252274186</v>
      </c>
      <c r="V312">
        <f>P312+R312+T312</f>
        <v>1395.5960365989795</v>
      </c>
      <c r="W312">
        <f>W311+(U311*Graph!$D$5)</f>
        <v>7439.4238974822529</v>
      </c>
      <c r="X312">
        <f>X311+(V311*Graph!$D$5)</f>
        <v>-2417.6340305870699</v>
      </c>
      <c r="Y312">
        <f>Y311+(W311*Graph!$D$5)+(U311*Graph!$D$5^2)</f>
        <v>12552.614355715523</v>
      </c>
      <c r="Z312">
        <f>Z311+(X311*Graph!$D$5)+(V311*Graph!$D$5^2)</f>
        <v>-18952.987155038409</v>
      </c>
    </row>
    <row r="313" spans="14:26" x14ac:dyDescent="0.35">
      <c r="N313">
        <f>N312+1</f>
        <v>310</v>
      </c>
      <c r="O313">
        <f>Graph!$D$22*((Graph!$D$18-Y313)/POWER((((Graph!$D$18-$Y313)^2)+((Graph!$E$18-$Z313)^2))+(Graph!$D$23^2),(3/2)))</f>
        <v>-12.849620745937157</v>
      </c>
      <c r="P313" s="84">
        <f>Graph!$D$22*((Graph!$E$18-Z313)/POWER((((Graph!$D$18-$Y313)^2)+((Graph!$E$18-$Z313)^2))+(Graph!$D$23^2),3/2))</f>
        <v>564.66584309560801</v>
      </c>
      <c r="Q313">
        <f>Graph!$D$31*((Graph!$D$27-Y313)/POWER((((Graph!$D$27-$Y313)^2)+((Graph!$E$27-$Z313)^2))+(Graph!$D$32^2),3/2))</f>
        <v>-63.212984472975144</v>
      </c>
      <c r="R313">
        <f>Graph!$D$31*((Graph!$E$27-Z313)/POWER((((Graph!$D$27-$Y313)^2)+((Graph!$E$27-$Z313)^2))+(Graph!$D$32^2),3/2))</f>
        <v>52.820790383692085</v>
      </c>
      <c r="S313">
        <f>Graph!$D$40*((Graph!$D$36-Y313)/POWER((((Graph!$D$36-$Y313)^2)+((Graph!$E$36-$Z313)^2))+(Graph!$D$41^2),3/2))</f>
        <v>-1628.6613707239198</v>
      </c>
      <c r="T313">
        <f>Graph!$D$40*((Graph!$E$36-Z313)/POWER((((Graph!$D$36-$Y313)^2)+((Graph!$E$36-$Z313)^2))+(Graph!$D$41^2),3/2))</f>
        <v>499.96040692719237</v>
      </c>
      <c r="U313">
        <f>O313+Q313+S313</f>
        <v>-1704.7239759428321</v>
      </c>
      <c r="V313">
        <f>P313+R313+T313</f>
        <v>1117.4470404064923</v>
      </c>
      <c r="W313">
        <f>W312+(U312*Graph!$D$5)</f>
        <v>6251.6251848685433</v>
      </c>
      <c r="X313">
        <f>X312+(V312*Graph!$D$5)</f>
        <v>-1719.8360122875802</v>
      </c>
      <c r="Y313">
        <f>Y312+(W312*Graph!$D$5)+(U312*Graph!$D$5^2)</f>
        <v>15678.426948149794</v>
      </c>
      <c r="Z313">
        <f>Z312+(X312*Graph!$D$5)+(V312*Graph!$D$5^2)</f>
        <v>-19812.9051611822</v>
      </c>
    </row>
    <row r="314" spans="14:26" x14ac:dyDescent="0.35">
      <c r="N314">
        <f>N313+1</f>
        <v>311</v>
      </c>
      <c r="O314">
        <f>Graph!$D$22*((Graph!$D$18-Y314)/POWER((((Graph!$D$18-$Y314)^2)+((Graph!$E$18-$Z314)^2))+(Graph!$D$23^2),(3/2)))</f>
        <v>-59.448518198793849</v>
      </c>
      <c r="P314" s="84">
        <f>Graph!$D$22*((Graph!$E$18-Z314)/POWER((((Graph!$D$18-$Y314)^2)+((Graph!$E$18-$Z314)^2))+(Graph!$D$23^2),3/2))</f>
        <v>534.87712503123362</v>
      </c>
      <c r="Q314">
        <f>Graph!$D$31*((Graph!$D$27-Y314)/POWER((((Graph!$D$27-$Y314)^2)+((Graph!$E$27-$Z314)^2))+(Graph!$D$32^2),3/2))</f>
        <v>-58.297625387310894</v>
      </c>
      <c r="R314">
        <f>Graph!$D$31*((Graph!$E$27-Z314)/POWER((((Graph!$D$27-$Y314)^2)+((Graph!$E$27-$Z314)^2))+(Graph!$D$32^2),3/2))</f>
        <v>46.168740536748864</v>
      </c>
      <c r="S314">
        <f>Graph!$D$40*((Graph!$D$36-Y314)/POWER((((Graph!$D$36-$Y314)^2)+((Graph!$E$36-$Z314)^2))+(Graph!$D$41^2),3/2))</f>
        <v>-1240.5978049787977</v>
      </c>
      <c r="T314">
        <f>Graph!$D$40*((Graph!$E$36-Z314)/POWER((((Graph!$D$36-$Y314)^2)+((Graph!$E$36-$Z314)^2))+(Graph!$D$41^2),3/2))</f>
        <v>364.08178622757106</v>
      </c>
      <c r="U314">
        <f>O314+Q314+S314</f>
        <v>-1358.3439485649026</v>
      </c>
      <c r="V314">
        <f>P314+R314+T314</f>
        <v>945.12765179555345</v>
      </c>
      <c r="W314">
        <f>W313+(U313*Graph!$D$5)</f>
        <v>5399.2631968971273</v>
      </c>
      <c r="X314">
        <f>X313+(V313*Graph!$D$5)</f>
        <v>-1161.112492084334</v>
      </c>
      <c r="Y314">
        <f>Y313+(W313*Graph!$D$5)+(U313*Graph!$D$5^2)</f>
        <v>18378.058546598357</v>
      </c>
      <c r="Z314">
        <f>Z313+(X313*Graph!$D$5)+(V313*Graph!$D$5^2)</f>
        <v>-20393.461407224368</v>
      </c>
    </row>
    <row r="315" spans="14:26" x14ac:dyDescent="0.35">
      <c r="N315">
        <f>N314+1</f>
        <v>312</v>
      </c>
      <c r="O315">
        <f>Graph!$D$22*((Graph!$D$18-Y315)/POWER((((Graph!$D$18-$Y315)^2)+((Graph!$E$18-$Z315)^2))+(Graph!$D$23^2),(3/2)))</f>
        <v>-94.621163435257102</v>
      </c>
      <c r="P315" s="84">
        <f>Graph!$D$22*((Graph!$E$18-Z315)/POWER((((Graph!$D$18-$Y315)^2)+((Graph!$E$18-$Z315)^2))+(Graph!$D$23^2),3/2))</f>
        <v>506.86432958997875</v>
      </c>
      <c r="Q315">
        <f>Graph!$D$31*((Graph!$D$27-Y315)/POWER((((Graph!$D$27-$Y315)^2)+((Graph!$E$27-$Z315)^2))+(Graph!$D$32^2),3/2))</f>
        <v>-54.660641244341377</v>
      </c>
      <c r="R315">
        <f>Graph!$D$31*((Graph!$E$27-Z315)/POWER((((Graph!$D$27-$Y315)^2)+((Graph!$E$27-$Z315)^2))+(Graph!$D$32^2),3/2))</f>
        <v>41.242575733333965</v>
      </c>
      <c r="S315">
        <f>Graph!$D$40*((Graph!$D$36-Y315)/POWER((((Graph!$D$36-$Y315)^2)+((Graph!$E$36-$Z315)^2))+(Graph!$D$41^2),3/2))</f>
        <v>-1007.28072107125</v>
      </c>
      <c r="T315">
        <f>Graph!$D$40*((Graph!$E$36-Z315)/POWER((((Graph!$D$36-$Y315)^2)+((Graph!$E$36-$Z315)^2))+(Graph!$D$41^2),3/2))</f>
        <v>278.69040245032238</v>
      </c>
      <c r="U315">
        <f>O315+Q315+S315</f>
        <v>-1156.5625257508484</v>
      </c>
      <c r="V315">
        <f>P315+R315+T315</f>
        <v>826.79730777363511</v>
      </c>
      <c r="W315">
        <f>W314+(U314*Graph!$D$5)</f>
        <v>4720.0912226146756</v>
      </c>
      <c r="X315">
        <f>X314+(V314*Graph!$D$5)</f>
        <v>-688.54866618655728</v>
      </c>
      <c r="Y315">
        <f>Y314+(W314*Graph!$D$5)+(U314*Graph!$D$5^2)</f>
        <v>20738.104157905695</v>
      </c>
      <c r="Z315">
        <f>Z314+(X314*Graph!$D$5)+(V314*Graph!$D$5^2)</f>
        <v>-20737.735740317647</v>
      </c>
    </row>
    <row r="316" spans="14:26" x14ac:dyDescent="0.35">
      <c r="N316">
        <f>N315+1</f>
        <v>313</v>
      </c>
      <c r="O316">
        <f>Graph!$D$22*((Graph!$D$18-Y316)/POWER((((Graph!$D$18-$Y316)^2)+((Graph!$E$18-$Z316)^2))+(Graph!$D$23^2),(3/2)))</f>
        <v>-122.0407384646554</v>
      </c>
      <c r="P316" s="84">
        <f>Graph!$D$22*((Graph!$E$18-Z316)/POWER((((Graph!$D$18-$Y316)^2)+((Graph!$E$18-$Z316)^2))+(Graph!$D$23^2),3/2))</f>
        <v>482.52545967670244</v>
      </c>
      <c r="Q316">
        <f>Graph!$D$31*((Graph!$D$27-Y316)/POWER((((Graph!$D$27-$Y316)^2)+((Graph!$E$27-$Z316)^2))+(Graph!$D$32^2),3/2))</f>
        <v>-51.942439603900034</v>
      </c>
      <c r="R316">
        <f>Graph!$D$31*((Graph!$E$27-Z316)/POWER((((Graph!$D$27-$Y316)^2)+((Graph!$E$27-$Z316)^2))+(Graph!$D$32^2),3/2))</f>
        <v>37.46265087656213</v>
      </c>
      <c r="S316">
        <f>Graph!$D$40*((Graph!$D$36-Y316)/POWER((((Graph!$D$36-$Y316)^2)+((Graph!$E$36-$Z316)^2))+(Graph!$D$41^2),3/2))</f>
        <v>-855.50240934972271</v>
      </c>
      <c r="T316">
        <f>Graph!$D$40*((Graph!$E$36-Z316)/POWER((((Graph!$D$36-$Y316)^2)+((Graph!$E$36-$Z316)^2))+(Graph!$D$41^2),3/2))</f>
        <v>220.36654327771129</v>
      </c>
      <c r="U316">
        <f>O316+Q316+S316</f>
        <v>-1029.4855874182781</v>
      </c>
      <c r="V316">
        <f>P316+R316+T316</f>
        <v>740.35465383097585</v>
      </c>
      <c r="W316">
        <f>W315+(U315*Graph!$D$5)</f>
        <v>4141.8099597392511</v>
      </c>
      <c r="X316">
        <f>X315+(V315*Graph!$D$5)</f>
        <v>-275.15001229973973</v>
      </c>
      <c r="Y316">
        <f>Y315+(W315*Graph!$D$5)+(U315*Graph!$D$5^2)</f>
        <v>22809.00913777532</v>
      </c>
      <c r="Z316">
        <f>Z315+(X315*Graph!$D$5)+(V315*Graph!$D$5^2)</f>
        <v>-20875.310746467516</v>
      </c>
    </row>
    <row r="317" spans="14:26" x14ac:dyDescent="0.35">
      <c r="N317">
        <f>N316+1</f>
        <v>314</v>
      </c>
      <c r="O317">
        <f>Graph!$D$22*((Graph!$D$18-Y317)/POWER((((Graph!$D$18-$Y317)^2)+((Graph!$E$18-$Z317)^2))+(Graph!$D$23^2),(3/2)))</f>
        <v>-144.36578774748963</v>
      </c>
      <c r="P317" s="84">
        <f>Graph!$D$22*((Graph!$E$18-Z317)/POWER((((Graph!$D$18-$Y317)^2)+((Graph!$E$18-$Z317)^2))+(Graph!$D$23^2),3/2))</f>
        <v>462.50552898878141</v>
      </c>
      <c r="Q317">
        <f>Graph!$D$31*((Graph!$D$27-Y317)/POWER((((Graph!$D$27-$Y317)^2)+((Graph!$E$27-$Z317)^2))+(Graph!$D$32^2),3/2))</f>
        <v>-49.920746929788166</v>
      </c>
      <c r="R317">
        <f>Graph!$D$31*((Graph!$E$27-Z317)/POWER((((Graph!$D$27-$Y317)^2)+((Graph!$E$27-$Z317)^2))+(Graph!$D$32^2),3/2))</f>
        <v>34.488098684115961</v>
      </c>
      <c r="S317">
        <f>Graph!$D$40*((Graph!$D$36-Y317)/POWER((((Graph!$D$36-$Y317)^2)+((Graph!$E$36-$Z317)^2))+(Graph!$D$41^2),3/2))</f>
        <v>-751.3996907139948</v>
      </c>
      <c r="T317">
        <f>Graph!$D$40*((Graph!$E$36-Z317)/POWER((((Graph!$D$36-$Y317)^2)+((Graph!$E$36-$Z317)^2))+(Graph!$D$41^2),3/2))</f>
        <v>177.84535821481194</v>
      </c>
      <c r="U317">
        <f>O317+Q317+S317</f>
        <v>-945.68622539127261</v>
      </c>
      <c r="V317">
        <f>P317+R317+T317</f>
        <v>674.83898588770933</v>
      </c>
      <c r="W317">
        <f>W316+(U316*Graph!$D$5)</f>
        <v>3627.0671660301123</v>
      </c>
      <c r="X317">
        <f>X316+(V316*Graph!$D$5)</f>
        <v>95.027314615748196</v>
      </c>
      <c r="Y317">
        <f>Y316+(W316*Graph!$D$5)+(U316*Graph!$D$5^2)</f>
        <v>24622.542720790374</v>
      </c>
      <c r="Z317">
        <f>Z316+(X316*Graph!$D$5)+(V316*Graph!$D$5^2)</f>
        <v>-20827.797089159641</v>
      </c>
    </row>
    <row r="318" spans="14:26" x14ac:dyDescent="0.35">
      <c r="N318">
        <f>N317+1</f>
        <v>315</v>
      </c>
      <c r="O318">
        <f>Graph!$D$22*((Graph!$D$18-Y318)/POWER((((Graph!$D$18-$Y318)^2)+((Graph!$E$18-$Z318)^2))+(Graph!$D$23^2),(3/2)))</f>
        <v>-163.51550253916017</v>
      </c>
      <c r="P318" s="84">
        <f>Graph!$D$22*((Graph!$E$18-Z318)/POWER((((Graph!$D$18-$Y318)^2)+((Graph!$E$18-$Z318)^2))+(Graph!$D$23^2),3/2))</f>
        <v>446.93046058546469</v>
      </c>
      <c r="Q318">
        <f>Graph!$D$31*((Graph!$D$27-Y318)/POWER((((Graph!$D$27-$Y318)^2)+((Graph!$E$27-$Z318)^2))+(Graph!$D$32^2),3/2))</f>
        <v>-48.45266666902284</v>
      </c>
      <c r="R318">
        <f>Graph!$D$31*((Graph!$E$27-Z318)/POWER((((Graph!$D$27-$Y318)^2)+((Graph!$E$27-$Z318)^2))+(Graph!$D$32^2),3/2))</f>
        <v>32.104403898679841</v>
      </c>
      <c r="S318">
        <f>Graph!$D$40*((Graph!$D$36-Y318)/POWER((((Graph!$D$36-$Y318)^2)+((Graph!$E$36-$Z318)^2))+(Graph!$D$41^2),3/2))</f>
        <v>-677.46743107465534</v>
      </c>
      <c r="T318">
        <f>Graph!$D$40*((Graph!$E$36-Z318)/POWER((((Graph!$D$36-$Y318)^2)+((Graph!$E$36-$Z318)^2))+(Graph!$D$41^2),3/2))</f>
        <v>145.10337810040517</v>
      </c>
      <c r="U318">
        <f>O318+Q318+S318</f>
        <v>-889.43560028283832</v>
      </c>
      <c r="V318">
        <f>P318+R318+T318</f>
        <v>624.13824258454974</v>
      </c>
      <c r="W318">
        <f>W317+(U317*Graph!$D$5)</f>
        <v>3154.2240533344761</v>
      </c>
      <c r="X318">
        <f>X317+(V317*Graph!$D$5)</f>
        <v>432.44680755960286</v>
      </c>
      <c r="Y318">
        <f>Y317+(W317*Graph!$D$5)+(U317*Graph!$D$5^2)</f>
        <v>26199.654747457611</v>
      </c>
      <c r="Z318">
        <f>Z317+(X317*Graph!$D$5)+(V317*Graph!$D$5^2)</f>
        <v>-20611.573685379841</v>
      </c>
    </row>
    <row r="319" spans="14:26" x14ac:dyDescent="0.35">
      <c r="N319">
        <f>N318+1</f>
        <v>316</v>
      </c>
      <c r="O319">
        <f>Graph!$D$22*((Graph!$D$18-Y319)/POWER((((Graph!$D$18-$Y319)^2)+((Graph!$E$18-$Z319)^2))+(Graph!$D$23^2),(3/2)))</f>
        <v>-180.91204083715957</v>
      </c>
      <c r="P319" s="84">
        <f>Graph!$D$22*((Graph!$E$18-Z319)/POWER((((Graph!$D$18-$Y319)^2)+((Graph!$E$18-$Z319)^2))+(Graph!$D$23^2),3/2))</f>
        <v>435.75582181801133</v>
      </c>
      <c r="Q319">
        <f>Graph!$D$31*((Graph!$D$27-Y319)/POWER((((Graph!$D$27-$Y319)^2)+((Graph!$E$27-$Z319)^2))+(Graph!$D$32^2),3/2))</f>
        <v>-47.444741578578594</v>
      </c>
      <c r="R319">
        <f>Graph!$D$31*((Graph!$E$27-Z319)/POWER((((Graph!$D$27-$Y319)^2)+((Graph!$E$27-$Z319)^2))+(Graph!$D$32^2),3/2))</f>
        <v>30.169580151085899</v>
      </c>
      <c r="S319">
        <f>Graph!$D$40*((Graph!$D$36-Y319)/POWER((((Graph!$D$36-$Y319)^2)+((Graph!$E$36-$Z319)^2))+(Graph!$D$41^2),3/2))</f>
        <v>-623.87809709678231</v>
      </c>
      <c r="T319">
        <f>Graph!$D$40*((Graph!$E$36-Z319)/POWER((((Graph!$D$36-$Y319)^2)+((Graph!$E$36-$Z319)^2))+(Graph!$D$41^2),3/2))</f>
        <v>118.62691214482074</v>
      </c>
      <c r="U319">
        <f>O319+Q319+S319</f>
        <v>-852.23487951252048</v>
      </c>
      <c r="V319">
        <f>P319+R319+T319</f>
        <v>584.55231411391799</v>
      </c>
      <c r="W319">
        <f>W318+(U318*Graph!$D$5)</f>
        <v>2709.5062531930571</v>
      </c>
      <c r="X319">
        <f>X318+(V318*Graph!$D$5)</f>
        <v>744.51592885187779</v>
      </c>
      <c r="Y319">
        <f>Y318+(W318*Graph!$D$5)+(U318*Graph!$D$5^2)</f>
        <v>27554.407874054137</v>
      </c>
      <c r="Z319">
        <f>Z318+(X318*Graph!$D$5)+(V318*Graph!$D$5^2)</f>
        <v>-20239.315720953902</v>
      </c>
    </row>
    <row r="320" spans="14:26" x14ac:dyDescent="0.35">
      <c r="N320">
        <f>N319+1</f>
        <v>317</v>
      </c>
      <c r="O320">
        <f>Graph!$D$22*((Graph!$D$18-Y320)/POWER((((Graph!$D$18-$Y320)^2)+((Graph!$E$18-$Z320)^2))+(Graph!$D$23^2),(3/2)))</f>
        <v>-197.66489345187446</v>
      </c>
      <c r="P320" s="84">
        <f>Graph!$D$22*((Graph!$E$18-Z320)/POWER((((Graph!$D$18-$Y320)^2)+((Graph!$E$18-$Z320)^2))+(Graph!$D$23^2),3/2))</f>
        <v>428.93827024721344</v>
      </c>
      <c r="Q320">
        <f>Graph!$D$31*((Graph!$D$27-Y320)/POWER((((Graph!$D$27-$Y320)^2)+((Graph!$E$27-$Z320)^2))+(Graph!$D$32^2),3/2))</f>
        <v>-46.836506000917424</v>
      </c>
      <c r="R320">
        <f>Graph!$D$31*((Graph!$E$27-Z320)/POWER((((Graph!$D$27-$Y320)^2)+((Graph!$E$27-$Z320)^2))+(Graph!$D$32^2),3/2))</f>
        <v>28.585943590007673</v>
      </c>
      <c r="S320">
        <f>Graph!$D$40*((Graph!$D$36-Y320)/POWER((((Graph!$D$36-$Y320)^2)+((Graph!$E$36-$Z320)^2))+(Graph!$D$41^2),3/2))</f>
        <v>-584.76152357578815</v>
      </c>
      <c r="T320">
        <f>Graph!$D$40*((Graph!$E$36-Z320)/POWER((((Graph!$D$36-$Y320)^2)+((Graph!$E$36-$Z320)^2))+(Graph!$D$41^2),3/2))</f>
        <v>96.201642877318974</v>
      </c>
      <c r="U320">
        <f>O320+Q320+S320</f>
        <v>-829.26292302857996</v>
      </c>
      <c r="V320">
        <f>P320+R320+T320</f>
        <v>553.7258567145401</v>
      </c>
      <c r="W320">
        <f>W319+(U319*Graph!$D$5)</f>
        <v>2283.3888134367967</v>
      </c>
      <c r="X320">
        <f>X319+(V319*Graph!$D$5)</f>
        <v>1036.7920859088367</v>
      </c>
      <c r="Y320">
        <f>Y319+(W319*Graph!$D$5)+(U319*Graph!$D$5^2)</f>
        <v>28696.102280772539</v>
      </c>
      <c r="Z320">
        <f>Z319+(X319*Graph!$D$5)+(V319*Graph!$D$5^2)</f>
        <v>-19720.919677999485</v>
      </c>
    </row>
    <row r="321" spans="14:26" x14ac:dyDescent="0.35">
      <c r="N321">
        <f>N320+1</f>
        <v>318</v>
      </c>
      <c r="O321">
        <f>Graph!$D$22*((Graph!$D$18-Y321)/POWER((((Graph!$D$18-$Y321)^2)+((Graph!$E$18-$Z321)^2))+(Graph!$D$23^2),(3/2)))</f>
        <v>-214.70891594390727</v>
      </c>
      <c r="P321" s="84">
        <f>Graph!$D$22*((Graph!$E$18-Z321)/POWER((((Graph!$D$18-$Y321)^2)+((Graph!$E$18-$Z321)^2))+(Graph!$D$23^2),3/2))</f>
        <v>426.52867949828948</v>
      </c>
      <c r="Q321">
        <f>Graph!$D$31*((Graph!$D$27-Y321)/POWER((((Graph!$D$27-$Y321)^2)+((Graph!$E$27-$Z321)^2))+(Graph!$D$32^2),3/2))</f>
        <v>-46.591154601351207</v>
      </c>
      <c r="R321">
        <f>Graph!$D$31*((Graph!$E$27-Z321)/POWER((((Graph!$D$27-$Y321)^2)+((Graph!$E$27-$Z321)^2))+(Graph!$D$32^2),3/2))</f>
        <v>27.284233107900857</v>
      </c>
      <c r="S321">
        <f>Graph!$D$40*((Graph!$D$36-Y321)/POWER((((Graph!$D$36-$Y321)^2)+((Graph!$E$36-$Z321)^2))+(Graph!$D$41^2),3/2))</f>
        <v>-556.44507206174887</v>
      </c>
      <c r="T321">
        <f>Graph!$D$40*((Graph!$E$36-Z321)/POWER((((Graph!$D$36-$Y321)^2)+((Graph!$E$36-$Z321)^2))+(Graph!$D$41^2),3/2))</f>
        <v>76.321544162091229</v>
      </c>
      <c r="U321">
        <f>O321+Q321+S321</f>
        <v>-817.74514260700732</v>
      </c>
      <c r="V321">
        <f>P321+R321+T321</f>
        <v>530.13445676828155</v>
      </c>
      <c r="W321">
        <f>W320+(U320*Graph!$D$5)</f>
        <v>1868.7573519225066</v>
      </c>
      <c r="X321">
        <f>X320+(V320*Graph!$D$5)</f>
        <v>1313.6550142661067</v>
      </c>
      <c r="Y321">
        <f>Y320+(W320*Graph!$D$5)+(U320*Graph!$D$5^2)</f>
        <v>29630.480956733791</v>
      </c>
      <c r="Z321">
        <f>Z320+(X320*Graph!$D$5)+(V320*Graph!$D$5^2)</f>
        <v>-19064.092170866432</v>
      </c>
    </row>
    <row r="322" spans="14:26" x14ac:dyDescent="0.35">
      <c r="N322">
        <f>N321+1</f>
        <v>319</v>
      </c>
      <c r="O322">
        <f>Graph!$D$22*((Graph!$D$18-Y322)/POWER((((Graph!$D$18-$Y322)^2)+((Graph!$E$18-$Z322)^2))+(Graph!$D$23^2),(3/2)))</f>
        <v>-232.91388153994478</v>
      </c>
      <c r="P322" s="84">
        <f>Graph!$D$22*((Graph!$E$18-Z322)/POWER((((Graph!$D$18-$Y322)^2)+((Graph!$E$18-$Z322)^2))+(Graph!$D$23^2),3/2))</f>
        <v>428.73670923362357</v>
      </c>
      <c r="Q322">
        <f>Graph!$D$31*((Graph!$D$27-Y322)/POWER((((Graph!$D$27-$Y322)^2)+((Graph!$E$27-$Z322)^2))+(Graph!$D$32^2),3/2))</f>
        <v>-46.69031172671</v>
      </c>
      <c r="R322">
        <f>Graph!$D$31*((Graph!$E$27-Z322)/POWER((((Graph!$D$27-$Y322)^2)+((Graph!$E$27-$Z322)^2))+(Graph!$D$32^2),3/2))</f>
        <v>26.214156255091876</v>
      </c>
      <c r="S322">
        <f>Graph!$D$40*((Graph!$D$36-Y322)/POWER((((Graph!$D$36-$Y322)^2)+((Graph!$E$36-$Z322)^2))+(Graph!$D$41^2),3/2))</f>
        <v>-536.55277325603674</v>
      </c>
      <c r="T322">
        <f>Graph!$D$40*((Graph!$E$36-Z322)/POWER((((Graph!$D$36-$Y322)^2)+((Graph!$E$36-$Z322)^2))+(Graph!$D$41^2),3/2))</f>
        <v>57.873568040023912</v>
      </c>
      <c r="U322">
        <f>O322+Q322+S322</f>
        <v>-816.1569665226915</v>
      </c>
      <c r="V322">
        <f>P322+R322+T322</f>
        <v>512.82443352873941</v>
      </c>
      <c r="W322">
        <f>W321+(U321*Graph!$D$5)</f>
        <v>1459.8847806190029</v>
      </c>
      <c r="X322">
        <f>X321+(V321*Graph!$D$5)</f>
        <v>1578.7222426502476</v>
      </c>
      <c r="Y322">
        <f>Y321+(W321*Graph!$D$5)+(U321*Graph!$D$5^2)</f>
        <v>30360.423347043292</v>
      </c>
      <c r="Z322">
        <f>Z321+(X321*Graph!$D$5)+(V321*Graph!$D$5^2)</f>
        <v>-18274.731049541308</v>
      </c>
    </row>
    <row r="323" spans="14:26" x14ac:dyDescent="0.35">
      <c r="N323">
        <f>N322+1</f>
        <v>320</v>
      </c>
      <c r="O323">
        <f>Graph!$D$22*((Graph!$D$18-Y323)/POWER((((Graph!$D$18-$Y323)^2)+((Graph!$E$18-$Z323)^2))+(Graph!$D$23^2),(3/2)))</f>
        <v>-253.18300684616659</v>
      </c>
      <c r="P323" s="84">
        <f>Graph!$D$22*((Graph!$E$18-Z323)/POWER((((Graph!$D$18-$Y323)^2)+((Graph!$E$18-$Z323)^2))+(Graph!$D$23^2),3/2))</f>
        <v>435.99563414196905</v>
      </c>
      <c r="Q323">
        <f>Graph!$D$31*((Graph!$D$27-Y323)/POWER((((Graph!$D$27-$Y323)^2)+((Graph!$E$27-$Z323)^2))+(Graph!$D$32^2),3/2))</f>
        <v>-47.131424122904029</v>
      </c>
      <c r="R323">
        <f>Graph!$D$31*((Graph!$E$27-Z323)/POWER((((Graph!$D$27-$Y323)^2)+((Graph!$E$27-$Z323)^2))+(Graph!$D$32^2),3/2))</f>
        <v>25.338478518404276</v>
      </c>
      <c r="S323">
        <f>Graph!$D$40*((Graph!$D$36-Y323)/POWER((((Graph!$D$36-$Y323)^2)+((Graph!$E$36-$Z323)^2))+(Graph!$D$41^2),3/2))</f>
        <v>-523.51261215331135</v>
      </c>
      <c r="T323">
        <f>Graph!$D$40*((Graph!$E$36-Z323)/POWER((((Graph!$D$36-$Y323)^2)+((Graph!$E$36-$Z323)^2))+(Graph!$D$41^2),3/2))</f>
        <v>39.953116106749945</v>
      </c>
      <c r="U323">
        <f>O323+Q323+S323</f>
        <v>-823.82704312238195</v>
      </c>
      <c r="V323">
        <f>P323+R323+T323</f>
        <v>501.28722876712322</v>
      </c>
      <c r="W323">
        <f>W322+(U322*Graph!$D$5)</f>
        <v>1051.8062973576571</v>
      </c>
      <c r="X323">
        <f>X322+(V322*Graph!$D$5)</f>
        <v>1835.1344594146174</v>
      </c>
      <c r="Y323">
        <f>Y322+(W322*Graph!$D$5)+(U322*Graph!$D$5^2)</f>
        <v>30886.326495722122</v>
      </c>
      <c r="Z323">
        <f>Z322+(X322*Graph!$D$5)+(V322*Graph!$D$5^2)</f>
        <v>-17357.163819833997</v>
      </c>
    </row>
    <row r="324" spans="14:26" x14ac:dyDescent="0.35">
      <c r="N324">
        <f>N323+1</f>
        <v>321</v>
      </c>
      <c r="O324">
        <f>Graph!$D$22*((Graph!$D$18-Y324)/POWER((((Graph!$D$18-$Y324)^2)+((Graph!$E$18-$Z324)^2))+(Graph!$D$23^2),(3/2)))</f>
        <v>-276.55823565878927</v>
      </c>
      <c r="P324" s="84">
        <f>Graph!$D$22*((Graph!$E$18-Z324)/POWER((((Graph!$D$18-$Y324)^2)+((Graph!$E$18-$Z324)^2))+(Graph!$D$23^2),3/2))</f>
        <v>449.05015847069501</v>
      </c>
      <c r="Q324">
        <f>Graph!$D$31*((Graph!$D$27-Y324)/POWER((((Graph!$D$27-$Y324)^2)+((Graph!$E$27-$Z324)^2))+(Graph!$D$32^2),3/2))</f>
        <v>-47.92709106953987</v>
      </c>
      <c r="R324">
        <f>Graph!$D$31*((Graph!$E$27-Z324)/POWER((((Graph!$D$27-$Y324)^2)+((Graph!$E$27-$Z324)^2))+(Graph!$D$32^2),3/2))</f>
        <v>24.62914351952443</v>
      </c>
      <c r="S324">
        <f>Graph!$D$40*((Graph!$D$36-Y324)/POWER((((Graph!$D$36-$Y324)^2)+((Graph!$E$36-$Z324)^2))+(Graph!$D$41^2),3/2))</f>
        <v>-516.26966756979471</v>
      </c>
      <c r="T324">
        <f>Graph!$D$40*((Graph!$E$36-Z324)/POWER((((Graph!$D$36-$Y324)^2)+((Graph!$E$36-$Z324)^2))+(Graph!$D$41^2),3/2))</f>
        <v>21.743070946396607</v>
      </c>
      <c r="U324">
        <f>O324+Q324+S324</f>
        <v>-840.75499429812385</v>
      </c>
      <c r="V324">
        <f>P324+R324+T324</f>
        <v>495.422372936616</v>
      </c>
      <c r="W324">
        <f>W323+(U323*Graph!$D$5)</f>
        <v>639.89277579646614</v>
      </c>
      <c r="X324">
        <f>X323+(V323*Graph!$D$5)</f>
        <v>2085.7780737981789</v>
      </c>
      <c r="Y324">
        <f>Y323+(W323*Graph!$D$5)+(U323*Graph!$D$5^2)</f>
        <v>31206.272883620357</v>
      </c>
      <c r="Z324">
        <f>Z323+(X323*Graph!$D$5)+(V323*Graph!$D$5^2)</f>
        <v>-16314.27478293491</v>
      </c>
    </row>
    <row r="325" spans="14:26" x14ac:dyDescent="0.35">
      <c r="N325">
        <f>N324+1</f>
        <v>322</v>
      </c>
      <c r="O325">
        <f>Graph!$D$22*((Graph!$D$18-Y325)/POWER((((Graph!$D$18-$Y325)^2)+((Graph!$E$18-$Z325)^2))+(Graph!$D$23^2),(3/2)))</f>
        <v>-304.35426949550146</v>
      </c>
      <c r="P325" s="84">
        <f>Graph!$D$22*((Graph!$E$18-Z325)/POWER((((Graph!$D$18-$Y325)^2)+((Graph!$E$18-$Z325)^2))+(Graph!$D$23^2),3/2))</f>
        <v>469.09437675475783</v>
      </c>
      <c r="Q325">
        <f>Graph!$D$31*((Graph!$D$27-Y325)/POWER((((Graph!$D$27-$Y325)^2)+((Graph!$E$27-$Z325)^2))+(Graph!$D$32^2),3/2))</f>
        <v>-49.106128933194945</v>
      </c>
      <c r="R325">
        <f>Graph!$D$31*((Graph!$E$27-Z325)/POWER((((Graph!$D$27-$Y325)^2)+((Graph!$E$27-$Z325)^2))+(Graph!$D$32^2),3/2))</f>
        <v>24.064563167697621</v>
      </c>
      <c r="S325">
        <f>Graph!$D$40*((Graph!$D$36-Y325)/POWER((((Graph!$D$36-$Y325)^2)+((Graph!$E$36-$Z325)^2))+(Graph!$D$41^2),3/2))</f>
        <v>-514.10590653480529</v>
      </c>
      <c r="T325">
        <f>Graph!$D$40*((Graph!$E$36-Z325)/POWER((((Graph!$D$36-$Y325)^2)+((Graph!$E$36-$Z325)^2))+(Graph!$D$41^2),3/2))</f>
        <v>2.4219583925794916</v>
      </c>
      <c r="U325">
        <f>O325+Q325+S325</f>
        <v>-867.56630496350169</v>
      </c>
      <c r="V325">
        <f>P325+R325+T325</f>
        <v>495.58089831503491</v>
      </c>
      <c r="W325">
        <f>W324+(U324*Graph!$D$5)</f>
        <v>219.51527864740422</v>
      </c>
      <c r="X325">
        <f>X324+(V324*Graph!$D$5)</f>
        <v>2333.4892602664868</v>
      </c>
      <c r="Y325">
        <f>Y324+(W324*Graph!$D$5)+(U324*Graph!$D$5^2)</f>
        <v>31316.030522944056</v>
      </c>
      <c r="Z325">
        <f>Z324+(X324*Graph!$D$5)+(V324*Graph!$D$5^2)</f>
        <v>-15147.530152801668</v>
      </c>
    </row>
    <row r="326" spans="14:26" x14ac:dyDescent="0.35">
      <c r="N326">
        <f>N325+1</f>
        <v>323</v>
      </c>
      <c r="O326">
        <f>Graph!$D$22*((Graph!$D$18-Y326)/POWER((((Graph!$D$18-$Y326)^2)+((Graph!$E$18-$Z326)^2))+(Graph!$D$23^2),(3/2)))</f>
        <v>-338.35485427071325</v>
      </c>
      <c r="P326" s="84">
        <f>Graph!$D$22*((Graph!$E$18-Z326)/POWER((((Graph!$D$18-$Y326)^2)+((Graph!$E$18-$Z326)^2))+(Graph!$D$23^2),3/2))</f>
        <v>498.00395710595063</v>
      </c>
      <c r="Q326">
        <f>Graph!$D$31*((Graph!$D$27-Y326)/POWER((((Graph!$D$27-$Y326)^2)+((Graph!$E$27-$Z326)^2))+(Graph!$D$32^2),3/2))</f>
        <v>-50.716557023412811</v>
      </c>
      <c r="R326">
        <f>Graph!$D$31*((Graph!$E$27-Z326)/POWER((((Graph!$D$27-$Y326)^2)+((Graph!$E$27-$Z326)^2))+(Graph!$D$32^2),3/2))</f>
        <v>23.627522127366412</v>
      </c>
      <c r="S326">
        <f>Graph!$D$40*((Graph!$D$36-Y326)/POWER((((Graph!$D$36-$Y326)^2)+((Graph!$E$36-$Z326)^2))+(Graph!$D$41^2),3/2))</f>
        <v>-516.51195618539771</v>
      </c>
      <c r="T326">
        <f>Graph!$D$40*((Graph!$E$36-Z326)/POWER((((Graph!$D$36-$Y326)^2)+((Graph!$E$36-$Z326)^2))+(Graph!$D$41^2),3/2))</f>
        <v>-18.918638364567045</v>
      </c>
      <c r="U326">
        <f>O326+Q326+S326</f>
        <v>-905.58336747952376</v>
      </c>
      <c r="V326">
        <f>P326+R326+T326</f>
        <v>502.71284086874994</v>
      </c>
      <c r="W326">
        <f>W325+(U325*Graph!$D$5)</f>
        <v>-214.26787383434663</v>
      </c>
      <c r="X326">
        <f>X325+(V325*Graph!$D$5)</f>
        <v>2581.2797094240041</v>
      </c>
      <c r="Y326">
        <f>Y325+(W325*Graph!$D$5)+(U325*Graph!$D$5^2)</f>
        <v>31208.896586026884</v>
      </c>
      <c r="Z326">
        <f>Z325+(X325*Graph!$D$5)+(V325*Graph!$D$5^2)</f>
        <v>-13856.890298089666</v>
      </c>
    </row>
    <row r="327" spans="14:26" x14ac:dyDescent="0.35">
      <c r="N327">
        <f>N326+1</f>
        <v>324</v>
      </c>
      <c r="O327">
        <f>Graph!$D$22*((Graph!$D$18-Y327)/POWER((((Graph!$D$18-$Y327)^2)+((Graph!$E$18-$Z327)^2))+(Graph!$D$23^2),(3/2)))</f>
        <v>-381.13084827598982</v>
      </c>
      <c r="P327" s="84">
        <f>Graph!$D$22*((Graph!$E$18-Z327)/POWER((((Graph!$D$18-$Y327)^2)+((Graph!$E$18-$Z327)^2))+(Graph!$D$23^2),3/2))</f>
        <v>538.74624976366817</v>
      </c>
      <c r="Q327">
        <f>Graph!$D$31*((Graph!$D$27-Y327)/POWER((((Graph!$D$27-$Y327)^2)+((Graph!$E$27-$Z327)^2))+(Graph!$D$32^2),3/2))</f>
        <v>-52.831139287916628</v>
      </c>
      <c r="R327">
        <f>Graph!$D$31*((Graph!$E$27-Z327)/POWER((((Graph!$D$27-$Y327)^2)+((Graph!$E$27-$Z327)^2))+(Graph!$D$32^2),3/2))</f>
        <v>23.303242251649849</v>
      </c>
      <c r="S327">
        <f>Graph!$D$40*((Graph!$D$36-Y327)/POWER((((Graph!$D$36-$Y327)^2)+((Graph!$E$36-$Z327)^2))+(Graph!$D$41^2),3/2))</f>
        <v>-523.07375030486003</v>
      </c>
      <c r="T327">
        <f>Graph!$D$40*((Graph!$E$36-Z327)/POWER((((Graph!$D$36-$Y327)^2)+((Graph!$E$36-$Z327)^2))+(Graph!$D$41^2),3/2))</f>
        <v>-43.360439699172112</v>
      </c>
      <c r="U327">
        <f>O327+Q327+S327</f>
        <v>-957.03573786876655</v>
      </c>
      <c r="V327">
        <f>P327+R327+T327</f>
        <v>518.68905231614588</v>
      </c>
      <c r="W327">
        <f>W326+(U326*Graph!$D$5)</f>
        <v>-667.05955757410857</v>
      </c>
      <c r="X327">
        <f>X326+(V326*Graph!$D$5)</f>
        <v>2832.6361298583788</v>
      </c>
      <c r="Y327">
        <f>Y326+(W326*Graph!$D$5)+(U326*Graph!$D$5^2)</f>
        <v>30875.366807239829</v>
      </c>
      <c r="Z327">
        <f>Z326+(X326*Graph!$D$5)+(V326*Graph!$D$5^2)</f>
        <v>-12440.572233160476</v>
      </c>
    </row>
    <row r="328" spans="14:26" x14ac:dyDescent="0.35">
      <c r="N328">
        <f>N327+1</f>
        <v>325</v>
      </c>
      <c r="O328">
        <f>Graph!$D$22*((Graph!$D$18-Y328)/POWER((((Graph!$D$18-$Y328)^2)+((Graph!$E$18-$Z328)^2))+(Graph!$D$23^2),(3/2)))</f>
        <v>-436.59736572000691</v>
      </c>
      <c r="P328" s="84">
        <f>Graph!$D$22*((Graph!$E$18-Z328)/POWER((((Graph!$D$18-$Y328)^2)+((Graph!$E$18-$Z328)^2))+(Graph!$D$23^2),3/2))</f>
        <v>596.14264744029288</v>
      </c>
      <c r="Q328">
        <f>Graph!$D$31*((Graph!$D$27-Y328)/POWER((((Graph!$D$27-$Y328)^2)+((Graph!$E$27-$Z328)^2))+(Graph!$D$32^2),3/2))</f>
        <v>-55.556801287405243</v>
      </c>
      <c r="R328">
        <f>Graph!$D$31*((Graph!$E$27-Z328)/POWER((((Graph!$D$27-$Y328)^2)+((Graph!$E$27-$Z328)^2))+(Graph!$D$32^2),3/2))</f>
        <v>23.077070378362016</v>
      </c>
      <c r="S328">
        <f>Graph!$D$40*((Graph!$D$36-Y328)/POWER((((Graph!$D$36-$Y328)^2)+((Graph!$E$36-$Z328)^2))+(Graph!$D$41^2),3/2))</f>
        <v>-533.33860921116502</v>
      </c>
      <c r="T328">
        <f>Graph!$D$40*((Graph!$E$36-Z328)/POWER((((Graph!$D$36-$Y328)^2)+((Graph!$E$36-$Z328)^2))+(Graph!$D$41^2),3/2))</f>
        <v>-72.257151525039234</v>
      </c>
      <c r="U328">
        <f>O328+Q328+S328</f>
        <v>-1025.4927762185771</v>
      </c>
      <c r="V328">
        <f>P328+R328+T328</f>
        <v>546.96256629361562</v>
      </c>
      <c r="W328">
        <f>W327+(U327*Graph!$D$5)</f>
        <v>-1145.577426508492</v>
      </c>
      <c r="X328">
        <f>X327+(V327*Graph!$D$5)</f>
        <v>3091.9806560164516</v>
      </c>
      <c r="Y328">
        <f>Y327+(W327*Graph!$D$5)+(U327*Graph!$D$5^2)</f>
        <v>30302.578093985583</v>
      </c>
      <c r="Z328">
        <f>Z327+(X327*Graph!$D$5)+(V327*Graph!$D$5^2)</f>
        <v>-10894.581905152249</v>
      </c>
    </row>
    <row r="329" spans="14:26" x14ac:dyDescent="0.35">
      <c r="N329">
        <f>N328+1</f>
        <v>326</v>
      </c>
      <c r="O329">
        <f>Graph!$D$22*((Graph!$D$18-Y329)/POWER((((Graph!$D$18-$Y329)^2)+((Graph!$E$18-$Z329)^2))+(Graph!$D$23^2),(3/2)))</f>
        <v>-511.06108938955873</v>
      </c>
      <c r="P329" s="84">
        <f>Graph!$D$22*((Graph!$E$18-Z329)/POWER((((Graph!$D$18-$Y329)^2)+((Graph!$E$18-$Z329)^2))+(Graph!$D$23^2),3/2))</f>
        <v>678.37678000033998</v>
      </c>
      <c r="Q329">
        <f>Graph!$D$31*((Graph!$D$27-Y329)/POWER((((Graph!$D$27-$Y329)^2)+((Graph!$E$27-$Z329)^2))+(Graph!$D$32^2),3/2))</f>
        <v>-59.050486770113217</v>
      </c>
      <c r="R329">
        <f>Graph!$D$31*((Graph!$E$27-Z329)/POWER((((Graph!$D$27-$Y329)^2)+((Graph!$E$27-$Z329)^2))+(Graph!$D$32^2),3/2))</f>
        <v>22.930883632932044</v>
      </c>
      <c r="S329">
        <f>Graph!$D$40*((Graph!$D$36-Y329)/POWER((((Graph!$D$36-$Y329)^2)+((Graph!$E$36-$Z329)^2))+(Graph!$D$41^2),3/2))</f>
        <v>-546.61249096308973</v>
      </c>
      <c r="T329">
        <f>Graph!$D$40*((Graph!$E$36-Z329)/POWER((((Graph!$D$36-$Y329)^2)+((Graph!$E$36-$Z329)^2))+(Graph!$D$41^2),3/2))</f>
        <v>-107.34672079185835</v>
      </c>
      <c r="U329">
        <f>O329+Q329+S329</f>
        <v>-1116.7240671227617</v>
      </c>
      <c r="V329">
        <f>P329+R329+T329</f>
        <v>593.96094284141361</v>
      </c>
      <c r="W329">
        <f>W328+(U328*Graph!$D$5)</f>
        <v>-1658.3238146177805</v>
      </c>
      <c r="X329">
        <f>X328+(V328*Graph!$D$5)</f>
        <v>3365.4619391632596</v>
      </c>
      <c r="Y329">
        <f>Y328+(W328*Graph!$D$5)+(U328*Graph!$D$5^2)</f>
        <v>29473.416186676692</v>
      </c>
      <c r="Z329">
        <f>Z328+(X328*Graph!$D$5)+(V328*Graph!$D$5^2)</f>
        <v>-9211.8509355706192</v>
      </c>
    </row>
    <row r="330" spans="14:26" x14ac:dyDescent="0.35">
      <c r="N330">
        <f>N329+1</f>
        <v>327</v>
      </c>
      <c r="O330">
        <f>Graph!$D$22*((Graph!$D$18-Y330)/POWER((((Graph!$D$18-$Y330)^2)+((Graph!$E$18-$Z330)^2))+(Graph!$D$23^2),(3/2)))</f>
        <v>-615.34086275274831</v>
      </c>
      <c r="P330" s="84">
        <f>Graph!$D$22*((Graph!$E$18-Z330)/POWER((((Graph!$D$18-$Y330)^2)+((Graph!$E$18-$Z330)^2))+(Graph!$D$23^2),3/2))</f>
        <v>800.22095526810938</v>
      </c>
      <c r="Q330">
        <f>Graph!$D$31*((Graph!$D$27-Y330)/POWER((((Graph!$D$27-$Y330)^2)+((Graph!$E$27-$Z330)^2))+(Graph!$D$32^2),3/2))</f>
        <v>-63.546535570228066</v>
      </c>
      <c r="R330">
        <f>Graph!$D$31*((Graph!$E$27-Z330)/POWER((((Graph!$D$27-$Y330)^2)+((Graph!$E$27-$Z330)^2))+(Graph!$D$32^2),3/2))</f>
        <v>22.836289307194875</v>
      </c>
      <c r="S330">
        <f>Graph!$D$40*((Graph!$D$36-Y330)/POWER((((Graph!$D$36-$Y330)^2)+((Graph!$E$36-$Z330)^2))+(Graph!$D$41^2),3/2))</f>
        <v>-561.60759270998119</v>
      </c>
      <c r="T330">
        <f>Graph!$D$40*((Graph!$E$36-Z330)/POWER((((Graph!$D$36-$Y330)^2)+((Graph!$E$36-$Z330)^2))+(Graph!$D$41^2),3/2))</f>
        <v>-150.85792853524006</v>
      </c>
      <c r="U330">
        <f>O330+Q330+S330</f>
        <v>-1240.4949910329576</v>
      </c>
      <c r="V330">
        <f>P330+R330+T330</f>
        <v>672.19931604006422</v>
      </c>
      <c r="W330">
        <f>W329+(U329*Graph!$D$5)</f>
        <v>-2216.6858481791614</v>
      </c>
      <c r="X330">
        <f>X329+(V329*Graph!$D$5)</f>
        <v>3662.4424105839662</v>
      </c>
      <c r="Y330">
        <f>Y329+(W329*Graph!$D$5)+(U329*Graph!$D$5^2)</f>
        <v>28365.07326258711</v>
      </c>
      <c r="Z330">
        <f>Z329+(X329*Graph!$D$5)+(V329*Graph!$D$5^2)</f>
        <v>-7380.6297302786361</v>
      </c>
    </row>
    <row r="331" spans="14:26" x14ac:dyDescent="0.35">
      <c r="N331">
        <f>N330+1</f>
        <v>328</v>
      </c>
      <c r="O331">
        <f>Graph!$D$22*((Graph!$D$18-Y331)/POWER((((Graph!$D$18-$Y331)^2)+((Graph!$E$18-$Z331)^2))+(Graph!$D$23^2),(3/2)))</f>
        <v>-769.44099258633491</v>
      </c>
      <c r="P331" s="84">
        <f>Graph!$D$22*((Graph!$E$18-Z331)/POWER((((Graph!$D$18-$Y331)^2)+((Graph!$E$18-$Z331)^2))+(Graph!$D$23^2),3/2))</f>
        <v>990.66189318839304</v>
      </c>
      <c r="Q331">
        <f>Graph!$D$31*((Graph!$D$27-Y331)/POWER((((Graph!$D$27-$Y331)^2)+((Graph!$E$27-$Z331)^2))+(Graph!$D$32^2),3/2))</f>
        <v>-69.406223236445641</v>
      </c>
      <c r="R331">
        <f>Graph!$D$31*((Graph!$E$27-Z331)/POWER((((Graph!$D$27-$Y331)^2)+((Graph!$E$27-$Z331)^2))+(Graph!$D$32^2),3/2))</f>
        <v>22.739918662052705</v>
      </c>
      <c r="S331">
        <f>Graph!$D$40*((Graph!$D$36-Y331)/POWER((((Graph!$D$36-$Y331)^2)+((Graph!$E$36-$Z331)^2))+(Graph!$D$41^2),3/2))</f>
        <v>-575.7959508958952</v>
      </c>
      <c r="T331">
        <f>Graph!$D$40*((Graph!$E$36-Z331)/POWER((((Graph!$D$36-$Y331)^2)+((Graph!$E$36-$Z331)^2))+(Graph!$D$41^2),3/2))</f>
        <v>-205.53143481450587</v>
      </c>
      <c r="U331">
        <f>O331+Q331+S331</f>
        <v>-1414.6431667186757</v>
      </c>
      <c r="V331">
        <f>P331+R331+T331</f>
        <v>807.87037703593978</v>
      </c>
      <c r="W331">
        <f>W330+(U330*Graph!$D$5)</f>
        <v>-2836.9333436956404</v>
      </c>
      <c r="X331">
        <f>X330+(V330*Graph!$D$5)</f>
        <v>3998.5420686039984</v>
      </c>
      <c r="Y331">
        <f>Y330+(W330*Graph!$D$5)+(U330*Graph!$D$5^2)</f>
        <v>26946.606590739288</v>
      </c>
      <c r="Z331">
        <f>Z330+(X330*Graph!$D$5)+(V330*Graph!$D$5^2)</f>
        <v>-5381.3586959766371</v>
      </c>
    </row>
    <row r="332" spans="14:26" x14ac:dyDescent="0.35">
      <c r="N332">
        <f>N331+1</f>
        <v>329</v>
      </c>
      <c r="O332">
        <f>Graph!$D$22*((Graph!$D$18-Y332)/POWER((((Graph!$D$18-$Y332)^2)+((Graph!$E$18-$Z332)^2))+(Graph!$D$23^2),(3/2)))</f>
        <v>-1013.8936447298826</v>
      </c>
      <c r="P332" s="84">
        <f>Graph!$D$22*((Graph!$E$18-Z332)/POWER((((Graph!$D$18-$Y332)^2)+((Graph!$E$18-$Z332)^2))+(Graph!$D$23^2),3/2))</f>
        <v>1313.4077731202312</v>
      </c>
      <c r="Q332">
        <f>Graph!$D$31*((Graph!$D$27-Y332)/POWER((((Graph!$D$27-$Y332)^2)+((Graph!$E$27-$Z332)^2))+(Graph!$D$32^2),3/2))</f>
        <v>-77.213561895460998</v>
      </c>
      <c r="R332">
        <f>Graph!$D$31*((Graph!$E$27-Z332)/POWER((((Graph!$D$27-$Y332)^2)+((Graph!$E$27-$Z332)^2))+(Graph!$D$32^2),3/2))</f>
        <v>22.527852811522131</v>
      </c>
      <c r="S332">
        <f>Graph!$D$40*((Graph!$D$36-Y332)/POWER((((Graph!$D$36-$Y332)^2)+((Graph!$E$36-$Z332)^2))+(Graph!$D$41^2),3/2))</f>
        <v>-584.21961960494036</v>
      </c>
      <c r="T332">
        <f>Graph!$D$40*((Graph!$E$36-Z332)/POWER((((Graph!$D$36-$Y332)^2)+((Graph!$E$36-$Z332)^2))+(Graph!$D$41^2),3/2))</f>
        <v>-274.30183254620943</v>
      </c>
      <c r="U332">
        <f>O332+Q332+S332</f>
        <v>-1675.326826230284</v>
      </c>
      <c r="V332">
        <f>P332+R332+T332</f>
        <v>1061.6337933855439</v>
      </c>
      <c r="W332">
        <f>W331+(U331*Graph!$D$5)</f>
        <v>-3544.254927054978</v>
      </c>
      <c r="X332">
        <f>X331+(V331*Graph!$D$5)</f>
        <v>4402.4772571219683</v>
      </c>
      <c r="Y332">
        <f>Y331+(W331*Graph!$D$5)+(U331*Graph!$D$5^2)</f>
        <v>25174.479127211798</v>
      </c>
      <c r="Z332">
        <f>Z331+(X331*Graph!$D$5)+(V331*Graph!$D$5^2)</f>
        <v>-3180.1200674156535</v>
      </c>
    </row>
    <row r="333" spans="14:26" x14ac:dyDescent="0.35">
      <c r="N333">
        <f>N332+1</f>
        <v>330</v>
      </c>
      <c r="O333">
        <f>Graph!$D$22*((Graph!$D$18-Y333)/POWER((((Graph!$D$18-$Y333)^2)+((Graph!$E$18-$Z333)^2))+(Graph!$D$23^2),(3/2)))</f>
        <v>-1439.7865060154252</v>
      </c>
      <c r="P333" s="84">
        <f>Graph!$D$22*((Graph!$E$18-Z333)/POWER((((Graph!$D$18-$Y333)^2)+((Graph!$E$18-$Z333)^2))+(Graph!$D$23^2),3/2))</f>
        <v>1932.1194068695029</v>
      </c>
      <c r="Q333">
        <f>Graph!$D$31*((Graph!$D$27-Y333)/POWER((((Graph!$D$27-$Y333)^2)+((Graph!$E$27-$Z333)^2))+(Graph!$D$32^2),3/2))</f>
        <v>-87.977624140805972</v>
      </c>
      <c r="R333">
        <f>Graph!$D$31*((Graph!$E$27-Z333)/POWER((((Graph!$D$27-$Y333)^2)+((Graph!$E$27-$Z333)^2))+(Graph!$D$32^2),3/2))</f>
        <v>21.92807617760813</v>
      </c>
      <c r="S333">
        <f>Graph!$D$40*((Graph!$D$36-Y333)/POWER((((Graph!$D$36-$Y333)^2)+((Graph!$E$36-$Z333)^2))+(Graph!$D$41^2),3/2))</f>
        <v>-577.39465982583533</v>
      </c>
      <c r="T333">
        <f>Graph!$D$40*((Graph!$E$36-Z333)/POWER((((Graph!$D$36-$Y333)^2)+((Graph!$E$36-$Z333)^2))+(Graph!$D$41^2),3/2))</f>
        <v>-358.90779211041769</v>
      </c>
      <c r="U333">
        <f>O333+Q333+S333</f>
        <v>-2105.1587899820665</v>
      </c>
      <c r="V333">
        <f>P333+R333+T333</f>
        <v>1595.1396909366933</v>
      </c>
      <c r="W333">
        <f>W332+(U332*Graph!$D$5)</f>
        <v>-4381.9183401701202</v>
      </c>
      <c r="X333">
        <f>X332+(V332*Graph!$D$5)</f>
        <v>4933.2941538147406</v>
      </c>
      <c r="Y333">
        <f>Y332+(W332*Graph!$D$5)+(U332*Graph!$D$5^2)</f>
        <v>22983.519957126737</v>
      </c>
      <c r="Z333">
        <f>Z332+(X332*Graph!$D$5)+(V332*Graph!$D$5^2)</f>
        <v>-713.47299050828337</v>
      </c>
    </row>
    <row r="334" spans="14:26" x14ac:dyDescent="0.35">
      <c r="N334">
        <f>N333+1</f>
        <v>331</v>
      </c>
      <c r="O334">
        <f>Graph!$D$22*((Graph!$D$18-Y334)/POWER((((Graph!$D$18-$Y334)^2)+((Graph!$E$18-$Z334)^2))+(Graph!$D$23^2),(3/2)))</f>
        <v>-2255.7344660179569</v>
      </c>
      <c r="P334" s="84">
        <f>Graph!$D$22*((Graph!$E$18-Z334)/POWER((((Graph!$D$18-$Y334)^2)+((Graph!$E$18-$Z334)^2))+(Graph!$D$23^2),3/2))</f>
        <v>3361.5999352865565</v>
      </c>
      <c r="Q334">
        <f>Graph!$D$31*((Graph!$D$27-Y334)/POWER((((Graph!$D$27-$Y334)^2)+((Graph!$E$27-$Z334)^2))+(Graph!$D$32^2),3/2))</f>
        <v>-103.60894015440091</v>
      </c>
      <c r="R334">
        <f>Graph!$D$31*((Graph!$E$27-Z334)/POWER((((Graph!$D$27-$Y334)^2)+((Graph!$E$27-$Z334)^2))+(Graph!$D$32^2),3/2))</f>
        <v>20.193754905780178</v>
      </c>
      <c r="S334">
        <f>Graph!$D$40*((Graph!$D$36-Y334)/POWER((((Graph!$D$36-$Y334)^2)+((Graph!$E$36-$Z334)^2))+(Graph!$D$41^2),3/2))</f>
        <v>-538.10522953783254</v>
      </c>
      <c r="T334">
        <f>Graph!$D$40*((Graph!$E$36-Z334)/POWER((((Graph!$D$36-$Y334)^2)+((Graph!$E$36-$Z334)^2))+(Graph!$D$41^2),3/2))</f>
        <v>-455.41475285969022</v>
      </c>
      <c r="U334">
        <f>O334+Q334+S334</f>
        <v>-2897.4486357101905</v>
      </c>
      <c r="V334">
        <f>P334+R334+T334</f>
        <v>2926.3789373326463</v>
      </c>
      <c r="W334">
        <f>W333+(U333*Graph!$D$5)</f>
        <v>-5434.4977351611533</v>
      </c>
      <c r="X334">
        <f>X333+(V333*Graph!$D$5)</f>
        <v>5730.8639992830877</v>
      </c>
      <c r="Y334">
        <f>Y333+(W333*Graph!$D$5)+(U333*Graph!$D$5^2)</f>
        <v>20266.271089546157</v>
      </c>
      <c r="Z334">
        <f>Z333+(X333*Graph!$D$5)+(V333*Graph!$D$5^2)</f>
        <v>2151.9590091332602</v>
      </c>
    </row>
    <row r="335" spans="14:26" x14ac:dyDescent="0.35">
      <c r="N335">
        <f>N334+1</f>
        <v>332</v>
      </c>
      <c r="O335">
        <f>Graph!$D$22*((Graph!$D$18-Y335)/POWER((((Graph!$D$18-$Y335)^2)+((Graph!$E$18-$Z335)^2))+(Graph!$D$23^2),(3/2)))</f>
        <v>-3022.7101629350145</v>
      </c>
      <c r="P335" s="84">
        <f>Graph!$D$22*((Graph!$E$18-Z335)/POWER((((Graph!$D$18-$Y335)^2)+((Graph!$E$18-$Z335)^2))+(Graph!$D$23^2),3/2))</f>
        <v>7042.1796680828338</v>
      </c>
      <c r="Q335">
        <f>Graph!$D$31*((Graph!$D$27-Y335)/POWER((((Graph!$D$27-$Y335)^2)+((Graph!$E$27-$Z335)^2))+(Graph!$D$32^2),3/2))</f>
        <v>-128.11783980010398</v>
      </c>
      <c r="R335">
        <f>Graph!$D$31*((Graph!$E$27-Z335)/POWER((((Graph!$D$27-$Y335)^2)+((Graph!$E$27-$Z335)^2))+(Graph!$D$32^2),3/2))</f>
        <v>14.78983818506754</v>
      </c>
      <c r="S335">
        <f>Graph!$D$40*((Graph!$D$36-Y335)/POWER((((Graph!$D$36-$Y335)^2)+((Graph!$E$36-$Z335)^2))+(Graph!$D$41^2),3/2))</f>
        <v>-438.87429237356162</v>
      </c>
      <c r="T335">
        <f>Graph!$D$40*((Graph!$E$36-Z335)/POWER((((Graph!$D$36-$Y335)^2)+((Graph!$E$36-$Z335)^2))+(Graph!$D$41^2),3/2))</f>
        <v>-541.24103556071009</v>
      </c>
      <c r="U335">
        <f>O335+Q335+S335</f>
        <v>-3589.7022951086801</v>
      </c>
      <c r="V335">
        <f>P335+R335+T335</f>
        <v>6515.7284707071913</v>
      </c>
      <c r="W335">
        <f>W334+(U334*Graph!$D$5)</f>
        <v>-6883.2220530162485</v>
      </c>
      <c r="X335">
        <f>X334+(V334*Graph!$D$5)</f>
        <v>7194.0534679494103</v>
      </c>
      <c r="Y335">
        <f>Y334+(W334*Graph!$D$5)+(U334*Graph!$D$5^2)</f>
        <v>16824.660063038034</v>
      </c>
      <c r="Z335">
        <f>Z334+(X334*Graph!$D$5)+(V334*Graph!$D$5^2)</f>
        <v>5748.9857431079663</v>
      </c>
    </row>
    <row r="336" spans="14:26" x14ac:dyDescent="0.35">
      <c r="N336">
        <f>N335+1</f>
        <v>333</v>
      </c>
      <c r="O336">
        <f>Graph!$D$22*((Graph!$D$18-Y336)/POWER((((Graph!$D$18-$Y336)^2)+((Graph!$E$18-$Z336)^2))+(Graph!$D$23^2),(3/2)))</f>
        <v>7180.8834366230285</v>
      </c>
      <c r="P336" s="84">
        <f>Graph!$D$22*((Graph!$E$18-Z336)/POWER((((Graph!$D$18-$Y336)^2)+((Graph!$E$18-$Z336)^2))+(Graph!$D$23^2),3/2))</f>
        <v>-2784.3735369079118</v>
      </c>
      <c r="Q336">
        <f>Graph!$D$31*((Graph!$D$27-Y336)/POWER((((Graph!$D$27-$Y336)^2)+((Graph!$E$27-$Z336)^2))+(Graph!$D$32^2),3/2))</f>
        <v>-167.0368349592884</v>
      </c>
      <c r="R336">
        <f>Graph!$D$31*((Graph!$E$27-Z336)/POWER((((Graph!$D$27-$Y336)^2)+((Graph!$E$27-$Z336)^2))+(Graph!$D$32^2),3/2))</f>
        <v>-5.0130378305963434</v>
      </c>
      <c r="S336">
        <f>Graph!$D$40*((Graph!$D$36-Y336)/POWER((((Graph!$D$36-$Y336)^2)+((Graph!$E$36-$Z336)^2))+(Graph!$D$41^2),3/2))</f>
        <v>-261.22300285396182</v>
      </c>
      <c r="T336">
        <f>Graph!$D$40*((Graph!$E$36-Z336)/POWER((((Graph!$D$36-$Y336)^2)+((Graph!$E$36-$Z336)^2))+(Graph!$D$41^2),3/2))</f>
        <v>-543.44527097506989</v>
      </c>
      <c r="U336">
        <f>O336+Q336+S336</f>
        <v>6752.6235988097787</v>
      </c>
      <c r="V336">
        <f>P336+R336+T336</f>
        <v>-3332.8318457135779</v>
      </c>
      <c r="W336">
        <f>W335+(U335*Graph!$D$5)</f>
        <v>-8678.0732005705886</v>
      </c>
      <c r="X336">
        <f>X335+(V335*Graph!$D$5)</f>
        <v>10451.917703303006</v>
      </c>
      <c r="Y336">
        <f>Y335+(W335*Graph!$D$5)+(U335*Graph!$D$5^2)</f>
        <v>12485.623462752741</v>
      </c>
      <c r="Z336">
        <f>Z335+(X335*Graph!$D$5)+(V335*Graph!$D$5^2)</f>
        <v>10974.944594759469</v>
      </c>
    </row>
    <row r="337" spans="14:26" x14ac:dyDescent="0.35">
      <c r="N337">
        <f>N336+1</f>
        <v>334</v>
      </c>
      <c r="O337">
        <f>Graph!$D$22*((Graph!$D$18-Y337)/POWER((((Graph!$D$18-$Y337)^2)+((Graph!$E$18-$Z337)^2))+(Graph!$D$23^2),(3/2)))</f>
        <v>3745.0808582016493</v>
      </c>
      <c r="P337" s="84">
        <f>Graph!$D$22*((Graph!$E$18-Z337)/POWER((((Graph!$D$18-$Y337)^2)+((Graph!$E$18-$Z337)^2))+(Graph!$D$23^2),3/2))</f>
        <v>-3891.8591442521429</v>
      </c>
      <c r="Q337">
        <f>Graph!$D$31*((Graph!$D$27-Y337)/POWER((((Graph!$D$27-$Y337)^2)+((Graph!$E$27-$Z337)^2))+(Graph!$D$32^2),3/2))</f>
        <v>-188.56833085660128</v>
      </c>
      <c r="R337">
        <f>Graph!$D$31*((Graph!$E$27-Z337)/POWER((((Graph!$D$27-$Y337)^2)+((Graph!$E$27-$Z337)^2))+(Graph!$D$32^2),3/2))</f>
        <v>-33.926130559205255</v>
      </c>
      <c r="S337">
        <f>Graph!$D$40*((Graph!$D$36-Y337)/POWER((((Graph!$D$36-$Y337)^2)+((Graph!$E$36-$Z337)^2))+(Graph!$D$41^2),3/2))</f>
        <v>-152.67269269198323</v>
      </c>
      <c r="T337">
        <f>Graph!$D$40*((Graph!$E$36-Z337)/POWER((((Graph!$D$36-$Y337)^2)+((Graph!$E$36-$Z337)^2))+(Graph!$D$41^2),3/2))</f>
        <v>-471.42238009279015</v>
      </c>
      <c r="U337">
        <f>O337+Q337+S337</f>
        <v>3403.8398346530648</v>
      </c>
      <c r="V337">
        <f>P337+R337+T337</f>
        <v>-4397.2076549041385</v>
      </c>
      <c r="W337">
        <f>W336+(U336*Graph!$D$5)</f>
        <v>-5301.7614011656988</v>
      </c>
      <c r="X337">
        <f>X336+(V336*Graph!$D$5)</f>
        <v>8785.5017804462168</v>
      </c>
      <c r="Y337">
        <f>Y336+(W336*Graph!$D$5)+(U336*Graph!$D$5^2)</f>
        <v>9834.7427621698916</v>
      </c>
      <c r="Z337">
        <f>Z336+(X336*Graph!$D$5)+(V336*Graph!$D$5^2)</f>
        <v>15367.695484982578</v>
      </c>
    </row>
    <row r="338" spans="14:26" x14ac:dyDescent="0.35">
      <c r="N338">
        <f>N337+1</f>
        <v>335</v>
      </c>
      <c r="O338">
        <f>Graph!$D$22*((Graph!$D$18-Y338)/POWER((((Graph!$D$18-$Y338)^2)+((Graph!$E$18-$Z338)^2))+(Graph!$D$23^2),(3/2)))</f>
        <v>2014.7139570651443</v>
      </c>
      <c r="P338" s="84">
        <f>Graph!$D$22*((Graph!$E$18-Z338)/POWER((((Graph!$D$18-$Y338)^2)+((Graph!$E$18-$Z338)^2))+(Graph!$D$23^2),3/2))</f>
        <v>-2505.2810827567146</v>
      </c>
      <c r="Q338">
        <f>Graph!$D$31*((Graph!$D$27-Y338)/POWER((((Graph!$D$27-$Y338)^2)+((Graph!$E$27-$Z338)^2))+(Graph!$D$32^2),3/2))</f>
        <v>-195.12257534835658</v>
      </c>
      <c r="R338">
        <f>Graph!$D$31*((Graph!$E$27-Z338)/POWER((((Graph!$D$27-$Y338)^2)+((Graph!$E$27-$Z338)^2))+(Graph!$D$32^2),3/2))</f>
        <v>-60.281631592572374</v>
      </c>
      <c r="S338">
        <f>Graph!$D$40*((Graph!$D$36-Y338)/POWER((((Graph!$D$36-$Y338)^2)+((Graph!$E$36-$Z338)^2))+(Graph!$D$41^2),3/2))</f>
        <v>-98.40830977562689</v>
      </c>
      <c r="T338">
        <f>Graph!$D$40*((Graph!$E$36-Z338)/POWER((((Graph!$D$36-$Y338)^2)+((Graph!$E$36-$Z338)^2))+(Graph!$D$41^2),3/2))</f>
        <v>-412.27252118575501</v>
      </c>
      <c r="U338">
        <f>O338+Q338+S338</f>
        <v>1721.183071941161</v>
      </c>
      <c r="V338">
        <f>P338+R338+T338</f>
        <v>-2977.8352355350421</v>
      </c>
      <c r="W338">
        <f>W337+(U337*Graph!$D$5)</f>
        <v>-3599.8414838391664</v>
      </c>
      <c r="X338">
        <f>X337+(V337*Graph!$D$5)</f>
        <v>6586.897952994148</v>
      </c>
      <c r="Y338">
        <f>Y337+(W337*Graph!$D$5)+(U337*Graph!$D$5^2)</f>
        <v>8034.8220202503089</v>
      </c>
      <c r="Z338">
        <f>Z337+(X337*Graph!$D$5)+(V337*Graph!$D$5^2)</f>
        <v>18661.144461479653</v>
      </c>
    </row>
    <row r="339" spans="14:26" x14ac:dyDescent="0.35">
      <c r="N339">
        <f>N338+1</f>
        <v>336</v>
      </c>
      <c r="O339">
        <f>Graph!$D$22*((Graph!$D$18-Y339)/POWER((((Graph!$D$18-$Y339)^2)+((Graph!$E$18-$Z339)^2))+(Graph!$D$23^2),(3/2)))</f>
        <v>1336.1560405284642</v>
      </c>
      <c r="P339" s="84">
        <f>Graph!$D$22*((Graph!$E$18-Z339)/POWER((((Graph!$D$18-$Y339)^2)+((Graph!$E$18-$Z339)^2))+(Graph!$D$23^2),3/2))</f>
        <v>-1797.1017650968452</v>
      </c>
      <c r="Q339">
        <f>Graph!$D$31*((Graph!$D$27-Y339)/POWER((((Graph!$D$27-$Y339)^2)+((Graph!$E$27-$Z339)^2))+(Graph!$D$32^2),3/2))</f>
        <v>-193.60407060796459</v>
      </c>
      <c r="R339">
        <f>Graph!$D$31*((Graph!$E$27-Z339)/POWER((((Graph!$D$27-$Y339)^2)+((Graph!$E$27-$Z339)^2))+(Graph!$D$32^2),3/2))</f>
        <v>-81.391774172377609</v>
      </c>
      <c r="S339">
        <f>Graph!$D$40*((Graph!$D$36-Y339)/POWER((((Graph!$D$36-$Y339)^2)+((Graph!$E$36-$Z339)^2))+(Graph!$D$41^2),3/2))</f>
        <v>-68.031559206402591</v>
      </c>
      <c r="T339">
        <f>Graph!$D$40*((Graph!$E$36-Z339)/POWER((((Graph!$D$36-$Y339)^2)+((Graph!$E$36-$Z339)^2))+(Graph!$D$41^2),3/2))</f>
        <v>-369.59626261200094</v>
      </c>
      <c r="U339">
        <f>O339+Q339+S339</f>
        <v>1074.5204107140971</v>
      </c>
      <c r="V339">
        <f>P339+R339+T339</f>
        <v>-2248.0898018812236</v>
      </c>
      <c r="W339">
        <f>W338+(U338*Graph!$D$5)</f>
        <v>-2739.2499478685859</v>
      </c>
      <c r="X339">
        <f>X338+(V338*Graph!$D$5)</f>
        <v>5097.9803352266272</v>
      </c>
      <c r="Y339">
        <f>Y338+(W338*Graph!$D$5)+(U338*Graph!$D$5^2)</f>
        <v>6665.197046316016</v>
      </c>
      <c r="Z339">
        <f>Z338+(X338*Graph!$D$5)+(V338*Graph!$D$5^2)</f>
        <v>21210.134629092969</v>
      </c>
    </row>
    <row r="340" spans="14:26" x14ac:dyDescent="0.35">
      <c r="N340">
        <f>N339+1</f>
        <v>337</v>
      </c>
      <c r="O340">
        <f>Graph!$D$22*((Graph!$D$18-Y340)/POWER((((Graph!$D$18-$Y340)^2)+((Graph!$E$18-$Z340)^2))+(Graph!$D$23^2),(3/2)))</f>
        <v>1009.8137453213684</v>
      </c>
      <c r="P340" s="84">
        <f>Graph!$D$22*((Graph!$E$18-Z340)/POWER((((Graph!$D$18-$Y340)^2)+((Graph!$E$18-$Z340)^2))+(Graph!$D$23^2),3/2))</f>
        <v>-1412.346427391481</v>
      </c>
      <c r="Q340">
        <f>Graph!$D$31*((Graph!$D$27-Y340)/POWER((((Graph!$D$27-$Y340)^2)+((Graph!$E$27-$Z340)^2))+(Graph!$D$32^2),3/2))</f>
        <v>-188.60407976830163</v>
      </c>
      <c r="R340">
        <f>Graph!$D$31*((Graph!$E$27-Z340)/POWER((((Graph!$D$27-$Y340)^2)+((Graph!$E$27-$Z340)^2))+(Graph!$D$32^2),3/2))</f>
        <v>-97.363779498198411</v>
      </c>
      <c r="S340">
        <f>Graph!$D$40*((Graph!$D$36-Y340)/POWER((((Graph!$D$36-$Y340)^2)+((Graph!$E$36-$Z340)^2))+(Graph!$D$41^2),3/2))</f>
        <v>-49.407356287931037</v>
      </c>
      <c r="T340">
        <f>Graph!$D$40*((Graph!$E$36-Z340)/POWER((((Graph!$D$36-$Y340)^2)+((Graph!$E$36-$Z340)^2))+(Graph!$D$41^2),3/2))</f>
        <v>-339.17132868498135</v>
      </c>
      <c r="U340">
        <f>O340+Q340+S340</f>
        <v>771.8023092651357</v>
      </c>
      <c r="V340">
        <f>P340+R340+T340</f>
        <v>-1848.8815355746608</v>
      </c>
      <c r="W340">
        <f>W339+(U339*Graph!$D$5)</f>
        <v>-2201.9897425115373</v>
      </c>
      <c r="X340">
        <f>X339+(V339*Graph!$D$5)</f>
        <v>3973.9354342860152</v>
      </c>
      <c r="Y340">
        <f>Y339+(W339*Graph!$D$5)+(U339*Graph!$D$5^2)</f>
        <v>5564.2021750602471</v>
      </c>
      <c r="Z340">
        <f>Z339+(X339*Graph!$D$5)+(V339*Graph!$D$5^2)</f>
        <v>23197.102346235974</v>
      </c>
    </row>
    <row r="341" spans="14:26" x14ac:dyDescent="0.35">
      <c r="N341">
        <f>N340+1</f>
        <v>338</v>
      </c>
      <c r="O341">
        <f>Graph!$D$22*((Graph!$D$18-Y341)/POWER((((Graph!$D$18-$Y341)^2)+((Graph!$E$18-$Z341)^2))+(Graph!$D$23^2),(3/2)))</f>
        <v>831.66880488495156</v>
      </c>
      <c r="P341" s="84">
        <f>Graph!$D$22*((Graph!$E$18-Z341)/POWER((((Graph!$D$18-$Y341)^2)+((Graph!$E$18-$Z341)^2))+(Graph!$D$23^2),3/2))</f>
        <v>-1183.6707277546957</v>
      </c>
      <c r="Q341">
        <f>Graph!$D$31*((Graph!$D$27-Y341)/POWER((((Graph!$D$27-$Y341)^2)+((Graph!$E$27-$Z341)^2))+(Graph!$D$32^2),3/2))</f>
        <v>-182.89456643197599</v>
      </c>
      <c r="R341">
        <f>Graph!$D$31*((Graph!$E$27-Z341)/POWER((((Graph!$D$27-$Y341)^2)+((Graph!$E$27-$Z341)^2))+(Graph!$D$32^2),3/2))</f>
        <v>-109.20380730802655</v>
      </c>
      <c r="S341">
        <f>Graph!$D$40*((Graph!$D$36-Y341)/POWER((((Graph!$D$36-$Y341)^2)+((Graph!$E$36-$Z341)^2))+(Graph!$D$41^2),3/2))</f>
        <v>-37.234427634443655</v>
      </c>
      <c r="T341">
        <f>Graph!$D$40*((Graph!$E$36-Z341)/POWER((((Graph!$D$36-$Y341)^2)+((Graph!$E$36-$Z341)^2))+(Graph!$D$41^2),3/2))</f>
        <v>-317.64823598314854</v>
      </c>
      <c r="U341">
        <f>O341+Q341+S341</f>
        <v>611.53981081853192</v>
      </c>
      <c r="V341">
        <f>P341+R341+T341</f>
        <v>-1610.5227710458707</v>
      </c>
      <c r="W341">
        <f>W340+(U340*Graph!$D$5)</f>
        <v>-1816.0885878789695</v>
      </c>
      <c r="X341">
        <f>X340+(V340*Graph!$D$5)</f>
        <v>3049.4946664986846</v>
      </c>
      <c r="Y341">
        <f>Y340+(W340*Graph!$D$5)+(U340*Graph!$D$5^2)</f>
        <v>4656.1578811207619</v>
      </c>
      <c r="Z341">
        <f>Z340+(X340*Graph!$D$5)+(V340*Graph!$D$5^2)</f>
        <v>24721.849679485316</v>
      </c>
    </row>
    <row r="342" spans="14:26" x14ac:dyDescent="0.35">
      <c r="N342">
        <f>N341+1</f>
        <v>339</v>
      </c>
      <c r="O342">
        <f>Graph!$D$22*((Graph!$D$18-Y342)/POWER((((Graph!$D$18-$Y342)^2)+((Graph!$E$18-$Z342)^2))+(Graph!$D$23^2),(3/2)))</f>
        <v>728.56039739847949</v>
      </c>
      <c r="P342" s="84">
        <f>Graph!$D$22*((Graph!$E$18-Z342)/POWER((((Graph!$D$18-$Y342)^2)+((Graph!$E$18-$Z342)^2))+(Graph!$D$23^2),3/2))</f>
        <v>-1040.0292710952699</v>
      </c>
      <c r="Q342">
        <f>Graph!$D$31*((Graph!$D$27-Y342)/POWER((((Graph!$D$27-$Y342)^2)+((Graph!$E$27-$Z342)^2))+(Graph!$D$32^2),3/2))</f>
        <v>-178.04871025246135</v>
      </c>
      <c r="R342">
        <f>Graph!$D$31*((Graph!$E$27-Z342)/POWER((((Graph!$D$27-$Y342)^2)+((Graph!$E$27-$Z342)^2))+(Graph!$D$32^2),3/2))</f>
        <v>-118.02844821930728</v>
      </c>
      <c r="S342">
        <f>Graph!$D$40*((Graph!$D$36-Y342)/POWER((((Graph!$D$36-$Y342)^2)+((Graph!$E$36-$Z342)^2))+(Graph!$D$41^2),3/2))</f>
        <v>-28.924909016328758</v>
      </c>
      <c r="T342">
        <f>Graph!$D$40*((Graph!$E$36-Z342)/POWER((((Graph!$D$36-$Y342)^2)+((Graph!$E$36-$Z342)^2))+(Graph!$D$41^2),3/2))</f>
        <v>-302.84759083908102</v>
      </c>
      <c r="U342">
        <f>O342+Q342+S342</f>
        <v>521.58677812968938</v>
      </c>
      <c r="V342">
        <f>P342+R342+T342</f>
        <v>-1460.9053101536583</v>
      </c>
      <c r="W342">
        <f>W341+(U341*Graph!$D$5)</f>
        <v>-1510.3186824697036</v>
      </c>
      <c r="X342">
        <f>X341+(V341*Graph!$D$5)</f>
        <v>2244.233280975749</v>
      </c>
      <c r="Y342">
        <f>Y341+(W341*Graph!$D$5)+(U341*Graph!$D$5^2)</f>
        <v>3900.9985398859103</v>
      </c>
      <c r="Z342">
        <f>Z341+(X341*Graph!$D$5)+(V341*Graph!$D$5^2)</f>
        <v>25843.966319973191</v>
      </c>
    </row>
    <row r="343" spans="14:26" x14ac:dyDescent="0.35">
      <c r="N343">
        <f>N342+1</f>
        <v>340</v>
      </c>
      <c r="O343">
        <f>Graph!$D$22*((Graph!$D$18-Y343)/POWER((((Graph!$D$18-$Y343)^2)+((Graph!$E$18-$Z343)^2))+(Graph!$D$23^2),(3/2)))</f>
        <v>669.57980516097484</v>
      </c>
      <c r="P343" s="84">
        <f>Graph!$D$22*((Graph!$E$18-Z343)/POWER((((Graph!$D$18-$Y343)^2)+((Graph!$E$18-$Z343)^2))+(Graph!$D$23^2),3/2))</f>
        <v>-948.12538434773796</v>
      </c>
      <c r="Q343">
        <f>Graph!$D$31*((Graph!$D$27-Y343)/POWER((((Graph!$D$27-$Y343)^2)+((Graph!$E$27-$Z343)^2))+(Graph!$D$32^2),3/2))</f>
        <v>-174.93850765797933</v>
      </c>
      <c r="R343">
        <f>Graph!$D$31*((Graph!$E$27-Z343)/POWER((((Graph!$D$27-$Y343)^2)+((Graph!$E$27-$Z343)^2))+(Graph!$D$32^2),3/2))</f>
        <v>-124.76798647920731</v>
      </c>
      <c r="S343">
        <f>Graph!$D$40*((Graph!$D$36-Y343)/POWER((((Graph!$D$36-$Y343)^2)+((Graph!$E$36-$Z343)^2))+(Graph!$D$41^2),3/2))</f>
        <v>-23.107508014583338</v>
      </c>
      <c r="T343">
        <f>Graph!$D$40*((Graph!$E$36-Z343)/POWER((((Graph!$D$36-$Y343)^2)+((Graph!$E$36-$Z343)^2))+(Graph!$D$41^2),3/2))</f>
        <v>-293.41358784904708</v>
      </c>
      <c r="U343">
        <f>O343+Q343+S343</f>
        <v>471.53378948841214</v>
      </c>
      <c r="V343">
        <f>P343+R343+T343</f>
        <v>-1366.3069586759925</v>
      </c>
      <c r="W343">
        <f>W342+(U342*Graph!$D$5)</f>
        <v>-1249.525293404859</v>
      </c>
      <c r="X343">
        <f>X342+(V342*Graph!$D$5)</f>
        <v>1513.7806258989199</v>
      </c>
      <c r="Y343">
        <f>Y342+(W342*Graph!$D$5)+(U342*Graph!$D$5^2)</f>
        <v>3276.235893183481</v>
      </c>
      <c r="Z343">
        <f>Z342+(X342*Graph!$D$5)+(V342*Graph!$D$5^2)</f>
        <v>26600.856632922652</v>
      </c>
    </row>
    <row r="344" spans="14:26" x14ac:dyDescent="0.35">
      <c r="N344">
        <f>N343+1</f>
        <v>341</v>
      </c>
      <c r="O344">
        <f>Graph!$D$22*((Graph!$D$18-Y344)/POWER((((Graph!$D$18-$Y344)^2)+((Graph!$E$18-$Z344)^2))+(Graph!$D$23^2),(3/2)))</f>
        <v>640.43679117290571</v>
      </c>
      <c r="P344" s="84">
        <f>Graph!$D$22*((Graph!$E$18-Z344)/POWER((((Graph!$D$18-$Y344)^2)+((Graph!$E$18-$Z344)^2))+(Graph!$D$23^2),3/2))</f>
        <v>-891.02275098119696</v>
      </c>
      <c r="Q344">
        <f>Graph!$D$31*((Graph!$D$27-Y344)/POWER((((Graph!$D$27-$Y344)^2)+((Graph!$E$27-$Z344)^2))+(Graph!$D$32^2),3/2))</f>
        <v>-174.07210669736097</v>
      </c>
      <c r="R344">
        <f>Graph!$D$31*((Graph!$E$27-Z344)/POWER((((Graph!$D$27-$Y344)^2)+((Graph!$E$27-$Z344)^2))+(Graph!$D$32^2),3/2))</f>
        <v>-130.08890130454498</v>
      </c>
      <c r="S344">
        <f>Graph!$D$40*((Graph!$D$36-Y344)/POWER((((Graph!$D$36-$Y344)^2)+((Graph!$E$36-$Z344)^2))+(Graph!$D$41^2),3/2))</f>
        <v>-19.018789908231554</v>
      </c>
      <c r="T344">
        <f>Graph!$D$40*((Graph!$E$36-Z344)/POWER((((Graph!$D$36-$Y344)^2)+((Graph!$E$36-$Z344)^2))+(Graph!$D$41^2),3/2))</f>
        <v>-288.54958109005776</v>
      </c>
      <c r="U344">
        <f>O344+Q344+S344</f>
        <v>447.34589456731322</v>
      </c>
      <c r="V344">
        <f>P344+R344+T344</f>
        <v>-1309.6612333757996</v>
      </c>
      <c r="W344">
        <f>W343+(U343*Graph!$D$5)</f>
        <v>-1013.7583986606529</v>
      </c>
      <c r="X344">
        <f>X343+(V343*Graph!$D$5)</f>
        <v>830.62714656092362</v>
      </c>
      <c r="Y344">
        <f>Y343+(W343*Graph!$D$5)+(U343*Graph!$D$5^2)</f>
        <v>2769.3566938531544</v>
      </c>
      <c r="Z344">
        <f>Z343+(X343*Graph!$D$5)+(V343*Graph!$D$5^2)</f>
        <v>27016.170206203115</v>
      </c>
    </row>
    <row r="345" spans="14:26" x14ac:dyDescent="0.35">
      <c r="N345">
        <f>N344+1</f>
        <v>342</v>
      </c>
      <c r="O345">
        <f>Graph!$D$22*((Graph!$D$18-Y345)/POWER((((Graph!$D$18-$Y345)^2)+((Graph!$E$18-$Z345)^2))+(Graph!$D$23^2),(3/2)))</f>
        <v>634.65049375243677</v>
      </c>
      <c r="P345" s="84">
        <f>Graph!$D$22*((Graph!$E$18-Z345)/POWER((((Graph!$D$18-$Y345)^2)+((Graph!$E$18-$Z345)^2))+(Graph!$D$23^2),3/2))</f>
        <v>-859.76361783537004</v>
      </c>
      <c r="Q345">
        <f>Graph!$D$31*((Graph!$D$27-Y345)/POWER((((Graph!$D$27-$Y345)^2)+((Graph!$E$27-$Z345)^2))+(Graph!$D$32^2),3/2))</f>
        <v>-175.79952008205834</v>
      </c>
      <c r="R345">
        <f>Graph!$D$31*((Graph!$E$27-Z345)/POWER((((Graph!$D$27-$Y345)^2)+((Graph!$E$27-$Z345)^2))+(Graph!$D$32^2),3/2))</f>
        <v>-134.39013294241639</v>
      </c>
      <c r="S345">
        <f>Graph!$D$40*((Graph!$D$36-Y345)/POWER((((Graph!$D$36-$Y345)^2)+((Graph!$E$36-$Z345)^2))+(Graph!$D$41^2),3/2))</f>
        <v>-16.233131346145708</v>
      </c>
      <c r="T345">
        <f>Graph!$D$40*((Graph!$E$36-Z345)/POWER((((Graph!$D$36-$Y345)^2)+((Graph!$E$36-$Z345)^2))+(Graph!$D$41^2),3/2))</f>
        <v>-287.86457177247382</v>
      </c>
      <c r="U345">
        <f>O345+Q345+S345</f>
        <v>442.61784232423275</v>
      </c>
      <c r="V345">
        <f>P345+R345+T345</f>
        <v>-1282.0183225502601</v>
      </c>
      <c r="W345">
        <f>W344+(U344*Graph!$D$5)</f>
        <v>-790.08545137699628</v>
      </c>
      <c r="X345">
        <f>X344+(V344*Graph!$D$5)</f>
        <v>175.79652987302381</v>
      </c>
      <c r="Y345">
        <f>Y344+(W344*Graph!$D$5)+(U344*Graph!$D$5^2)</f>
        <v>2374.3139681646562</v>
      </c>
      <c r="Z345">
        <f>Z344+(X344*Graph!$D$5)+(V344*Graph!$D$5^2)</f>
        <v>27104.068471139628</v>
      </c>
    </row>
    <row r="346" spans="14:26" x14ac:dyDescent="0.35">
      <c r="N346">
        <f>N345+1</f>
        <v>343</v>
      </c>
      <c r="O346">
        <f>Graph!$D$22*((Graph!$D$18-Y346)/POWER((((Graph!$D$18-$Y346)^2)+((Graph!$E$18-$Z346)^2))+(Graph!$D$23^2),(3/2)))</f>
        <v>650.25584066245949</v>
      </c>
      <c r="P346" s="84">
        <f>Graph!$D$22*((Graph!$E$18-Z346)/POWER((((Graph!$D$18-$Y346)^2)+((Graph!$E$18-$Z346)^2))+(Graph!$D$23^2),3/2))</f>
        <v>-849.78339820147687</v>
      </c>
      <c r="Q346">
        <f>Graph!$D$31*((Graph!$D$27-Y346)/POWER((((Graph!$D$27-$Y346)^2)+((Graph!$E$27-$Z346)^2))+(Graph!$D$32^2),3/2))</f>
        <v>-180.42546348319829</v>
      </c>
      <c r="R346">
        <f>Graph!$D$31*((Graph!$E$27-Z346)/POWER((((Graph!$D$27-$Y346)^2)+((Graph!$E$27-$Z346)^2))+(Graph!$D$32^2),3/2))</f>
        <v>-137.80224614394942</v>
      </c>
      <c r="S346">
        <f>Graph!$D$40*((Graph!$D$36-Y346)/POWER((((Graph!$D$36-$Y346)^2)+((Graph!$E$36-$Z346)^2))+(Graph!$D$41^2),3/2))</f>
        <v>-14.539628786093692</v>
      </c>
      <c r="T346">
        <f>Graph!$D$40*((Graph!$E$36-Z346)/POWER((((Graph!$D$36-$Y346)^2)+((Graph!$E$36-$Z346)^2))+(Graph!$D$41^2),3/2))</f>
        <v>-291.30007616083196</v>
      </c>
      <c r="U346">
        <f>O346+Q346+S346</f>
        <v>455.29074839316746</v>
      </c>
      <c r="V346">
        <f>P346+R346+T346</f>
        <v>-1278.8857205062582</v>
      </c>
      <c r="W346">
        <f>W345+(U345*Graph!$D$5)</f>
        <v>-568.77653021487993</v>
      </c>
      <c r="X346">
        <f>X345+(V345*Graph!$D$5)</f>
        <v>-465.21263140210624</v>
      </c>
      <c r="Y346">
        <f>Y345+(W345*Graph!$D$5)+(U345*Graph!$D$5^2)</f>
        <v>2089.9257030572162</v>
      </c>
      <c r="Z346">
        <f>Z345+(X345*Graph!$D$5)+(V345*Graph!$D$5^2)</f>
        <v>26871.462155438578</v>
      </c>
    </row>
    <row r="347" spans="14:26" x14ac:dyDescent="0.35">
      <c r="N347">
        <f>N346+1</f>
        <v>344</v>
      </c>
      <c r="O347">
        <f>Graph!$D$22*((Graph!$D$18-Y347)/POWER((((Graph!$D$18-$Y347)^2)+((Graph!$E$18-$Z347)^2))+(Graph!$D$23^2),(3/2)))</f>
        <v>688.7736415024325</v>
      </c>
      <c r="P347" s="84">
        <f>Graph!$D$22*((Graph!$E$18-Z347)/POWER((((Graph!$D$18-$Y347)^2)+((Graph!$E$18-$Z347)^2))+(Graph!$D$23^2),3/2))</f>
        <v>-859.29967806843968</v>
      </c>
      <c r="Q347">
        <f>Graph!$D$31*((Graph!$D$27-Y347)/POWER((((Graph!$D$27-$Y347)^2)+((Graph!$E$27-$Z347)^2))+(Graph!$D$32^2),3/2))</f>
        <v>-188.25158546663434</v>
      </c>
      <c r="R347">
        <f>Graph!$D$31*((Graph!$E$27-Z347)/POWER((((Graph!$D$27-$Y347)^2)+((Graph!$E$27-$Z347)^2))+(Graph!$D$32^2),3/2))</f>
        <v>-140.15477224363701</v>
      </c>
      <c r="S347">
        <f>Graph!$D$40*((Graph!$D$36-Y347)/POWER((((Graph!$D$36-$Y347)^2)+((Graph!$E$36-$Z347)^2))+(Graph!$D$41^2),3/2))</f>
        <v>-13.894645356776147</v>
      </c>
      <c r="T347">
        <f>Graph!$D$40*((Graph!$E$36-Z347)/POWER((((Graph!$D$36-$Y347)^2)+((Graph!$E$36-$Z347)^2))+(Graph!$D$41^2),3/2))</f>
        <v>-299.11776929101956</v>
      </c>
      <c r="U347">
        <f>O347+Q347+S347</f>
        <v>486.62741067902203</v>
      </c>
      <c r="V347">
        <f>P347+R347+T347</f>
        <v>-1298.5722196030963</v>
      </c>
      <c r="W347">
        <f>W346+(U346*Graph!$D$5)</f>
        <v>-341.13115601829622</v>
      </c>
      <c r="X347">
        <f>X346+(V346*Graph!$D$5)</f>
        <v>-1104.6554916552354</v>
      </c>
      <c r="Y347">
        <f>Y346+(W346*Graph!$D$5)+(U346*Graph!$D$5^2)</f>
        <v>1919.3601250480681</v>
      </c>
      <c r="Z347">
        <f>Z346+(X346*Graph!$D$5)+(V346*Graph!$D$5^2)</f>
        <v>26319.134409610961</v>
      </c>
    </row>
    <row r="348" spans="14:26" x14ac:dyDescent="0.35">
      <c r="N348">
        <f>N347+1</f>
        <v>345</v>
      </c>
      <c r="O348">
        <f>Graph!$D$22*((Graph!$D$18-Y348)/POWER((((Graph!$D$18-$Y348)^2)+((Graph!$E$18-$Z348)^2))+(Graph!$D$23^2),(3/2)))</f>
        <v>755.52636232532711</v>
      </c>
      <c r="P348" s="84">
        <f>Graph!$D$22*((Graph!$E$18-Z348)/POWER((((Graph!$D$18-$Y348)^2)+((Graph!$E$18-$Z348)^2))+(Graph!$D$23^2),3/2))</f>
        <v>-888.60341303681378</v>
      </c>
      <c r="Q348">
        <f>Graph!$D$31*((Graph!$D$27-Y348)/POWER((((Graph!$D$27-$Y348)^2)+((Graph!$E$27-$Z348)^2))+(Graph!$D$32^2),3/2))</f>
        <v>-199.54231889216175</v>
      </c>
      <c r="R348">
        <f>Graph!$D$31*((Graph!$E$27-Z348)/POWER((((Graph!$D$27-$Y348)^2)+((Graph!$E$27-$Z348)^2))+(Graph!$D$32^2),3/2))</f>
        <v>-140.89170264083467</v>
      </c>
      <c r="S348">
        <f>Graph!$D$40*((Graph!$D$36-Y348)/POWER((((Graph!$D$36-$Y348)^2)+((Graph!$E$36-$Z348)^2))+(Graph!$D$41^2),3/2))</f>
        <v>-14.427423014493677</v>
      </c>
      <c r="T348">
        <f>Graph!$D$40*((Graph!$E$36-Z348)/POWER((((Graph!$D$36-$Y348)^2)+((Graph!$E$36-$Z348)^2))+(Graph!$D$41^2),3/2))</f>
        <v>-311.94405911727404</v>
      </c>
      <c r="U348">
        <f>O348+Q348+S348</f>
        <v>541.55662041867174</v>
      </c>
      <c r="V348">
        <f>P348+R348+T348</f>
        <v>-1341.4391747949226</v>
      </c>
      <c r="W348">
        <f>W347+(U347*Graph!$D$5)</f>
        <v>-97.817450678785207</v>
      </c>
      <c r="X348">
        <f>X347+(V347*Graph!$D$5)</f>
        <v>-1753.9416014567837</v>
      </c>
      <c r="Y348">
        <f>Y347+(W347*Graph!$D$5)+(U347*Graph!$D$5^2)</f>
        <v>1870.4513997086756</v>
      </c>
      <c r="Z348">
        <f>Z347+(X347*Graph!$D$5)+(V347*Graph!$D$5^2)</f>
        <v>25442.163608882569</v>
      </c>
    </row>
    <row r="349" spans="14:26" x14ac:dyDescent="0.35">
      <c r="N349">
        <f>N348+1</f>
        <v>346</v>
      </c>
      <c r="O349">
        <f>Graph!$D$22*((Graph!$D$18-Y349)/POWER((((Graph!$D$18-$Y349)^2)+((Graph!$E$18-$Z349)^2))+(Graph!$D$23^2),(3/2)))</f>
        <v>861.37608011903956</v>
      </c>
      <c r="P349" s="84">
        <f>Graph!$D$22*((Graph!$E$18-Z349)/POWER((((Graph!$D$18-$Y349)^2)+((Graph!$E$18-$Z349)^2))+(Graph!$D$23^2),3/2))</f>
        <v>-939.75110936231283</v>
      </c>
      <c r="Q349">
        <f>Graph!$D$31*((Graph!$D$27-Y349)/POWER((((Graph!$D$27-$Y349)^2)+((Graph!$E$27-$Z349)^2))+(Graph!$D$32^2),3/2))</f>
        <v>-214.36807631149676</v>
      </c>
      <c r="R349">
        <f>Graph!$D$31*((Graph!$E$27-Z349)/POWER((((Graph!$D$27-$Y349)^2)+((Graph!$E$27-$Z349)^2))+(Graph!$D$32^2),3/2))</f>
        <v>-138.92751287991425</v>
      </c>
      <c r="S349">
        <f>Graph!$D$40*((Graph!$D$36-Y349)/POWER((((Graph!$D$36-$Y349)^2)+((Graph!$E$36-$Z349)^2))+(Graph!$D$41^2),3/2))</f>
        <v>-16.505718402705668</v>
      </c>
      <c r="T349">
        <f>Graph!$D$40*((Graph!$E$36-Z349)/POWER((((Graph!$D$36-$Y349)^2)+((Graph!$E$36-$Z349)^2))+(Graph!$D$41^2),3/2))</f>
        <v>-330.88356322347147</v>
      </c>
      <c r="U349">
        <f>O349+Q349+S349</f>
        <v>630.50228540483704</v>
      </c>
      <c r="V349">
        <f>P349+R349+T349</f>
        <v>-1409.5621854656983</v>
      </c>
      <c r="W349">
        <f>W348+(U348*Graph!$D$5)</f>
        <v>172.96085953055066</v>
      </c>
      <c r="X349">
        <f>X348+(V348*Graph!$D$5)</f>
        <v>-2424.6611888542448</v>
      </c>
      <c r="Y349">
        <f>Y348+(W348*Graph!$D$5)+(U348*Graph!$D$5^2)</f>
        <v>1956.931829473951</v>
      </c>
      <c r="Z349">
        <f>Z348+(X348*Graph!$D$5)+(V348*Graph!$D$5^2)</f>
        <v>24229.833014455446</v>
      </c>
    </row>
    <row r="350" spans="14:26" x14ac:dyDescent="0.35">
      <c r="N350">
        <f>N349+1</f>
        <v>347</v>
      </c>
      <c r="O350">
        <f>Graph!$D$22*((Graph!$D$18-Y350)/POWER((((Graph!$D$18-$Y350)^2)+((Graph!$E$18-$Z350)^2))+(Graph!$D$23^2),(3/2)))</f>
        <v>1026.8985246599357</v>
      </c>
      <c r="P350" s="84">
        <f>Graph!$D$22*((Graph!$E$18-Z350)/POWER((((Graph!$D$18-$Y350)^2)+((Graph!$E$18-$Z350)^2))+(Graph!$D$23^2),3/2))</f>
        <v>-1016.159320229979</v>
      </c>
      <c r="Q350">
        <f>Graph!$D$31*((Graph!$D$27-Y350)/POWER((((Graph!$D$27-$Y350)^2)+((Graph!$E$27-$Z350)^2))+(Graph!$D$32^2),3/2))</f>
        <v>-232.22215997809451</v>
      </c>
      <c r="R350">
        <f>Graph!$D$31*((Graph!$E$27-Z350)/POWER((((Graph!$D$27-$Y350)^2)+((Graph!$E$27-$Z350)^2))+(Graph!$D$32^2),3/2))</f>
        <v>-132.47667330278853</v>
      </c>
      <c r="S350">
        <f>Graph!$D$40*((Graph!$D$36-Y350)/POWER((((Graph!$D$36-$Y350)^2)+((Graph!$E$36-$Z350)^2))+(Graph!$D$41^2),3/2))</f>
        <v>-20.904800749141526</v>
      </c>
      <c r="T350">
        <f>Graph!$D$40*((Graph!$E$36-Z350)/POWER((((Graph!$D$36-$Y350)^2)+((Graph!$E$36-$Z350)^2))+(Graph!$D$41^2),3/2))</f>
        <v>-357.73199713782691</v>
      </c>
      <c r="U350">
        <f>O350+Q350+S350</f>
        <v>773.77156393269968</v>
      </c>
      <c r="V350">
        <f>P350+R350+T350</f>
        <v>-1506.3679906705945</v>
      </c>
      <c r="W350">
        <f>W349+(U349*Graph!$D$5)</f>
        <v>488.21200223296921</v>
      </c>
      <c r="X350">
        <f>X349+(V349*Graph!$D$5)</f>
        <v>-3129.4422815870939</v>
      </c>
      <c r="Y350">
        <f>Y349+(W349*Graph!$D$5)+(U349*Graph!$D$5^2)</f>
        <v>2201.0378305904355</v>
      </c>
      <c r="Z350">
        <f>Z349+(X349*Graph!$D$5)+(V349*Graph!$D$5^2)</f>
        <v>22665.111873661899</v>
      </c>
    </row>
    <row r="351" spans="14:26" x14ac:dyDescent="0.35">
      <c r="N351">
        <f>N350+1</f>
        <v>348</v>
      </c>
      <c r="O351">
        <f>Graph!$D$22*((Graph!$D$18-Y351)/POWER((((Graph!$D$18-$Y351)^2)+((Graph!$E$18-$Z351)^2))+(Graph!$D$23^2),(3/2)))</f>
        <v>1291.815098693035</v>
      </c>
      <c r="P351" s="84">
        <f>Graph!$D$22*((Graph!$E$18-Z351)/POWER((((Graph!$D$18-$Y351)^2)+((Graph!$E$18-$Z351)^2))+(Graph!$D$23^2),3/2))</f>
        <v>-1120.6780981027334</v>
      </c>
      <c r="Q351">
        <f>Graph!$D$31*((Graph!$D$27-Y351)/POWER((((Graph!$D$27-$Y351)^2)+((Graph!$E$27-$Z351)^2))+(Graph!$D$32^2),3/2))</f>
        <v>-251.25866261320527</v>
      </c>
      <c r="R351">
        <f>Graph!$D$31*((Graph!$E$27-Z351)/POWER((((Graph!$D$27-$Y351)^2)+((Graph!$E$27-$Z351)^2))+(Graph!$D$32^2),3/2))</f>
        <v>-119.02012088233111</v>
      </c>
      <c r="S351">
        <f>Graph!$D$40*((Graph!$D$36-Y351)/POWER((((Graph!$D$36-$Y351)^2)+((Graph!$E$36-$Z351)^2))+(Graph!$D$41^2),3/2))</f>
        <v>-29.199990668075436</v>
      </c>
      <c r="T351">
        <f>Graph!$D$40*((Graph!$E$36-Z351)/POWER((((Graph!$D$36-$Y351)^2)+((Graph!$E$36-$Z351)^2))+(Graph!$D$41^2),3/2))</f>
        <v>-395.33837592897748</v>
      </c>
      <c r="U351">
        <f>O351+Q351+S351</f>
        <v>1011.3564454117544</v>
      </c>
      <c r="V351">
        <f>P351+R351+T351</f>
        <v>-1635.0365949140421</v>
      </c>
      <c r="W351">
        <f>W350+(U350*Graph!$D$5)</f>
        <v>875.09778419931899</v>
      </c>
      <c r="X351">
        <f>X350+(V350*Graph!$D$5)</f>
        <v>-3882.6262769223913</v>
      </c>
      <c r="Y351">
        <f>Y350+(W350*Graph!$D$5)+(U350*Graph!$D$5^2)</f>
        <v>2638.586722690095</v>
      </c>
      <c r="Z351">
        <f>Z350+(X350*Graph!$D$5)+(V350*Graph!$D$5^2)</f>
        <v>20723.798735200704</v>
      </c>
    </row>
    <row r="352" spans="14:26" x14ac:dyDescent="0.35">
      <c r="N352">
        <f>N351+1</f>
        <v>349</v>
      </c>
      <c r="O352">
        <f>Graph!$D$22*((Graph!$D$18-Y352)/POWER((((Graph!$D$18-$Y352)^2)+((Graph!$E$18-$Z352)^2))+(Graph!$D$23^2),(3/2)))</f>
        <v>1736.8155922999376</v>
      </c>
      <c r="P352" s="84">
        <f>Graph!$D$22*((Graph!$E$18-Z352)/POWER((((Graph!$D$18-$Y352)^2)+((Graph!$E$18-$Z352)^2))+(Graph!$D$23^2),3/2))</f>
        <v>-1246.130337249554</v>
      </c>
      <c r="Q352">
        <f>Graph!$D$31*((Graph!$D$27-Y352)/POWER((((Graph!$D$27-$Y352)^2)+((Graph!$E$27-$Z352)^2))+(Graph!$D$32^2),3/2))</f>
        <v>-267.11116545995611</v>
      </c>
      <c r="R352">
        <f>Graph!$D$31*((Graph!$E$27-Z352)/POWER((((Graph!$D$27-$Y352)^2)+((Graph!$E$27-$Z352)^2))+(Graph!$D$32^2),3/2))</f>
        <v>-95.877159499195187</v>
      </c>
      <c r="S352">
        <f>Graph!$D$40*((Graph!$D$36-Y352)/POWER((((Graph!$D$36-$Y352)^2)+((Graph!$E$36-$Z352)^2))+(Graph!$D$41^2),3/2))</f>
        <v>-44.701900069595439</v>
      </c>
      <c r="T352">
        <f>Graph!$D$40*((Graph!$E$36-Z352)/POWER((((Graph!$D$36-$Y352)^2)+((Graph!$E$36-$Z352)^2))+(Graph!$D$41^2),3/2))</f>
        <v>-448.14668399649929</v>
      </c>
      <c r="U352">
        <f>O352+Q352+S352</f>
        <v>1425.0025267703861</v>
      </c>
      <c r="V352">
        <f>P352+R352+T352</f>
        <v>-1790.1541807452486</v>
      </c>
      <c r="W352">
        <f>W351+(U351*Graph!$D$5)</f>
        <v>1380.7760069051963</v>
      </c>
      <c r="X352">
        <f>X351+(V351*Graph!$D$5)</f>
        <v>-4700.144574379412</v>
      </c>
      <c r="Y352">
        <f>Y351+(W351*Graph!$D$5)+(U351*Graph!$D$5^2)</f>
        <v>3328.9747261426933</v>
      </c>
      <c r="Z352">
        <f>Z351+(X351*Graph!$D$5)+(V351*Graph!$D$5^2)</f>
        <v>18373.726448010999</v>
      </c>
    </row>
    <row r="353" spans="14:26" x14ac:dyDescent="0.35">
      <c r="N353">
        <f>N352+1</f>
        <v>350</v>
      </c>
      <c r="O353">
        <f>Graph!$D$22*((Graph!$D$18-Y353)/POWER((((Graph!$D$18-$Y353)^2)+((Graph!$E$18-$Z353)^2))+(Graph!$D$23^2),(3/2)))</f>
        <v>2532.7105006469283</v>
      </c>
      <c r="P353" s="84">
        <f>Graph!$D$22*((Graph!$E$18-Z353)/POWER((((Graph!$D$18-$Y353)^2)+((Graph!$E$18-$Z353)^2))+(Graph!$D$23^2),3/2))</f>
        <v>-1329.2707666606514</v>
      </c>
      <c r="Q353">
        <f>Graph!$D$31*((Graph!$D$27-Y353)/POWER((((Graph!$D$27-$Y353)^2)+((Graph!$E$27-$Z353)^2))+(Graph!$D$32^2),3/2))</f>
        <v>-271.96569207458072</v>
      </c>
      <c r="R353">
        <f>Graph!$D$31*((Graph!$E$27-Z353)/POWER((((Graph!$D$27-$Y353)^2)+((Graph!$E$27-$Z353)^2))+(Graph!$D$32^2),3/2))</f>
        <v>-62.214317236525105</v>
      </c>
      <c r="S353">
        <f>Graph!$D$40*((Graph!$D$36-Y353)/POWER((((Graph!$D$36-$Y353)^2)+((Graph!$E$36-$Z353)^2))+(Graph!$D$41^2),3/2))</f>
        <v>-74.788304728751712</v>
      </c>
      <c r="T353">
        <f>Graph!$D$40*((Graph!$E$36-Z353)/POWER((((Graph!$D$36-$Y353)^2)+((Graph!$E$36-$Z353)^2))+(Graph!$D$41^2),3/2))</f>
        <v>-522.60921230265888</v>
      </c>
      <c r="U353">
        <f>O353+Q353+S353</f>
        <v>2185.9565038435958</v>
      </c>
      <c r="V353">
        <f>P353+R353+T353</f>
        <v>-1914.0942961998353</v>
      </c>
      <c r="W353">
        <f>W352+(U352*Graph!$D$5)</f>
        <v>2093.2772702903894</v>
      </c>
      <c r="X353">
        <f>X352+(V352*Graph!$D$5)</f>
        <v>-5595.2216647520363</v>
      </c>
      <c r="Y353">
        <f>Y352+(W352*Graph!$D$5)+(U352*Graph!$D$5^2)</f>
        <v>4375.6133612878884</v>
      </c>
      <c r="Z353">
        <f>Z352+(X352*Graph!$D$5)+(V352*Graph!$D$5^2)</f>
        <v>15576.115615634983</v>
      </c>
    </row>
    <row r="354" spans="14:26" x14ac:dyDescent="0.35">
      <c r="N354">
        <f>N353+1</f>
        <v>351</v>
      </c>
      <c r="O354">
        <f>Graph!$D$22*((Graph!$D$18-Y354)/POWER((((Graph!$D$18-$Y354)^2)+((Graph!$E$18-$Z354)^2))+(Graph!$D$23^2),(3/2)))</f>
        <v>3997.3507050652788</v>
      </c>
      <c r="P354" s="84">
        <f>Graph!$D$22*((Graph!$E$18-Z354)/POWER((((Graph!$D$18-$Y354)^2)+((Graph!$E$18-$Z354)^2))+(Graph!$D$23^2),3/2))</f>
        <v>-1018.0011040393945</v>
      </c>
      <c r="Q354">
        <f>Graph!$D$31*((Graph!$D$27-Y354)/POWER((((Graph!$D$27-$Y354)^2)+((Graph!$E$27-$Z354)^2))+(Graph!$D$32^2),3/2))</f>
        <v>-256.25014320186159</v>
      </c>
      <c r="R354">
        <f>Graph!$D$31*((Graph!$E$27-Z354)/POWER((((Graph!$D$27-$Y354)^2)+((Graph!$E$27-$Z354)^2))+(Graph!$D$32^2),3/2))</f>
        <v>-22.695382554110736</v>
      </c>
      <c r="S354">
        <f>Graph!$D$40*((Graph!$D$36-Y354)/POWER((((Graph!$D$36-$Y354)^2)+((Graph!$E$36-$Z354)^2))+(Graph!$D$41^2),3/2))</f>
        <v>-136.59903529783213</v>
      </c>
      <c r="T354">
        <f>Graph!$D$40*((Graph!$E$36-Z354)/POWER((((Graph!$D$36-$Y354)^2)+((Graph!$E$36-$Z354)^2))+(Graph!$D$41^2),3/2))</f>
        <v>-624.78017061848755</v>
      </c>
      <c r="U354">
        <f>O354+Q354+S354</f>
        <v>3604.5015265655852</v>
      </c>
      <c r="V354">
        <f>P354+R354+T354</f>
        <v>-1665.4766572119927</v>
      </c>
      <c r="W354">
        <f>W353+(U353*Graph!$D$5)</f>
        <v>3186.2555222121873</v>
      </c>
      <c r="X354">
        <f>X353+(V353*Graph!$D$5)</f>
        <v>-6552.268812851954</v>
      </c>
      <c r="Y354">
        <f>Y353+(W353*Graph!$D$5)+(U353*Graph!$D$5^2)</f>
        <v>5968.7411223939816</v>
      </c>
      <c r="Z354">
        <f>Z353+(X353*Graph!$D$5)+(V353*Graph!$D$5^2)</f>
        <v>12299.981209209005</v>
      </c>
    </row>
    <row r="355" spans="14:26" x14ac:dyDescent="0.35">
      <c r="N355">
        <f>N354+1</f>
        <v>352</v>
      </c>
      <c r="O355">
        <f>Graph!$D$22*((Graph!$D$18-Y355)/POWER((((Graph!$D$18-$Y355)^2)+((Graph!$E$18-$Z355)^2))+(Graph!$D$23^2),(3/2)))</f>
        <v>5885.6463425937036</v>
      </c>
      <c r="P355" s="84">
        <f>Graph!$D$22*((Graph!$E$18-Z355)/POWER((((Graph!$D$18-$Y355)^2)+((Graph!$E$18-$Z355)^2))+(Graph!$D$23^2),3/2))</f>
        <v>1253.7688471581757</v>
      </c>
      <c r="Q355">
        <f>Graph!$D$31*((Graph!$D$27-Y355)/POWER((((Graph!$D$27-$Y355)^2)+((Graph!$E$27-$Z355)^2))+(Graph!$D$32^2),3/2))</f>
        <v>-215.98358814621457</v>
      </c>
      <c r="R355">
        <f>Graph!$D$31*((Graph!$E$27-Z355)/POWER((((Graph!$D$27-$Y355)^2)+((Graph!$E$27-$Z355)^2))+(Graph!$D$32^2),3/2))</f>
        <v>10.56677218894238</v>
      </c>
      <c r="S355">
        <f>Graph!$D$40*((Graph!$D$36-Y355)/POWER((((Graph!$D$36-$Y355)^2)+((Graph!$E$36-$Z355)^2))+(Graph!$D$41^2),3/2))</f>
        <v>-264.98453230768683</v>
      </c>
      <c r="T355">
        <f>Graph!$D$40*((Graph!$E$36-Z355)/POWER((((Graph!$D$36-$Y355)^2)+((Graph!$E$36-$Z355)^2))+(Graph!$D$41^2),3/2))</f>
        <v>-739.17294813294234</v>
      </c>
      <c r="U355">
        <f>O355+Q355+S355</f>
        <v>5404.6782221398016</v>
      </c>
      <c r="V355">
        <f>P355+R355+T355</f>
        <v>525.16267121417582</v>
      </c>
      <c r="W355">
        <f>W354+(U354*Graph!$D$5)</f>
        <v>4988.5062854949801</v>
      </c>
      <c r="X355">
        <f>X354+(V354*Graph!$D$5)</f>
        <v>-7385.0071414579506</v>
      </c>
      <c r="Y355">
        <f>Y354+(W354*Graph!$D$5)+(U354*Graph!$D$5^2)</f>
        <v>8462.9942651414713</v>
      </c>
      <c r="Z355">
        <f>Z354+(X354*Graph!$D$5)+(V354*Graph!$D$5^2)</f>
        <v>8607.4776384800298</v>
      </c>
    </row>
    <row r="356" spans="14:26" x14ac:dyDescent="0.35">
      <c r="N356">
        <f>N355+1</f>
        <v>353</v>
      </c>
      <c r="O356">
        <f>Graph!$D$22*((Graph!$D$18-Y356)/POWER((((Graph!$D$18-$Y356)^2)+((Graph!$E$18-$Z356)^2))+(Graph!$D$23^2),(3/2)))</f>
        <v>3293.5642757792352</v>
      </c>
      <c r="P356" s="84">
        <f>Graph!$D$22*((Graph!$E$18-Z356)/POWER((((Graph!$D$18-$Y356)^2)+((Graph!$E$18-$Z356)^2))+(Graph!$D$23^2),3/2))</f>
        <v>6061.6541555410249</v>
      </c>
      <c r="Q356">
        <f>Graph!$D$31*((Graph!$D$27-Y356)/POWER((((Graph!$D$27-$Y356)^2)+((Graph!$E$27-$Z356)^2))+(Graph!$D$32^2),3/2))</f>
        <v>-163.34164707304288</v>
      </c>
      <c r="R356">
        <f>Graph!$D$31*((Graph!$E$27-Z356)/POWER((((Graph!$D$27-$Y356)^2)+((Graph!$E$27-$Z356)^2))+(Graph!$D$32^2),3/2))</f>
        <v>25.044596835999762</v>
      </c>
      <c r="S356">
        <f>Graph!$D$40*((Graph!$D$36-Y356)/POWER((((Graph!$D$36-$Y356)^2)+((Graph!$E$36-$Z356)^2))+(Graph!$D$41^2),3/2))</f>
        <v>-463.35608686699345</v>
      </c>
      <c r="T356">
        <f>Graph!$D$40*((Graph!$E$36-Z356)/POWER((((Graph!$D$36-$Y356)^2)+((Graph!$E$36-$Z356)^2))+(Graph!$D$41^2),3/2))</f>
        <v>-754.65096866384727</v>
      </c>
      <c r="U356">
        <f>O356+Q356+S356</f>
        <v>2666.8665418391988</v>
      </c>
      <c r="V356">
        <f>P356+R356+T356</f>
        <v>5332.0477837131775</v>
      </c>
      <c r="W356">
        <f>W355+(U355*Graph!$D$5)</f>
        <v>7690.8453965648805</v>
      </c>
      <c r="X356">
        <f>X355+(V355*Graph!$D$5)</f>
        <v>-7122.4258058508631</v>
      </c>
      <c r="Y356">
        <f>Y355+(W355*Graph!$D$5)+(U355*Graph!$D$5^2)</f>
        <v>12308.416963423912</v>
      </c>
      <c r="Z356">
        <f>Z355+(X355*Graph!$D$5)+(V355*Graph!$D$5^2)</f>
        <v>5046.2647355545987</v>
      </c>
    </row>
    <row r="357" spans="14:26" x14ac:dyDescent="0.35">
      <c r="N357">
        <f>N356+1</f>
        <v>354</v>
      </c>
      <c r="O357">
        <f>Graph!$D$22*((Graph!$D$18-Y357)/POWER((((Graph!$D$18-$Y357)^2)+((Graph!$E$18-$Z357)^2))+(Graph!$D$23^2),(3/2)))</f>
        <v>-1334.8311266253281</v>
      </c>
      <c r="P357" s="84">
        <f>Graph!$D$22*((Graph!$E$18-Z357)/POWER((((Graph!$D$18-$Y357)^2)+((Graph!$E$18-$Z357)^2))+(Graph!$D$23^2),3/2))</f>
        <v>5265.7926770744989</v>
      </c>
      <c r="Q357">
        <f>Graph!$D$31*((Graph!$D$27-Y357)/POWER((((Graph!$D$27-$Y357)^2)+((Graph!$E$27-$Z357)^2))+(Graph!$D$32^2),3/2))</f>
        <v>-123.63505883580511</v>
      </c>
      <c r="R357">
        <f>Graph!$D$31*((Graph!$E$27-Z357)/POWER((((Graph!$D$27-$Y357)^2)+((Graph!$E$27-$Z357)^2))+(Graph!$D$32^2),3/2))</f>
        <v>24.115309397467932</v>
      </c>
      <c r="S357">
        <f>Graph!$D$40*((Graph!$D$36-Y357)/POWER((((Graph!$D$36-$Y357)^2)+((Graph!$E$36-$Z357)^2))+(Graph!$D$41^2),3/2))</f>
        <v>-563.1019701259446</v>
      </c>
      <c r="T357">
        <f>Graph!$D$40*((Graph!$E$36-Z357)/POWER((((Graph!$D$36-$Y357)^2)+((Graph!$E$36-$Z357)^2))+(Graph!$D$41^2),3/2))</f>
        <v>-596.49554035414485</v>
      </c>
      <c r="U357">
        <f>O357+Q357+S357</f>
        <v>-2021.5681555870779</v>
      </c>
      <c r="V357">
        <f>P357+R357+T357</f>
        <v>4693.4124461178217</v>
      </c>
      <c r="W357">
        <f>W356+(U356*Graph!$D$5)</f>
        <v>9024.2786674844792</v>
      </c>
      <c r="X357">
        <f>X356+(V356*Graph!$D$5)</f>
        <v>-4456.4019139942739</v>
      </c>
      <c r="Y357">
        <f>Y356+(W356*Graph!$D$5)+(U356*Graph!$D$5^2)</f>
        <v>16820.556297166153</v>
      </c>
      <c r="Z357">
        <f>Z356+(X356*Graph!$D$5)+(V356*Graph!$D$5^2)</f>
        <v>2818.0637785574618</v>
      </c>
    </row>
    <row r="358" spans="14:26" x14ac:dyDescent="0.35">
      <c r="N358">
        <f>N357+1</f>
        <v>355</v>
      </c>
      <c r="O358">
        <f>Graph!$D$22*((Graph!$D$18-Y358)/POWER((((Graph!$D$18-$Y358)^2)+((Graph!$E$18-$Z358)^2))+(Graph!$D$23^2),(3/2)))</f>
        <v>-2136.8631323019549</v>
      </c>
      <c r="P358" s="84">
        <f>Graph!$D$22*((Graph!$E$18-Z358)/POWER((((Graph!$D$18-$Y358)^2)+((Graph!$E$18-$Z358)^2))+(Graph!$D$23^2),3/2))</f>
        <v>3020.415861881786</v>
      </c>
      <c r="Q358">
        <f>Graph!$D$31*((Graph!$D$27-Y358)/POWER((((Graph!$D$27-$Y358)^2)+((Graph!$E$27-$Z358)^2))+(Graph!$D$32^2),3/2))</f>
        <v>-100.41943118916677</v>
      </c>
      <c r="R358">
        <f>Graph!$D$31*((Graph!$E$27-Z358)/POWER((((Graph!$D$27-$Y358)^2)+((Graph!$E$27-$Z358)^2))+(Graph!$D$32^2),3/2))</f>
        <v>20.259314185739051</v>
      </c>
      <c r="S358">
        <f>Graph!$D$40*((Graph!$D$36-Y358)/POWER((((Graph!$D$36-$Y358)^2)+((Graph!$E$36-$Z358)^2))+(Graph!$D$41^2),3/2))</f>
        <v>-541.97099468970009</v>
      </c>
      <c r="T358">
        <f>Graph!$D$40*((Graph!$E$36-Z358)/POWER((((Graph!$D$36-$Y358)^2)+((Graph!$E$36-$Z358)^2))+(Graph!$D$41^2),3/2))</f>
        <v>-436.21473962378633</v>
      </c>
      <c r="U358">
        <f>O358+Q358+S358</f>
        <v>-2779.253558180822</v>
      </c>
      <c r="V358">
        <f>P358+R358+T358</f>
        <v>2604.4604364437387</v>
      </c>
      <c r="W358">
        <f>W357+(U357*Graph!$D$5)</f>
        <v>8013.4945896909403</v>
      </c>
      <c r="X358">
        <f>X357+(V357*Graph!$D$5)</f>
        <v>-2109.695690935363</v>
      </c>
      <c r="Y358">
        <f>Y357+(W357*Graph!$D$5)+(U357*Graph!$D$5^2)</f>
        <v>20827.30359201162</v>
      </c>
      <c r="Z358">
        <f>Z357+(X357*Graph!$D$5)+(V357*Graph!$D$5^2)</f>
        <v>1763.2159330897803</v>
      </c>
    </row>
    <row r="359" spans="14:26" x14ac:dyDescent="0.35">
      <c r="N359">
        <f>N358+1</f>
        <v>356</v>
      </c>
      <c r="O359">
        <f>Graph!$D$22*((Graph!$D$18-Y359)/POWER((((Graph!$D$18-$Y359)^2)+((Graph!$E$18-$Z359)^2))+(Graph!$D$23^2),(3/2)))</f>
        <v>-1930.0857016362879</v>
      </c>
      <c r="P359" s="84">
        <f>Graph!$D$22*((Graph!$E$18-Z359)/POWER((((Graph!$D$18-$Y359)^2)+((Graph!$E$18-$Z359)^2))+(Graph!$D$23^2),3/2))</f>
        <v>1824.7625079924699</v>
      </c>
      <c r="Q359">
        <f>Graph!$D$31*((Graph!$D$27-Y359)/POWER((((Graph!$D$27-$Y359)^2)+((Graph!$E$27-$Z359)^2))+(Graph!$D$32^2),3/2))</f>
        <v>-86.340203511729001</v>
      </c>
      <c r="R359">
        <f>Graph!$D$31*((Graph!$E$27-Z359)/POWER((((Graph!$D$27-$Y359)^2)+((Graph!$E$27-$Z359)^2))+(Graph!$D$32^2),3/2))</f>
        <v>16.901605499778228</v>
      </c>
      <c r="S359">
        <f>Graph!$D$40*((Graph!$D$36-Y359)/POWER((((Graph!$D$36-$Y359)^2)+((Graph!$E$36-$Z359)^2))+(Graph!$D$41^2),3/2))</f>
        <v>-488.04556852015236</v>
      </c>
      <c r="T359">
        <f>Graph!$D$40*((Graph!$E$36-Z359)/POWER((((Graph!$D$36-$Y359)^2)+((Graph!$E$36-$Z359)^2))+(Graph!$D$41^2),3/2))</f>
        <v>-330.75499084569509</v>
      </c>
      <c r="U359">
        <f>O359+Q359+S359</f>
        <v>-2504.4714736681694</v>
      </c>
      <c r="V359">
        <f>P359+R359+T359</f>
        <v>1510.909122646553</v>
      </c>
      <c r="W359">
        <f>W358+(U358*Graph!$D$5)</f>
        <v>6623.8678106005291</v>
      </c>
      <c r="X359">
        <f>X358+(V358*Graph!$D$5)</f>
        <v>-807.46547271349368</v>
      </c>
      <c r="Y359">
        <f>Y358+(W358*Graph!$D$5)+(U358*Graph!$D$5^2)</f>
        <v>24139.237497311886</v>
      </c>
      <c r="Z359">
        <f>Z358+(X358*Graph!$D$5)+(V358*Graph!$D$5^2)</f>
        <v>1359.4831967330333</v>
      </c>
    </row>
    <row r="360" spans="14:26" x14ac:dyDescent="0.35">
      <c r="N360">
        <f>N359+1</f>
        <v>357</v>
      </c>
      <c r="O360">
        <f>Graph!$D$22*((Graph!$D$18-Y360)/POWER((((Graph!$D$18-$Y360)^2)+((Graph!$E$18-$Z360)^2))+(Graph!$D$23^2),(3/2)))</f>
        <v>-1665.8903055520566</v>
      </c>
      <c r="P360" s="84">
        <f>Graph!$D$22*((Graph!$E$18-Z360)/POWER((((Graph!$D$18-$Y360)^2)+((Graph!$E$18-$Z360)^2))+(Graph!$D$23^2),3/2))</f>
        <v>1220.9226260419412</v>
      </c>
      <c r="Q360">
        <f>Graph!$D$31*((Graph!$D$27-Y360)/POWER((((Graph!$D$27-$Y360)^2)+((Graph!$E$27-$Z360)^2))+(Graph!$D$32^2),3/2))</f>
        <v>-77.247544727610091</v>
      </c>
      <c r="R360">
        <f>Graph!$D$31*((Graph!$E$27-Z360)/POWER((((Graph!$D$27-$Y360)^2)+((Graph!$E$27-$Z360)^2))+(Graph!$D$32^2),3/2))</f>
        <v>14.297208765455158</v>
      </c>
      <c r="S360">
        <f>Graph!$D$40*((Graph!$D$36-Y360)/POWER((((Graph!$D$36-$Y360)^2)+((Graph!$E$36-$Z360)^2))+(Graph!$D$41^2),3/2))</f>
        <v>-436.69347262781929</v>
      </c>
      <c r="T360">
        <f>Graph!$D$40*((Graph!$E$36-Z360)/POWER((((Graph!$D$36-$Y360)^2)+((Graph!$E$36-$Z360)^2))+(Graph!$D$41^2),3/2))</f>
        <v>-265.8978147324342</v>
      </c>
      <c r="U360">
        <f>O360+Q360+S360</f>
        <v>-2179.8313229074861</v>
      </c>
      <c r="V360">
        <f>P360+R360+T360</f>
        <v>969.32202007496221</v>
      </c>
      <c r="W360">
        <f>W359+(U359*Graph!$D$5)</f>
        <v>5371.6320737664446</v>
      </c>
      <c r="X360">
        <f>X359+(V359*Graph!$D$5)</f>
        <v>-52.010911390217188</v>
      </c>
      <c r="Y360">
        <f>Y359+(W359*Graph!$D$5)+(U359*Graph!$D$5^2)</f>
        <v>26825.053534195111</v>
      </c>
      <c r="Z360">
        <f>Z359+(X359*Graph!$D$5)+(V359*Graph!$D$5^2)</f>
        <v>1333.4777410379247</v>
      </c>
    </row>
    <row r="361" spans="14:26" x14ac:dyDescent="0.35">
      <c r="N361">
        <f>N360+1</f>
        <v>358</v>
      </c>
      <c r="O361">
        <f>Graph!$D$22*((Graph!$D$18-Y361)/POWER((((Graph!$D$18-$Y361)^2)+((Graph!$E$18-$Z361)^2))+(Graph!$D$23^2),(3/2)))</f>
        <v>-1469.6576690116792</v>
      </c>
      <c r="P361" s="84">
        <f>Graph!$D$22*((Graph!$E$18-Z361)/POWER((((Graph!$D$18-$Y361)^2)+((Graph!$E$18-$Z361)^2))+(Graph!$D$23^2),3/2))</f>
        <v>889.22924365364065</v>
      </c>
      <c r="Q361">
        <f>Graph!$D$31*((Graph!$D$27-Y361)/POWER((((Graph!$D$27-$Y361)^2)+((Graph!$E$27-$Z361)^2))+(Graph!$D$32^2),3/2))</f>
        <v>-71.148112506897277</v>
      </c>
      <c r="R361">
        <f>Graph!$D$31*((Graph!$E$27-Z361)/POWER((((Graph!$D$27-$Y361)^2)+((Graph!$E$27-$Z361)^2))+(Graph!$D$32^2),3/2))</f>
        <v>12.278247466622382</v>
      </c>
      <c r="S361">
        <f>Graph!$D$40*((Graph!$D$36-Y361)/POWER((((Graph!$D$36-$Y361)^2)+((Graph!$E$36-$Z361)^2))+(Graph!$D$41^2),3/2))</f>
        <v>-395.11018112003262</v>
      </c>
      <c r="T361">
        <f>Graph!$D$40*((Graph!$E$36-Z361)/POWER((((Graph!$D$36-$Y361)^2)+((Graph!$E$36-$Z361)^2))+(Graph!$D$41^2),3/2))</f>
        <v>-225.74796321330072</v>
      </c>
      <c r="U361">
        <f>O361+Q361+S361</f>
        <v>-1935.915962638609</v>
      </c>
      <c r="V361">
        <f>P361+R361+T361</f>
        <v>675.75952790696226</v>
      </c>
      <c r="W361">
        <f>W360+(U360*Graph!$D$5)</f>
        <v>4281.7164123127013</v>
      </c>
      <c r="X361">
        <f>X360+(V360*Graph!$D$5)</f>
        <v>432.65009864726392</v>
      </c>
      <c r="Y361">
        <f>Y360+(W360*Graph!$D$5)+(U360*Graph!$D$5^2)</f>
        <v>28965.911740351461</v>
      </c>
      <c r="Z361">
        <f>Z360+(X360*Graph!$D$5)+(V360*Graph!$D$5^2)</f>
        <v>1549.8027903615566</v>
      </c>
    </row>
    <row r="362" spans="14:26" x14ac:dyDescent="0.35">
      <c r="N362">
        <f>N361+1</f>
        <v>359</v>
      </c>
      <c r="O362">
        <f>Graph!$D$22*((Graph!$D$18-Y362)/POWER((((Graph!$D$18-$Y362)^2)+((Graph!$E$18-$Z362)^2))+(Graph!$D$23^2),(3/2)))</f>
        <v>-1339.4108423000127</v>
      </c>
      <c r="P362" s="84">
        <f>Graph!$D$22*((Graph!$E$18-Z362)/POWER((((Graph!$D$18-$Y362)^2)+((Graph!$E$18-$Z362)^2))+(Graph!$D$23^2),3/2))</f>
        <v>691.44225039877995</v>
      </c>
      <c r="Q362">
        <f>Graph!$D$31*((Graph!$D$27-Y362)/POWER((((Graph!$D$27-$Y362)^2)+((Graph!$E$27-$Z362)^2))+(Graph!$D$32^2),3/2))</f>
        <v>-67.025919985281973</v>
      </c>
      <c r="R362">
        <f>Graph!$D$31*((Graph!$E$27-Z362)/POWER((((Graph!$D$27-$Y362)^2)+((Graph!$E$27-$Z362)^2))+(Graph!$D$32^2),3/2))</f>
        <v>10.678184575916939</v>
      </c>
      <c r="S362">
        <f>Graph!$D$40*((Graph!$D$36-Y362)/POWER((((Graph!$D$36-$Y362)^2)+((Graph!$E$36-$Z362)^2))+(Graph!$D$41^2),3/2))</f>
        <v>-363.00446925372012</v>
      </c>
      <c r="T362">
        <f>Graph!$D$40*((Graph!$E$36-Z362)/POWER((((Graph!$D$36-$Y362)^2)+((Graph!$E$36-$Z362)^2))+(Graph!$D$41^2),3/2))</f>
        <v>-200.74934642440491</v>
      </c>
      <c r="U362">
        <f>O362+Q362+S362</f>
        <v>-1769.4412315390148</v>
      </c>
      <c r="V362">
        <f>P362+R362+T362</f>
        <v>501.37108855029197</v>
      </c>
      <c r="W362">
        <f>W361+(U361*Graph!$D$5)</f>
        <v>3313.7584309933968</v>
      </c>
      <c r="X362">
        <f>X361+(V361*Graph!$D$5)</f>
        <v>770.52986260074499</v>
      </c>
      <c r="Y362">
        <f>Y361+(W361*Graph!$D$5)+(U361*Graph!$D$5^2)</f>
        <v>30622.790955848159</v>
      </c>
      <c r="Z362">
        <f>Z361+(X361*Graph!$D$5)+(V361*Graph!$D$5^2)</f>
        <v>1935.067721661929</v>
      </c>
    </row>
    <row r="363" spans="14:26" x14ac:dyDescent="0.35">
      <c r="N363">
        <f>N362+1</f>
        <v>360</v>
      </c>
      <c r="O363">
        <f>Graph!$D$22*((Graph!$D$18-Y363)/POWER((((Graph!$D$18-$Y363)^2)+((Graph!$E$18-$Z363)^2))+(Graph!$D$23^2),(3/2)))</f>
        <v>-1261.3287436568535</v>
      </c>
      <c r="P363" s="84">
        <f>Graph!$D$22*((Graph!$E$18-Z363)/POWER((((Graph!$D$18-$Y363)^2)+((Graph!$E$18-$Z363)^2))+(Graph!$D$23^2),3/2))</f>
        <v>565.91503051882091</v>
      </c>
      <c r="Q363">
        <f>Graph!$D$31*((Graph!$D$27-Y363)/POWER((((Graph!$D$27-$Y363)^2)+((Graph!$E$27-$Z363)^2))+(Graph!$D$32^2),3/2))</f>
        <v>-64.330368983119172</v>
      </c>
      <c r="R363">
        <f>Graph!$D$31*((Graph!$E$27-Z363)/POWER((((Graph!$D$27-$Y363)^2)+((Graph!$E$27-$Z363)^2))+(Graph!$D$32^2),3/2))</f>
        <v>9.3749557722348147</v>
      </c>
      <c r="S363">
        <f>Graph!$D$40*((Graph!$D$36-Y363)/POWER((((Graph!$D$36-$Y363)^2)+((Graph!$E$36-$Z363)^2))+(Graph!$D$41^2),3/2))</f>
        <v>-338.71740480854794</v>
      </c>
      <c r="T363">
        <f>Graph!$D$40*((Graph!$E$36-Z363)/POWER((((Graph!$D$36-$Y363)^2)+((Graph!$E$36-$Z363)^2))+(Graph!$D$41^2),3/2))</f>
        <v>-185.60468615170493</v>
      </c>
      <c r="U363">
        <f>O363+Q363+S363</f>
        <v>-1664.3765174485206</v>
      </c>
      <c r="V363">
        <f>P363+R363+T363</f>
        <v>389.68530013935077</v>
      </c>
      <c r="W363">
        <f>W362+(U362*Graph!$D$5)</f>
        <v>2429.0378152238895</v>
      </c>
      <c r="X363">
        <f>X362+(V362*Graph!$D$5)</f>
        <v>1021.2154068758909</v>
      </c>
      <c r="Y363">
        <f>Y362+(W362*Graph!$D$5)+(U362*Graph!$D$5^2)</f>
        <v>31837.309863460101</v>
      </c>
      <c r="Z363">
        <f>Z362+(X362*Graph!$D$5)+(V362*Graph!$D$5^2)</f>
        <v>2445.6754250998742</v>
      </c>
    </row>
    <row r="364" spans="14:26" x14ac:dyDescent="0.35">
      <c r="N364">
        <f>N363+1</f>
        <v>361</v>
      </c>
      <c r="O364">
        <f>Graph!$D$22*((Graph!$D$18-Y364)/POWER((((Graph!$D$18-$Y364)^2)+((Graph!$E$18-$Z364)^2))+(Graph!$D$23^2),(3/2)))</f>
        <v>-1225.8495985007351</v>
      </c>
      <c r="P364" s="84">
        <f>Graph!$D$22*((Graph!$E$18-Z364)/POWER((((Graph!$D$18-$Y364)^2)+((Graph!$E$18-$Z364)^2))+(Graph!$D$23^2),3/2))</f>
        <v>482.83294003054903</v>
      </c>
      <c r="Q364">
        <f>Graph!$D$31*((Graph!$D$27-Y364)/POWER((((Graph!$D$27-$Y364)^2)+((Graph!$E$27-$Z364)^2))+(Graph!$D$32^2),3/2))</f>
        <v>-62.756492216424313</v>
      </c>
      <c r="R364">
        <f>Graph!$D$31*((Graph!$E$27-Z364)/POWER((((Graph!$D$27-$Y364)^2)+((Graph!$E$27-$Z364)^2))+(Graph!$D$32^2),3/2))</f>
        <v>8.2819237797226837</v>
      </c>
      <c r="S364">
        <f>Graph!$D$40*((Graph!$D$36-Y364)/POWER((((Graph!$D$36-$Y364)^2)+((Graph!$E$36-$Z364)^2))+(Graph!$D$41^2),3/2))</f>
        <v>-320.68933778658436</v>
      </c>
      <c r="T364">
        <f>Graph!$D$40*((Graph!$E$36-Z364)/POWER((((Graph!$D$36-$Y364)^2)+((Graph!$E$36-$Z364)^2))+(Graph!$D$41^2),3/2))</f>
        <v>-177.40156884385007</v>
      </c>
      <c r="U364">
        <f>O364+Q364+S364</f>
        <v>-1609.2954285037436</v>
      </c>
      <c r="V364">
        <f>P364+R364+T364</f>
        <v>313.71329496642159</v>
      </c>
      <c r="W364">
        <f>W363+(U363*Graph!$D$5)</f>
        <v>1596.8495564996292</v>
      </c>
      <c r="X364">
        <f>X363+(V363*Graph!$D$5)</f>
        <v>1216.0580569455662</v>
      </c>
      <c r="Y364">
        <f>Y363+(W363*Graph!$D$5)+(U363*Graph!$D$5^2)</f>
        <v>32635.734641709918</v>
      </c>
      <c r="Z364">
        <f>Z363+(X363*Graph!$D$5)+(V363*Graph!$D$5^2)</f>
        <v>3053.7044535726573</v>
      </c>
    </row>
    <row r="365" spans="14:26" x14ac:dyDescent="0.35">
      <c r="N365">
        <f>N364+1</f>
        <v>362</v>
      </c>
      <c r="O365">
        <f>Graph!$D$22*((Graph!$D$18-Y365)/POWER((((Graph!$D$18-$Y365)^2)+((Graph!$E$18-$Z365)^2))+(Graph!$D$23^2),(3/2)))</f>
        <v>-1229.0153065943318</v>
      </c>
      <c r="P365" s="84">
        <f>Graph!$D$22*((Graph!$E$18-Z365)/POWER((((Graph!$D$18-$Y365)^2)+((Graph!$E$18-$Z365)^2))+(Graph!$D$23^2),3/2))</f>
        <v>426.65855789794483</v>
      </c>
      <c r="Q365">
        <f>Graph!$D$31*((Graph!$D$27-Y365)/POWER((((Graph!$D$27-$Y365)^2)+((Graph!$E$27-$Z365)^2))+(Graph!$D$32^2),3/2))</f>
        <v>-62.145950759481096</v>
      </c>
      <c r="R365">
        <f>Graph!$D$31*((Graph!$E$27-Z365)/POWER((((Graph!$D$27-$Y365)^2)+((Graph!$E$27-$Z365)^2))+(Graph!$D$32^2),3/2))</f>
        <v>7.335661533324636</v>
      </c>
      <c r="S365">
        <f>Graph!$D$40*((Graph!$D$36-Y365)/POWER((((Graph!$D$36-$Y365)^2)+((Graph!$E$36-$Z365)^2))+(Graph!$D$41^2),3/2))</f>
        <v>-307.71935071694065</v>
      </c>
      <c r="T365">
        <f>Graph!$D$40*((Graph!$E$36-Z365)/POWER((((Graph!$D$36-$Y365)^2)+((Graph!$E$36-$Z365)^2))+(Graph!$D$41^2),3/2))</f>
        <v>-174.58038056158432</v>
      </c>
      <c r="U365">
        <f>O365+Q365+S365</f>
        <v>-1598.8806080707536</v>
      </c>
      <c r="V365">
        <f>P365+R365+T365</f>
        <v>259.41383886968515</v>
      </c>
      <c r="W365">
        <f>W364+(U364*Graph!$D$5)</f>
        <v>792.20184224775744</v>
      </c>
      <c r="X365">
        <f>X364+(V364*Graph!$D$5)</f>
        <v>1372.914704428777</v>
      </c>
      <c r="Y365">
        <f>Y364+(W364*Graph!$D$5)+(U364*Graph!$D$5^2)</f>
        <v>33031.835562833796</v>
      </c>
      <c r="Z365">
        <f>Z364+(X364*Graph!$D$5)+(V364*Graph!$D$5^2)</f>
        <v>3740.1618057870455</v>
      </c>
    </row>
    <row r="366" spans="14:26" x14ac:dyDescent="0.35">
      <c r="N366">
        <f>N365+1</f>
        <v>363</v>
      </c>
      <c r="O366">
        <f>Graph!$D$22*((Graph!$D$18-Y366)/POWER((((Graph!$D$18-$Y366)^2)+((Graph!$E$18-$Z366)^2))+(Graph!$D$23^2),(3/2)))</f>
        <v>-1272.5016101898289</v>
      </c>
      <c r="P366" s="84">
        <f>Graph!$D$22*((Graph!$E$18-Z366)/POWER((((Graph!$D$18-$Y366)^2)+((Graph!$E$18-$Z366)^2))+(Graph!$D$23^2),3/2))</f>
        <v>388.81328217194897</v>
      </c>
      <c r="Q366">
        <f>Graph!$D$31*((Graph!$D$27-Y366)/POWER((((Graph!$D$27-$Y366)^2)+((Graph!$E$27-$Z366)^2))+(Graph!$D$32^2),3/2))</f>
        <v>-62.443200626766576</v>
      </c>
      <c r="R366">
        <f>Graph!$D$31*((Graph!$E$27-Z366)/POWER((((Graph!$D$27-$Y366)^2)+((Graph!$E$27-$Z366)^2))+(Graph!$D$32^2),3/2))</f>
        <v>6.4865481866611194</v>
      </c>
      <c r="S366">
        <f>Graph!$D$40*((Graph!$D$36-Y366)/POWER((((Graph!$D$36-$Y366)^2)+((Graph!$E$36-$Z366)^2))+(Graph!$D$41^2),3/2))</f>
        <v>-298.93853904274067</v>
      </c>
      <c r="T366">
        <f>Graph!$D$40*((Graph!$E$36-Z366)/POWER((((Graph!$D$36-$Y366)^2)+((Graph!$E$36-$Z366)^2))+(Graph!$D$41^2),3/2))</f>
        <v>-176.4174089685155</v>
      </c>
      <c r="U366">
        <f>O366+Q366+S366</f>
        <v>-1633.8833498593362</v>
      </c>
      <c r="V366">
        <f>P366+R366+T366</f>
        <v>218.88242139009461</v>
      </c>
      <c r="W366">
        <f>W365+(U365*Graph!$D$5)</f>
        <v>-7.2384617876193715</v>
      </c>
      <c r="X366">
        <f>X365+(V365*Graph!$D$5)</f>
        <v>1502.6216238636196</v>
      </c>
      <c r="Y366">
        <f>Y365+(W365*Graph!$D$5)+(U365*Graph!$D$5^2)</f>
        <v>33028.216331939984</v>
      </c>
      <c r="Z366">
        <f>Z365+(X365*Graph!$D$5)+(V365*Graph!$D$5^2)</f>
        <v>4491.472617718855</v>
      </c>
    </row>
    <row r="367" spans="14:26" x14ac:dyDescent="0.35">
      <c r="N367">
        <f>N366+1</f>
        <v>364</v>
      </c>
      <c r="O367">
        <f>Graph!$D$22*((Graph!$D$18-Y367)/POWER((((Graph!$D$18-$Y367)^2)+((Graph!$E$18-$Z367)^2))+(Graph!$D$23^2),(3/2)))</f>
        <v>-1364.9030605242672</v>
      </c>
      <c r="P367" s="84">
        <f>Graph!$D$22*((Graph!$E$18-Z367)/POWER((((Graph!$D$18-$Y367)^2)+((Graph!$E$18-$Z367)^2))+(Graph!$D$23^2),3/2))</f>
        <v>364.35088161255749</v>
      </c>
      <c r="Q367">
        <f>Graph!$D$31*((Graph!$D$27-Y367)/POWER((((Graph!$D$27-$Y367)^2)+((Graph!$E$27-$Z367)^2))+(Graph!$D$32^2),3/2))</f>
        <v>-63.682301792406413</v>
      </c>
      <c r="R367">
        <f>Graph!$D$31*((Graph!$E$27-Z367)/POWER((((Graph!$D$27-$Y367)^2)+((Graph!$E$27-$Z367)^2))+(Graph!$D$32^2),3/2))</f>
        <v>5.69152061329335</v>
      </c>
      <c r="S367">
        <f>Graph!$D$40*((Graph!$D$36-Y367)/POWER((((Graph!$D$36-$Y367)^2)+((Graph!$E$36-$Z367)^2))+(Graph!$D$41^2),3/2))</f>
        <v>-293.72885551256388</v>
      </c>
      <c r="T367">
        <f>Graph!$D$40*((Graph!$E$36-Z367)/POWER((((Graph!$D$36-$Y367)^2)+((Graph!$E$36-$Z367)^2))+(Graph!$D$41^2),3/2))</f>
        <v>-182.7918674885282</v>
      </c>
      <c r="U367">
        <f>O367+Q367+S367</f>
        <v>-1722.3142178292374</v>
      </c>
      <c r="V367">
        <f>P367+R367+T367</f>
        <v>187.25053473732262</v>
      </c>
      <c r="W367">
        <f>W366+(U366*Graph!$D$5)</f>
        <v>-824.1801367172875</v>
      </c>
      <c r="X367">
        <f>X366+(V366*Graph!$D$5)</f>
        <v>1612.062834558667</v>
      </c>
      <c r="Y367">
        <f>Y366+(W366*Graph!$D$5)+(U366*Graph!$D$5^2)</f>
        <v>32616.12626358134</v>
      </c>
      <c r="Z367">
        <f>Z366+(X366*Graph!$D$5)+(V366*Graph!$D$5^2)</f>
        <v>5297.5040349981882</v>
      </c>
    </row>
    <row r="368" spans="14:26" x14ac:dyDescent="0.35">
      <c r="N368">
        <f>N367+1</f>
        <v>365</v>
      </c>
      <c r="O368">
        <f>Graph!$D$22*((Graph!$D$18-Y368)/POWER((((Graph!$D$18-$Y368)^2)+((Graph!$E$18-$Z368)^2))+(Graph!$D$23^2),(3/2)))</f>
        <v>-1525.8835660729787</v>
      </c>
      <c r="P368" s="84">
        <f>Graph!$D$22*((Graph!$E$18-Z368)/POWER((((Graph!$D$18-$Y368)^2)+((Graph!$E$18-$Z368)^2))+(Graph!$D$23^2),3/2))</f>
        <v>350.20332220925178</v>
      </c>
      <c r="Q368">
        <f>Graph!$D$31*((Graph!$D$27-Y368)/POWER((((Graph!$D$27-$Y368)^2)+((Graph!$E$27-$Z368)^2))+(Graph!$D$32^2),3/2))</f>
        <v>-65.998277506540802</v>
      </c>
      <c r="R368">
        <f>Graph!$D$31*((Graph!$E$27-Z368)/POWER((((Graph!$D$27-$Y368)^2)+((Graph!$E$27-$Z368)^2))+(Graph!$D$32^2),3/2))</f>
        <v>4.9073484156527662</v>
      </c>
      <c r="S368">
        <f>Graph!$D$40*((Graph!$D$36-Y368)/POWER((((Graph!$D$36-$Y368)^2)+((Graph!$E$36-$Z368)^2))+(Graph!$D$41^2),3/2))</f>
        <v>-291.63471678992681</v>
      </c>
      <c r="T368">
        <f>Graph!$D$40*((Graph!$E$36-Z368)/POWER((((Graph!$D$36-$Y368)^2)+((Graph!$E$36-$Z368)^2))+(Graph!$D$41^2),3/2))</f>
        <v>-194.12982508218045</v>
      </c>
      <c r="U368">
        <f>O368+Q368+S368</f>
        <v>-1883.5165603694463</v>
      </c>
      <c r="V368">
        <f>P368+R368+T368</f>
        <v>160.98084554272413</v>
      </c>
      <c r="W368">
        <f>W367+(U367*Graph!$D$5)</f>
        <v>-1685.3372456319062</v>
      </c>
      <c r="X368">
        <f>X367+(V367*Graph!$D$5)</f>
        <v>1705.6881019273283</v>
      </c>
      <c r="Y368">
        <f>Y367+(W367*Graph!$D$5)+(U367*Graph!$D$5^2)</f>
        <v>31773.457640765388</v>
      </c>
      <c r="Z368">
        <f>Z367+(X367*Graph!$D$5)+(V367*Graph!$D$5^2)</f>
        <v>6150.3480859618521</v>
      </c>
    </row>
    <row r="369" spans="14:26" x14ac:dyDescent="0.35">
      <c r="N369">
        <f>N368+1</f>
        <v>366</v>
      </c>
      <c r="O369">
        <f>Graph!$D$22*((Graph!$D$18-Y369)/POWER((((Graph!$D$18-$Y369)^2)+((Graph!$E$18-$Z369)^2))+(Graph!$D$23^2),(3/2)))</f>
        <v>-1797.0421324844694</v>
      </c>
      <c r="P369" s="84">
        <f>Graph!$D$22*((Graph!$E$18-Z369)/POWER((((Graph!$D$18-$Y369)^2)+((Graph!$E$18-$Z369)^2))+(Graph!$D$23^2),3/2))</f>
        <v>343.66744013330811</v>
      </c>
      <c r="Q369">
        <f>Graph!$D$31*((Graph!$D$27-Y369)/POWER((((Graph!$D$27-$Y369)^2)+((Graph!$E$27-$Z369)^2))+(Graph!$D$32^2),3/2))</f>
        <v>-69.670870726897803</v>
      </c>
      <c r="R369">
        <f>Graph!$D$31*((Graph!$E$27-Z369)/POWER((((Graph!$D$27-$Y369)^2)+((Graph!$E$27-$Z369)^2))+(Graph!$D$32^2),3/2))</f>
        <v>4.0821772135620895</v>
      </c>
      <c r="S369">
        <f>Graph!$D$40*((Graph!$D$36-Y369)/POWER((((Graph!$D$36-$Y369)^2)+((Graph!$E$36-$Z369)^2))+(Graph!$D$41^2),3/2))</f>
        <v>-292.25581375587723</v>
      </c>
      <c r="T369">
        <f>Graph!$D$40*((Graph!$E$36-Z369)/POWER((((Graph!$D$36-$Y369)^2)+((Graph!$E$36-$Z369)^2))+(Graph!$D$41^2),3/2))</f>
        <v>-211.50169997353316</v>
      </c>
      <c r="U369">
        <f>O369+Q369+S369</f>
        <v>-2158.9688169672445</v>
      </c>
      <c r="V369">
        <f>P369+R369+T369</f>
        <v>136.24791737333703</v>
      </c>
      <c r="W369">
        <f>W368+(U368*Graph!$D$5)</f>
        <v>-2627.0955258166296</v>
      </c>
      <c r="X369">
        <f>X368+(V368*Graph!$D$5)</f>
        <v>1786.1785246986904</v>
      </c>
      <c r="Y369">
        <f>Y368+(W368*Graph!$D$5)+(U368*Graph!$D$5^2)</f>
        <v>30459.909877857073</v>
      </c>
      <c r="Z369">
        <f>Z368+(X368*Graph!$D$5)+(V368*Graph!$D$5^2)</f>
        <v>7043.4373483111967</v>
      </c>
    </row>
    <row r="370" spans="14:26" x14ac:dyDescent="0.35">
      <c r="N370">
        <f>N369+1</f>
        <v>367</v>
      </c>
      <c r="O370">
        <f>Graph!$D$22*((Graph!$D$18-Y370)/POWER((((Graph!$D$18-$Y370)^2)+((Graph!$E$18-$Z370)^2))+(Graph!$D$23^2),(3/2)))</f>
        <v>-2271.6500700692854</v>
      </c>
      <c r="P370" s="84">
        <f>Graph!$D$22*((Graph!$E$18-Z370)/POWER((((Graph!$D$18-$Y370)^2)+((Graph!$E$18-$Z370)^2))+(Graph!$D$23^2),3/2))</f>
        <v>338.81394512162706</v>
      </c>
      <c r="Q370">
        <f>Graph!$D$31*((Graph!$D$27-Y370)/POWER((((Graph!$D$27-$Y370)^2)+((Graph!$E$27-$Z370)^2))+(Graph!$D$32^2),3/2))</f>
        <v>-75.232269867764046</v>
      </c>
      <c r="R370">
        <f>Graph!$D$31*((Graph!$E$27-Z370)/POWER((((Graph!$D$27-$Y370)^2)+((Graph!$E$27-$Z370)^2))+(Graph!$D$32^2),3/2))</f>
        <v>3.1410788725902852</v>
      </c>
      <c r="S370">
        <f>Graph!$D$40*((Graph!$D$36-Y370)/POWER((((Graph!$D$36-$Y370)^2)+((Graph!$E$36-$Z370)^2))+(Graph!$D$41^2),3/2))</f>
        <v>-295.06339326392191</v>
      </c>
      <c r="T370">
        <f>Graph!$D$40*((Graph!$E$36-Z370)/POWER((((Graph!$D$36-$Y370)^2)+((Graph!$E$36-$Z370)^2))+(Graph!$D$41^2),3/2))</f>
        <v>-236.93046699653144</v>
      </c>
      <c r="U370">
        <f>O370+Q370+S370</f>
        <v>-2641.9457332009715</v>
      </c>
      <c r="V370">
        <f>P370+R370+T370</f>
        <v>105.02455699768592</v>
      </c>
      <c r="W370">
        <f>W369+(U369*Graph!$D$5)</f>
        <v>-3706.5799343002518</v>
      </c>
      <c r="X370">
        <f>X369+(V369*Graph!$D$5)</f>
        <v>1854.3024833853588</v>
      </c>
      <c r="Y370">
        <f>Y369+(W369*Graph!$D$5)+(U369*Graph!$D$5^2)</f>
        <v>28606.619910706948</v>
      </c>
      <c r="Z370">
        <f>Z369+(X369*Graph!$D$5)+(V369*Graph!$D$5^2)</f>
        <v>7970.5885900038766</v>
      </c>
    </row>
    <row r="371" spans="14:26" x14ac:dyDescent="0.35">
      <c r="N371">
        <f>N370+1</f>
        <v>368</v>
      </c>
      <c r="O371">
        <f>Graph!$D$22*((Graph!$D$18-Y371)/POWER((((Graph!$D$18-$Y371)^2)+((Graph!$E$18-$Z371)^2))+(Graph!$D$23^2),(3/2)))</f>
        <v>-3186.7584477587302</v>
      </c>
      <c r="P371" s="84">
        <f>Graph!$D$22*((Graph!$E$18-Z371)/POWER((((Graph!$D$18-$Y371)^2)+((Graph!$E$18-$Z371)^2))+(Graph!$D$23^2),3/2))</f>
        <v>309.1150547864375</v>
      </c>
      <c r="Q371">
        <f>Graph!$D$31*((Graph!$D$27-Y371)/POWER((((Graph!$D$27-$Y371)^2)+((Graph!$E$27-$Z371)^2))+(Graph!$D$32^2),3/2))</f>
        <v>-83.738945398500718</v>
      </c>
      <c r="R371">
        <f>Graph!$D$31*((Graph!$E$27-Z371)/POWER((((Graph!$D$27-$Y371)^2)+((Graph!$E$27-$Z371)^2))+(Graph!$D$32^2),3/2))</f>
        <v>1.9548249961509068</v>
      </c>
      <c r="S371">
        <f>Graph!$D$40*((Graph!$D$36-Y371)/POWER((((Graph!$D$36-$Y371)^2)+((Graph!$E$36-$Z371)^2))+(Graph!$D$41^2),3/2))</f>
        <v>-298.9680897904172</v>
      </c>
      <c r="T371">
        <f>Graph!$D$40*((Graph!$E$36-Z371)/POWER((((Graph!$D$36-$Y371)^2)+((Graph!$E$36-$Z371)^2))+(Graph!$D$41^2),3/2))</f>
        <v>-274.11774315727013</v>
      </c>
      <c r="U371">
        <f>O371+Q371+S371</f>
        <v>-3569.4654829476481</v>
      </c>
      <c r="V371">
        <f>P371+R371+T371</f>
        <v>36.952136625318303</v>
      </c>
      <c r="W371">
        <f>W370+(U370*Graph!$D$5)</f>
        <v>-5027.5528009007376</v>
      </c>
      <c r="X371">
        <f>X370+(V370*Graph!$D$5)</f>
        <v>1906.8147618842017</v>
      </c>
      <c r="Y371">
        <f>Y370+(W370*Graph!$D$5)+(U370*Graph!$D$5^2)</f>
        <v>26092.843510256578</v>
      </c>
      <c r="Z371">
        <f>Z370+(X370*Graph!$D$5)+(V370*Graph!$D$5^2)</f>
        <v>8923.9959709459763</v>
      </c>
    </row>
    <row r="372" spans="14:26" x14ac:dyDescent="0.35">
      <c r="N372">
        <f>N371+1</f>
        <v>369</v>
      </c>
      <c r="O372">
        <f>Graph!$D$22*((Graph!$D$18-Y372)/POWER((((Graph!$D$18-$Y372)^2)+((Graph!$E$18-$Z372)^2))+(Graph!$D$23^2),(3/2)))</f>
        <v>-5218.6527789806332</v>
      </c>
      <c r="P372" s="84">
        <f>Graph!$D$22*((Graph!$E$18-Z372)/POWER((((Graph!$D$18-$Y372)^2)+((Graph!$E$18-$Z372)^2))+(Graph!$D$23^2),3/2))</f>
        <v>76.961399412094195</v>
      </c>
      <c r="Q372">
        <f>Graph!$D$31*((Graph!$D$27-Y372)/POWER((((Graph!$D$27-$Y372)^2)+((Graph!$E$27-$Z372)^2))+(Graph!$D$32^2),3/2))</f>
        <v>-97.574904782200036</v>
      </c>
      <c r="R372">
        <f>Graph!$D$31*((Graph!$E$27-Z372)/POWER((((Graph!$D$27-$Y372)^2)+((Graph!$E$27-$Z372)^2))+(Graph!$D$32^2),3/2))</f>
        <v>0.25911948619715203</v>
      </c>
      <c r="S372">
        <f>Graph!$D$40*((Graph!$D$36-Y372)/POWER((((Graph!$D$36-$Y372)^2)+((Graph!$E$36-$Z372)^2))+(Graph!$D$41^2),3/2))</f>
        <v>-301.0420844793012</v>
      </c>
      <c r="T372">
        <f>Graph!$D$40*((Graph!$E$36-Z372)/POWER((((Graph!$D$36-$Y372)^2)+((Graph!$E$36-$Z372)^2))+(Graph!$D$41^2),3/2))</f>
        <v>-330.234285042674</v>
      </c>
      <c r="U372">
        <f>O372+Q372+S372</f>
        <v>-5617.2697682421349</v>
      </c>
      <c r="V372">
        <f>P372+R372+T372</f>
        <v>-253.01376614438266</v>
      </c>
      <c r="W372">
        <f>W371+(U371*Graph!$D$5)</f>
        <v>-6812.2855423745614</v>
      </c>
      <c r="X372">
        <f>X371+(V371*Graph!$D$5)</f>
        <v>1925.290830196861</v>
      </c>
      <c r="Y372">
        <f>Y371+(W371*Graph!$D$5)+(U371*Graph!$D$5^2)</f>
        <v>22686.700739069296</v>
      </c>
      <c r="Z372">
        <f>Z371+(X371*Graph!$D$5)+(V371*Graph!$D$5^2)</f>
        <v>9886.6413860444063</v>
      </c>
    </row>
    <row r="373" spans="14:26" x14ac:dyDescent="0.35">
      <c r="N373">
        <f>N372+1</f>
        <v>370</v>
      </c>
      <c r="O373">
        <f>Graph!$D$22*((Graph!$D$18-Y373)/POWER((((Graph!$D$18-$Y373)^2)+((Graph!$E$18-$Z373)^2))+(Graph!$D$23^2),(3/2)))</f>
        <v>-7633.1673341593059</v>
      </c>
      <c r="P373" s="84">
        <f>Graph!$D$22*((Graph!$E$18-Z373)/POWER((((Graph!$D$18-$Y373)^2)+((Graph!$E$18-$Z373)^2))+(Graph!$D$23^2),3/2))</f>
        <v>-2086.030048685182</v>
      </c>
      <c r="Q373">
        <f>Graph!$D$31*((Graph!$D$27-Y373)/POWER((((Graph!$D$27-$Y373)^2)+((Graph!$E$27-$Z373)^2))+(Graph!$D$32^2),3/2))</f>
        <v>-123.52131329706739</v>
      </c>
      <c r="R373">
        <f>Graph!$D$31*((Graph!$E$27-Z373)/POWER((((Graph!$D$27-$Y373)^2)+((Graph!$E$27-$Z373)^2))+(Graph!$D$32^2),3/2))</f>
        <v>-2.5633978326793021</v>
      </c>
      <c r="S373">
        <f>Graph!$D$40*((Graph!$D$36-Y373)/POWER((((Graph!$D$36-$Y373)^2)+((Graph!$E$36-$Z373)^2))+(Graph!$D$41^2),3/2))</f>
        <v>-291.82907676919478</v>
      </c>
      <c r="T373">
        <f>Graph!$D$40*((Graph!$E$36-Z373)/POWER((((Graph!$D$36-$Y373)^2)+((Graph!$E$36-$Z373)^2))+(Graph!$D$41^2),3/2))</f>
        <v>-420.95620150131583</v>
      </c>
      <c r="U373">
        <f>O373+Q373+S373</f>
        <v>-8048.5177242255686</v>
      </c>
      <c r="V373">
        <f>P373+R373+T373</f>
        <v>-2509.5496480191769</v>
      </c>
      <c r="W373">
        <f>W372+(U372*Graph!$D$5)</f>
        <v>-9620.9204264956279</v>
      </c>
      <c r="X373">
        <f>X372+(V372*Graph!$D$5)</f>
        <v>1798.7839471246696</v>
      </c>
      <c r="Y373">
        <f>Y372+(W372*Graph!$D$5)+(U372*Graph!$D$5^2)</f>
        <v>17876.240525821479</v>
      </c>
      <c r="Z373">
        <f>Z372+(X372*Graph!$D$5)+(V372*Graph!$D$5^2)</f>
        <v>10786.033359606741</v>
      </c>
    </row>
    <row r="374" spans="14:26" x14ac:dyDescent="0.35">
      <c r="N374">
        <f>N373+1</f>
        <v>371</v>
      </c>
      <c r="O374">
        <f>Graph!$D$22*((Graph!$D$18-Y374)/POWER((((Graph!$D$18-$Y374)^2)+((Graph!$E$18-$Z374)^2))+(Graph!$D$23^2),(3/2)))</f>
        <v>7675.3396039244099</v>
      </c>
      <c r="P374" s="84">
        <f>Graph!$D$22*((Graph!$E$18-Z374)/POWER((((Graph!$D$18-$Y374)^2)+((Graph!$E$18-$Z374)^2))+(Graph!$D$23^2),3/2))</f>
        <v>-2057.8007963695582</v>
      </c>
      <c r="Q374">
        <f>Graph!$D$31*((Graph!$D$27-Y374)/POWER((((Graph!$D$27-$Y374)^2)+((Graph!$E$27-$Z374)^2))+(Graph!$D$32^2),3/2))</f>
        <v>-182.4306758456899</v>
      </c>
      <c r="R374">
        <f>Graph!$D$31*((Graph!$E$27-Z374)/POWER((((Graph!$D$27-$Y374)^2)+((Graph!$E$27-$Z374)^2))+(Graph!$D$32^2),3/2))</f>
        <v>-6.2156483231171613</v>
      </c>
      <c r="S374">
        <f>Graph!$D$40*((Graph!$D$36-Y374)/POWER((((Graph!$D$36-$Y374)^2)+((Graph!$E$36-$Z374)^2))+(Graph!$D$41^2),3/2))</f>
        <v>-243.70980481314675</v>
      </c>
      <c r="T374">
        <f>Graph!$D$40*((Graph!$E$36-Z374)/POWER((((Graph!$D$36-$Y374)^2)+((Graph!$E$36-$Z374)^2))+(Graph!$D$41^2),3/2))</f>
        <v>-574.5250509222534</v>
      </c>
      <c r="U374">
        <f>O374+Q374+S374</f>
        <v>7249.1991232655737</v>
      </c>
      <c r="V374">
        <f>P374+R374+T374</f>
        <v>-2638.5414956149284</v>
      </c>
      <c r="W374">
        <f>W373+(U373*Graph!$D$5)</f>
        <v>-13645.179288608411</v>
      </c>
      <c r="X374">
        <f>X373+(V373*Graph!$D$5)</f>
        <v>544.00912311508114</v>
      </c>
      <c r="Y374">
        <f>Y373+(W373*Graph!$D$5)+(U373*Graph!$D$5^2)</f>
        <v>11053.650881517273</v>
      </c>
      <c r="Z374">
        <f>Z373+(X373*Graph!$D$5)+(V373*Graph!$D$5^2)</f>
        <v>11058.037921164281</v>
      </c>
    </row>
    <row r="375" spans="14:26" x14ac:dyDescent="0.35">
      <c r="N375">
        <f>N374+1</f>
        <v>372</v>
      </c>
      <c r="O375">
        <f>Graph!$D$22*((Graph!$D$18-Y375)/POWER((((Graph!$D$18-$Y375)^2)+((Graph!$E$18-$Z375)^2))+(Graph!$D$23^2),(3/2)))</f>
        <v>4317.2880799096602</v>
      </c>
      <c r="P375" s="84">
        <f>Graph!$D$22*((Graph!$E$18-Z375)/POWER((((Graph!$D$18-$Y375)^2)+((Graph!$E$18-$Z375)^2))+(Graph!$D$23^2),3/2))</f>
        <v>-323.15030508802056</v>
      </c>
      <c r="Q375">
        <f>Graph!$D$31*((Graph!$D$27-Y375)/POWER((((Graph!$D$27-$Y375)^2)+((Graph!$E$27-$Z375)^2))+(Graph!$D$32^2),3/2))</f>
        <v>-257.52185486667986</v>
      </c>
      <c r="R375">
        <f>Graph!$D$31*((Graph!$E$27-Z375)/POWER((((Graph!$D$27-$Y375)^2)+((Graph!$E$27-$Z375)^2))+(Graph!$D$32^2),3/2))</f>
        <v>-6.6291168048211278</v>
      </c>
      <c r="S375">
        <f>Graph!$D$40*((Graph!$D$36-Y375)/POWER((((Graph!$D$36-$Y375)^2)+((Graph!$E$36-$Z375)^2))+(Graph!$D$41^2),3/2))</f>
        <v>-163.61887585124092</v>
      </c>
      <c r="T375">
        <f>Graph!$D$40*((Graph!$E$36-Z375)/POWER((((Graph!$D$36-$Y375)^2)+((Graph!$E$36-$Z375)^2))+(Graph!$D$41^2),3/2))</f>
        <v>-695.00450846109686</v>
      </c>
      <c r="U375">
        <f>O375+Q375+S375</f>
        <v>3896.1473491917395</v>
      </c>
      <c r="V375">
        <f>P375+R375+T375</f>
        <v>-1024.7839303539386</v>
      </c>
      <c r="W375">
        <f>W374+(U374*Graph!$D$5)</f>
        <v>-10020.579726975624</v>
      </c>
      <c r="X375">
        <f>X374+(V374*Graph!$D$5)</f>
        <v>-775.26162469238307</v>
      </c>
      <c r="Y375">
        <f>Y374+(W374*Graph!$D$5)+(U374*Graph!$D$5^2)</f>
        <v>6043.3610180294609</v>
      </c>
      <c r="Z375">
        <f>Z374+(X374*Graph!$D$5)+(V374*Graph!$D$5^2)</f>
        <v>10670.40710881809</v>
      </c>
    </row>
    <row r="376" spans="14:26" x14ac:dyDescent="0.35">
      <c r="N376">
        <f>N375+1</f>
        <v>373</v>
      </c>
      <c r="O376">
        <f>Graph!$D$22*((Graph!$D$18-Y376)/POWER((((Graph!$D$18-$Y376)^2)+((Graph!$E$18-$Z376)^2))+(Graph!$D$23^2),(3/2)))</f>
        <v>2521.2747949501972</v>
      </c>
      <c r="P376" s="84">
        <f>Graph!$D$22*((Graph!$E$18-Z376)/POWER((((Graph!$D$18-$Y376)^2)+((Graph!$E$18-$Z376)^2))+(Graph!$D$23^2),3/2))</f>
        <v>-5.1579182982531382</v>
      </c>
      <c r="Q376">
        <f>Graph!$D$31*((Graph!$D$27-Y376)/POWER((((Graph!$D$27-$Y376)^2)+((Graph!$E$27-$Z376)^2))+(Graph!$D$32^2),3/2))</f>
        <v>-357.18524916151529</v>
      </c>
      <c r="R376">
        <f>Graph!$D$31*((Graph!$E$27-Z376)/POWER((((Graph!$D$27-$Y376)^2)+((Graph!$E$27-$Z376)^2))+(Graph!$D$32^2),3/2))</f>
        <v>-0.43141043524479239</v>
      </c>
      <c r="S376">
        <f>Graph!$D$40*((Graph!$D$36-Y376)/POWER((((Graph!$D$36-$Y376)^2)+((Graph!$E$36-$Z376)^2))+(Graph!$D$41^2),3/2))</f>
        <v>-62.639928185272751</v>
      </c>
      <c r="T376">
        <f>Graph!$D$40*((Graph!$E$36-Z376)/POWER((((Graph!$D$36-$Y376)^2)+((Graph!$E$36-$Z376)^2))+(Graph!$D$41^2),3/2))</f>
        <v>-781.05572792214366</v>
      </c>
      <c r="U376">
        <f>O376+Q376+S376</f>
        <v>2101.449617603409</v>
      </c>
      <c r="V376">
        <f>P376+R376+T376</f>
        <v>-786.64505665564161</v>
      </c>
      <c r="W376">
        <f>W375+(U375*Graph!$D$5)</f>
        <v>-8072.5060523797547</v>
      </c>
      <c r="X376">
        <f>X375+(V375*Graph!$D$5)</f>
        <v>-1287.6535898693523</v>
      </c>
      <c r="Y376">
        <f>Y375+(W375*Graph!$D$5)+(U375*Graph!$D$5^2)</f>
        <v>2007.1079918395837</v>
      </c>
      <c r="Z376">
        <f>Z375+(X375*Graph!$D$5)+(V375*Graph!$D$5^2)</f>
        <v>10026.580313883414</v>
      </c>
    </row>
    <row r="377" spans="14:26" x14ac:dyDescent="0.35">
      <c r="N377">
        <f>N376+1</f>
        <v>374</v>
      </c>
      <c r="O377">
        <f>Graph!$D$22*((Graph!$D$18-Y377)/POWER((((Graph!$D$18-$Y377)^2)+((Graph!$E$18-$Z377)^2))+(Graph!$D$23^2),(3/2)))</f>
        <v>1679.485332383234</v>
      </c>
      <c r="P377" s="84">
        <f>Graph!$D$22*((Graph!$E$18-Z377)/POWER((((Graph!$D$18-$Y377)^2)+((Graph!$E$18-$Z377)^2))+(Graph!$D$23^2),3/2))</f>
        <v>82.826231455653854</v>
      </c>
      <c r="Q377">
        <f>Graph!$D$31*((Graph!$D$27-Y377)/POWER((((Graph!$D$27-$Y377)^2)+((Graph!$E$27-$Z377)^2))+(Graph!$D$32^2),3/2))</f>
        <v>-496.58299216881699</v>
      </c>
      <c r="R377">
        <f>Graph!$D$31*((Graph!$E$27-Z377)/POWER((((Graph!$D$27-$Y377)^2)+((Graph!$E$27-$Z377)^2))+(Graph!$D$32^2),3/2))</f>
        <v>21.851643251272009</v>
      </c>
      <c r="S377">
        <f>Graph!$D$40*((Graph!$D$36-Y377)/POWER((((Graph!$D$36-$Y377)^2)+((Graph!$E$36-$Z377)^2))+(Graph!$D$41^2),3/2))</f>
        <v>51.977268958773131</v>
      </c>
      <c r="T377">
        <f>Graph!$D$40*((Graph!$E$36-Z377)/POWER((((Graph!$D$36-$Y377)^2)+((Graph!$E$36-$Z377)^2))+(Graph!$D$41^2),3/2))</f>
        <v>-835.97655482356276</v>
      </c>
      <c r="U377">
        <f>O377+Q377+S377</f>
        <v>1234.8796091731901</v>
      </c>
      <c r="V377">
        <f>P377+R377+T377</f>
        <v>-731.29868011663689</v>
      </c>
      <c r="W377">
        <f>W376+(U376*Graph!$D$5)</f>
        <v>-7021.7812435780506</v>
      </c>
      <c r="X377">
        <f>X376+(V376*Graph!$D$5)</f>
        <v>-1680.976118197173</v>
      </c>
      <c r="Y377">
        <f>Y376+(W376*Graph!$D$5)+(U376*Graph!$D$5^2)</f>
        <v>-1503.7826299494413</v>
      </c>
      <c r="Z377">
        <f>Z376+(X376*Graph!$D$5)+(V376*Graph!$D$5^2)</f>
        <v>9186.0922547848277</v>
      </c>
    </row>
    <row r="378" spans="14:26" x14ac:dyDescent="0.35">
      <c r="N378">
        <f>N377+1</f>
        <v>375</v>
      </c>
      <c r="O378">
        <f>Graph!$D$22*((Graph!$D$18-Y378)/POWER((((Graph!$D$18-$Y378)^2)+((Graph!$E$18-$Z378)^2))+(Graph!$D$23^2),(3/2)))</f>
        <v>1213.0001616050158</v>
      </c>
      <c r="P378" s="84">
        <f>Graph!$D$22*((Graph!$E$18-Z378)/POWER((((Graph!$D$18-$Y378)^2)+((Graph!$E$18-$Z378)^2))+(Graph!$D$23^2),3/2))</f>
        <v>113.09012524099727</v>
      </c>
      <c r="Q378">
        <f>Graph!$D$31*((Graph!$D$27-Y378)/POWER((((Graph!$D$27-$Y378)^2)+((Graph!$E$27-$Z378)^2))+(Graph!$D$32^2),3/2))</f>
        <v>-696.82309985878987</v>
      </c>
      <c r="R378">
        <f>Graph!$D$31*((Graph!$E$27-Z378)/POWER((((Graph!$D$27-$Y378)^2)+((Graph!$E$27-$Z378)^2))+(Graph!$D$32^2),3/2))</f>
        <v>83.70692827782274</v>
      </c>
      <c r="S378">
        <f>Graph!$D$40*((Graph!$D$36-Y378)/POWER((((Graph!$D$36-$Y378)^2)+((Graph!$E$36-$Z378)^2))+(Graph!$D$41^2),3/2))</f>
        <v>174.74547981972268</v>
      </c>
      <c r="T378">
        <f>Graph!$D$40*((Graph!$E$36-Z378)/POWER((((Graph!$D$36-$Y378)^2)+((Graph!$E$36-$Z378)^2))+(Graph!$D$41^2),3/2))</f>
        <v>-860.10011608946468</v>
      </c>
      <c r="U378">
        <f>O378+Q378+S378</f>
        <v>690.92254156594868</v>
      </c>
      <c r="V378">
        <f>P378+R378+T378</f>
        <v>-663.30306257064467</v>
      </c>
      <c r="W378">
        <f>W377+(U377*Graph!$D$5)</f>
        <v>-6404.341438991456</v>
      </c>
      <c r="X378">
        <f>X377+(V377*Graph!$D$5)</f>
        <v>-2046.6254582554916</v>
      </c>
      <c r="Y378">
        <f>Y377+(W377*Graph!$D$5)+(U377*Graph!$D$5^2)</f>
        <v>-4705.9533494451689</v>
      </c>
      <c r="Z378">
        <f>Z377+(X377*Graph!$D$5)+(V377*Graph!$D$5^2)</f>
        <v>8162.7795256570816</v>
      </c>
    </row>
    <row r="379" spans="14:26" x14ac:dyDescent="0.35">
      <c r="N379">
        <f>N378+1</f>
        <v>376</v>
      </c>
      <c r="O379">
        <f>Graph!$D$22*((Graph!$D$18-Y379)/POWER((((Graph!$D$18-$Y379)^2)+((Graph!$E$18-$Z379)^2))+(Graph!$D$23^2),(3/2)))</f>
        <v>920.25111969810803</v>
      </c>
      <c r="P379" s="84">
        <f>Graph!$D$22*((Graph!$E$18-Z379)/POWER((((Graph!$D$18-$Y379)^2)+((Graph!$E$18-$Z379)^2))+(Graph!$D$23^2),3/2))</f>
        <v>122.49668069633044</v>
      </c>
      <c r="Q379">
        <f>Graph!$D$31*((Graph!$D$27-Y379)/POWER((((Graph!$D$27-$Y379)^2)+((Graph!$E$27-$Z379)^2))+(Graph!$D$32^2),3/2))</f>
        <v>-977.91265540463166</v>
      </c>
      <c r="R379">
        <f>Graph!$D$31*((Graph!$E$27-Z379)/POWER((((Graph!$D$27-$Y379)^2)+((Graph!$E$27-$Z379)^2))+(Graph!$D$32^2),3/2))</f>
        <v>241.30531376268414</v>
      </c>
      <c r="S379">
        <f>Graph!$D$40*((Graph!$D$36-Y379)/POWER((((Graph!$D$36-$Y379)^2)+((Graph!$E$36-$Z379)^2))+(Graph!$D$41^2),3/2))</f>
        <v>299.45311750605077</v>
      </c>
      <c r="T379">
        <f>Graph!$D$40*((Graph!$E$36-Z379)/POWER((((Graph!$D$36-$Y379)^2)+((Graph!$E$36-$Z379)^2))+(Graph!$D$41^2),3/2))</f>
        <v>-850.64520197760623</v>
      </c>
      <c r="U379">
        <f>O379+Q379+S379</f>
        <v>241.79158179952714</v>
      </c>
      <c r="V379">
        <f>P379+R379+T379</f>
        <v>-486.84320751859167</v>
      </c>
      <c r="W379">
        <f>W378+(U378*Graph!$D$5)</f>
        <v>-6058.8801682084813</v>
      </c>
      <c r="X379">
        <f>X378+(V378*Graph!$D$5)</f>
        <v>-2378.2769895408137</v>
      </c>
      <c r="Y379">
        <f>Y378+(W378*Graph!$D$5)+(U378*Graph!$D$5^2)</f>
        <v>-7735.3934335494096</v>
      </c>
      <c r="Z379">
        <f>Z378+(X378*Graph!$D$5)+(V378*Graph!$D$5^2)</f>
        <v>6973.6410308866743</v>
      </c>
    </row>
    <row r="380" spans="14:26" x14ac:dyDescent="0.35">
      <c r="N380">
        <f>N379+1</f>
        <v>377</v>
      </c>
      <c r="O380">
        <f>Graph!$D$22*((Graph!$D$18-Y380)/POWER((((Graph!$D$18-$Y380)^2)+((Graph!$E$18-$Z380)^2))+(Graph!$D$23^2),(3/2)))</f>
        <v>719.71334982413885</v>
      </c>
      <c r="P380" s="84">
        <f>Graph!$D$22*((Graph!$E$18-Z380)/POWER((((Graph!$D$18-$Y380)^2)+((Graph!$E$18-$Z380)^2))+(Graph!$D$23^2),3/2))</f>
        <v>121.44023730880677</v>
      </c>
      <c r="Q380">
        <f>Graph!$D$31*((Graph!$D$27-Y380)/POWER((((Graph!$D$27-$Y380)^2)+((Graph!$E$27-$Z380)^2))+(Graph!$D$32^2),3/2))</f>
        <v>-1311.2375396586774</v>
      </c>
      <c r="R380">
        <f>Graph!$D$31*((Graph!$E$27-Z380)/POWER((((Graph!$D$27-$Y380)^2)+((Graph!$E$27-$Z380)^2))+(Graph!$D$32^2),3/2))</f>
        <v>611.80574669397276</v>
      </c>
      <c r="S380">
        <f>Graph!$D$40*((Graph!$D$36-Y380)/POWER((((Graph!$D$36-$Y380)^2)+((Graph!$E$36-$Z380)^2))+(Graph!$D$41^2),3/2))</f>
        <v>415.64297192537242</v>
      </c>
      <c r="T380">
        <f>Graph!$D$40*((Graph!$E$36-Z380)/POWER((((Graph!$D$36-$Y380)^2)+((Graph!$E$36-$Z380)^2))+(Graph!$D$41^2),3/2))</f>
        <v>-802.32013940889783</v>
      </c>
      <c r="U380">
        <f>O380+Q380+S380</f>
        <v>-175.88121790916614</v>
      </c>
      <c r="V380">
        <f>P380+R380+T380</f>
        <v>-69.07415540611828</v>
      </c>
      <c r="W380">
        <f>W379+(U379*Graph!$D$5)</f>
        <v>-5937.9843773087177</v>
      </c>
      <c r="X380">
        <f>X379+(V379*Graph!$D$5)</f>
        <v>-2621.6985933001097</v>
      </c>
      <c r="Y380">
        <f>Y379+(W379*Graph!$D$5)+(U379*Graph!$D$5^2)</f>
        <v>-10704.385622203768</v>
      </c>
      <c r="Z380">
        <f>Z379+(X379*Graph!$D$5)+(V379*Graph!$D$5^2)</f>
        <v>5662.79173423662</v>
      </c>
    </row>
    <row r="381" spans="14:26" x14ac:dyDescent="0.35">
      <c r="N381">
        <f>N380+1</f>
        <v>378</v>
      </c>
      <c r="O381">
        <f>Graph!$D$22*((Graph!$D$18-Y381)/POWER((((Graph!$D$18-$Y381)^2)+((Graph!$E$18-$Z381)^2))+(Graph!$D$23^2),(3/2)))</f>
        <v>574.2501394218084</v>
      </c>
      <c r="P381" s="84">
        <f>Graph!$D$22*((Graph!$E$18-Z381)/POWER((((Graph!$D$18-$Y381)^2)+((Graph!$E$18-$Z381)^2))+(Graph!$D$23^2),3/2))</f>
        <v>113.28742091558604</v>
      </c>
      <c r="Q381">
        <f>Graph!$D$31*((Graph!$D$27-Y381)/POWER((((Graph!$D$27-$Y381)^2)+((Graph!$E$27-$Z381)^2))+(Graph!$D$32^2),3/2))</f>
        <v>-1470.3903323071593</v>
      </c>
      <c r="R381">
        <f>Graph!$D$31*((Graph!$E$27-Z381)/POWER((((Graph!$D$27-$Y381)^2)+((Graph!$E$27-$Z381)^2))+(Graph!$D$32^2),3/2))</f>
        <v>1325.9115548007401</v>
      </c>
      <c r="S381">
        <f>Graph!$D$40*((Graph!$D$36-Y381)/POWER((((Graph!$D$36-$Y381)^2)+((Graph!$E$36-$Z381)^2))+(Graph!$D$41^2),3/2))</f>
        <v>505.02967503677053</v>
      </c>
      <c r="T381">
        <f>Graph!$D$40*((Graph!$E$36-Z381)/POWER((((Graph!$D$36-$Y381)^2)+((Graph!$E$36-$Z381)^2))+(Graph!$D$41^2),3/2))</f>
        <v>-711.84196784389314</v>
      </c>
      <c r="U381">
        <f>O381+Q381+S381</f>
        <v>-391.11051784858034</v>
      </c>
      <c r="V381">
        <f>P381+R381+T381</f>
        <v>727.35700787243286</v>
      </c>
      <c r="W381">
        <f>W380+(U380*Graph!$D$5)</f>
        <v>-6025.9249862633005</v>
      </c>
      <c r="X381">
        <f>X380+(V380*Graph!$D$5)</f>
        <v>-2656.235671003169</v>
      </c>
      <c r="Y381">
        <f>Y380+(W380*Graph!$D$5)+(U380*Graph!$D$5^2)</f>
        <v>-13717.348115335421</v>
      </c>
      <c r="Z381">
        <f>Z380+(X380*Graph!$D$5)+(V380*Graph!$D$5^2)</f>
        <v>4334.6738987350363</v>
      </c>
    </row>
    <row r="382" spans="14:26" x14ac:dyDescent="0.35">
      <c r="N382">
        <f>N381+1</f>
        <v>379</v>
      </c>
      <c r="O382">
        <f>Graph!$D$22*((Graph!$D$18-Y382)/POWER((((Graph!$D$18-$Y382)^2)+((Graph!$E$18-$Z382)^2))+(Graph!$D$23^2),(3/2)))</f>
        <v>466.66990899787629</v>
      </c>
      <c r="P382" s="84">
        <f>Graph!$D$22*((Graph!$E$18-Z382)/POWER((((Graph!$D$18-$Y382)^2)+((Graph!$E$18-$Z382)^2))+(Graph!$D$23^2),3/2))</f>
        <v>99.873134528899726</v>
      </c>
      <c r="Q382">
        <f>Graph!$D$31*((Graph!$D$27-Y382)/POWER((((Graph!$D$27-$Y382)^2)+((Graph!$E$27-$Z382)^2))+(Graph!$D$32^2),3/2))</f>
        <v>-1000.2154597817091</v>
      </c>
      <c r="R382">
        <f>Graph!$D$31*((Graph!$E$27-Z382)/POWER((((Graph!$D$27-$Y382)^2)+((Graph!$E$27-$Z382)^2))+(Graph!$D$32^2),3/2))</f>
        <v>2147.9387898259183</v>
      </c>
      <c r="S382">
        <f>Graph!$D$40*((Graph!$D$36-Y382)/POWER((((Graph!$D$36-$Y382)^2)+((Graph!$E$36-$Z382)^2))+(Graph!$D$41^2),3/2))</f>
        <v>545.48120776114627</v>
      </c>
      <c r="T382">
        <f>Graph!$D$40*((Graph!$E$36-Z382)/POWER((((Graph!$D$36-$Y382)^2)+((Graph!$E$36-$Z382)^2))+(Graph!$D$41^2),3/2))</f>
        <v>-589.57545881006183</v>
      </c>
      <c r="U382">
        <f>O382+Q382+S382</f>
        <v>11.935656977313442</v>
      </c>
      <c r="V382">
        <f>P382+R382+T382</f>
        <v>1658.2364655447564</v>
      </c>
      <c r="W382">
        <f>W381+(U381*Graph!$D$5)</f>
        <v>-6221.4802451875903</v>
      </c>
      <c r="X382">
        <f>X381+(V381*Graph!$D$5)</f>
        <v>-2292.5571670669524</v>
      </c>
      <c r="Y382">
        <f>Y381+(W381*Graph!$D$5)+(U381*Graph!$D$5^2)</f>
        <v>-16828.088237929216</v>
      </c>
      <c r="Z382">
        <f>Z381+(X381*Graph!$D$5)+(V381*Graph!$D$5^2)</f>
        <v>3188.3953152015602</v>
      </c>
    </row>
    <row r="383" spans="14:26" x14ac:dyDescent="0.35">
      <c r="N383">
        <f>N382+1</f>
        <v>380</v>
      </c>
      <c r="O383">
        <f>Graph!$D$22*((Graph!$D$18-Y383)/POWER((((Graph!$D$18-$Y383)^2)+((Graph!$E$18-$Z383)^2))+(Graph!$D$23^2),(3/2)))</f>
        <v>389.17577616663391</v>
      </c>
      <c r="P383" s="84">
        <f>Graph!$D$22*((Graph!$E$18-Z383)/POWER((((Graph!$D$18-$Y383)^2)+((Graph!$E$18-$Z383)^2))+(Graph!$D$23^2),3/2))</f>
        <v>84.030573133110522</v>
      </c>
      <c r="Q383">
        <f>Graph!$D$31*((Graph!$D$27-Y383)/POWER((((Graph!$D$27-$Y383)^2)+((Graph!$E$27-$Z383)^2))+(Graph!$D$32^2),3/2))</f>
        <v>-20.034733304754237</v>
      </c>
      <c r="R383">
        <f>Graph!$D$31*((Graph!$E$27-Z383)/POWER((((Graph!$D$27-$Y383)^2)+((Graph!$E$27-$Z383)^2))+(Graph!$D$32^2),3/2))</f>
        <v>2355.6571309792662</v>
      </c>
      <c r="S383">
        <f>Graph!$D$40*((Graph!$D$36-Y383)/POWER((((Graph!$D$36-$Y383)^2)+((Graph!$E$36-$Z383)^2))+(Graph!$D$41^2),3/2))</f>
        <v>532.32426093660411</v>
      </c>
      <c r="T383">
        <f>Graph!$D$40*((Graph!$E$36-Z383)/POWER((((Graph!$D$36-$Y383)^2)+((Graph!$E$36-$Z383)^2))+(Graph!$D$41^2),3/2))</f>
        <v>-466.12583150246036</v>
      </c>
      <c r="U383">
        <f>O383+Q383+S383</f>
        <v>901.46530379848377</v>
      </c>
      <c r="V383">
        <f>P383+R383+T383</f>
        <v>1973.5618726099162</v>
      </c>
      <c r="W383">
        <f>W382+(U382*Graph!$D$5)</f>
        <v>-6215.5124166989335</v>
      </c>
      <c r="X383">
        <f>X382+(V382*Graph!$D$5)</f>
        <v>-1463.4389342945742</v>
      </c>
      <c r="Y383">
        <f>Y382+(W382*Graph!$D$5)+(U382*Graph!$D$5^2)</f>
        <v>-19935.844446278683</v>
      </c>
      <c r="Z383">
        <f>Z382+(X382*Graph!$D$5)+(V382*Graph!$D$5^2)</f>
        <v>2456.675848054273</v>
      </c>
    </row>
    <row r="384" spans="14:26" x14ac:dyDescent="0.35">
      <c r="N384">
        <f>N383+1</f>
        <v>381</v>
      </c>
      <c r="O384">
        <f>Graph!$D$22*((Graph!$D$18-Y384)/POWER((((Graph!$D$18-$Y384)^2)+((Graph!$E$18-$Z384)^2))+(Graph!$D$23^2),(3/2)))</f>
        <v>335.54334674747668</v>
      </c>
      <c r="P384" s="84">
        <f>Graph!$D$22*((Graph!$E$18-Z384)/POWER((((Graph!$D$18-$Y384)^2)+((Graph!$E$18-$Z384)^2))+(Graph!$D$23^2),3/2))</f>
        <v>69.042936240801282</v>
      </c>
      <c r="Q384">
        <f>Graph!$D$31*((Graph!$D$27-Y384)/POWER((((Graph!$D$27-$Y384)^2)+((Graph!$E$27-$Z384)^2))+(Graph!$D$32^2),3/2))</f>
        <v>697.56344578155347</v>
      </c>
      <c r="R384">
        <f>Graph!$D$31*((Graph!$E$27-Z384)/POWER((((Graph!$D$27-$Y384)^2)+((Graph!$E$27-$Z384)^2))+(Graph!$D$32^2),3/2))</f>
        <v>1926.0984548407816</v>
      </c>
      <c r="S384">
        <f>Graph!$D$40*((Graph!$D$36-Y384)/POWER((((Graph!$D$36-$Y384)^2)+((Graph!$E$36-$Z384)^2))+(Graph!$D$41^2),3/2))</f>
        <v>488.8793261669814</v>
      </c>
      <c r="T384">
        <f>Graph!$D$40*((Graph!$E$36-Z384)/POWER((((Graph!$D$36-$Y384)^2)+((Graph!$E$36-$Z384)^2))+(Graph!$D$41^2),3/2))</f>
        <v>-368.90206683073592</v>
      </c>
      <c r="U384">
        <f>O384+Q384+S384</f>
        <v>1521.9861186960115</v>
      </c>
      <c r="V384">
        <f>P384+R384+T384</f>
        <v>1626.2393242508469</v>
      </c>
      <c r="W384">
        <f>W383+(U383*Graph!$D$5)</f>
        <v>-5764.7797647996913</v>
      </c>
      <c r="X384">
        <f>X383+(V383*Graph!$D$5)</f>
        <v>-476.65799798961609</v>
      </c>
      <c r="Y384">
        <f>Y383+(W383*Graph!$D$5)+(U383*Graph!$D$5^2)</f>
        <v>-22818.234328678529</v>
      </c>
      <c r="Z384">
        <f>Z383+(X383*Graph!$D$5)+(V383*Graph!$D$5^2)</f>
        <v>2218.3468490594651</v>
      </c>
    </row>
    <row r="385" spans="14:26" x14ac:dyDescent="0.35">
      <c r="N385">
        <f>N384+1</f>
        <v>382</v>
      </c>
      <c r="O385">
        <f>Graph!$D$22*((Graph!$D$18-Y385)/POWER((((Graph!$D$18-$Y385)^2)+((Graph!$E$18-$Z385)^2))+(Graph!$D$23^2),(3/2)))</f>
        <v>298.90322473110962</v>
      </c>
      <c r="P385" s="84">
        <f>Graph!$D$22*((Graph!$E$18-Z385)/POWER((((Graph!$D$18-$Y385)^2)+((Graph!$E$18-$Z385)^2))+(Graph!$D$23^2),3/2))</f>
        <v>56.440210217895029</v>
      </c>
      <c r="Q385">
        <f>Graph!$D$31*((Graph!$D$27-Y385)/POWER((((Graph!$D$27-$Y385)^2)+((Graph!$E$27-$Z385)^2))+(Graph!$D$32^2),3/2))</f>
        <v>977.10603503563595</v>
      </c>
      <c r="R385">
        <f>Graph!$D$31*((Graph!$E$27-Z385)/POWER((((Graph!$D$27-$Y385)^2)+((Graph!$E$27-$Z385)^2))+(Graph!$D$32^2),3/2))</f>
        <v>1398.2974358017138</v>
      </c>
      <c r="S385">
        <f>Graph!$D$40*((Graph!$D$36-Y385)/POWER((((Graph!$D$36-$Y385)^2)+((Graph!$E$36-$Z385)^2))+(Graph!$D$41^2),3/2))</f>
        <v>439.92741951535993</v>
      </c>
      <c r="T385">
        <f>Graph!$D$40*((Graph!$E$36-Z385)/POWER((((Graph!$D$36-$Y385)^2)+((Graph!$E$36-$Z385)^2))+(Graph!$D$41^2),3/2))</f>
        <v>-302.08505856308039</v>
      </c>
      <c r="U385">
        <f>O385+Q385+S385</f>
        <v>1715.9366792821056</v>
      </c>
      <c r="V385">
        <f>P385+R385+T385</f>
        <v>1152.6525874565286</v>
      </c>
      <c r="W385">
        <f>W384+(U384*Graph!$D$5)</f>
        <v>-5003.7867054516855</v>
      </c>
      <c r="X385">
        <f>X384+(V384*Graph!$D$5)</f>
        <v>336.46166413580738</v>
      </c>
      <c r="Y385">
        <f>Y384+(W384*Graph!$D$5)+(U384*Graph!$D$5^2)</f>
        <v>-25320.127681404374</v>
      </c>
      <c r="Z385">
        <f>Z384+(X384*Graph!$D$5)+(V384*Graph!$D$5^2)</f>
        <v>2386.577681127369</v>
      </c>
    </row>
    <row r="386" spans="14:26" x14ac:dyDescent="0.35">
      <c r="N386">
        <f>N385+1</f>
        <v>383</v>
      </c>
      <c r="O386">
        <f>Graph!$D$22*((Graph!$D$18-Y386)/POWER((((Graph!$D$18-$Y386)^2)+((Graph!$E$18-$Z386)^2))+(Graph!$D$23^2),(3/2)))</f>
        <v>273.74736046137116</v>
      </c>
      <c r="P386" s="84">
        <f>Graph!$D$22*((Graph!$E$18-Z386)/POWER((((Graph!$D$18-$Y386)^2)+((Graph!$E$18-$Z386)^2))+(Graph!$D$23^2),3/2))</f>
        <v>46.215552404914263</v>
      </c>
      <c r="Q386">
        <f>Graph!$D$31*((Graph!$D$27-Y386)/POWER((((Graph!$D$27-$Y386)^2)+((Graph!$E$27-$Z386)^2))+(Graph!$D$32^2),3/2))</f>
        <v>1034.1297672454152</v>
      </c>
      <c r="R386">
        <f>Graph!$D$31*((Graph!$E$27-Z386)/POWER((((Graph!$D$27-$Y386)^2)+((Graph!$E$27-$Z386)^2))+(Graph!$D$32^2),3/2))</f>
        <v>1001.1171575623804</v>
      </c>
      <c r="S386">
        <f>Graph!$D$40*((Graph!$D$36-Y386)/POWER((((Graph!$D$36-$Y386)^2)+((Graph!$E$36-$Z386)^2))+(Graph!$D$41^2),3/2))</f>
        <v>396.51684497153752</v>
      </c>
      <c r="T386">
        <f>Graph!$D$40*((Graph!$E$36-Z386)/POWER((((Graph!$D$36-$Y386)^2)+((Graph!$E$36-$Z386)^2))+(Graph!$D$41^2),3/2))</f>
        <v>-258.27873202263891</v>
      </c>
      <c r="U386">
        <f>O386+Q386+S386</f>
        <v>1704.3939726783237</v>
      </c>
      <c r="V386">
        <f>P386+R386+T386</f>
        <v>789.0539779446558</v>
      </c>
      <c r="W386">
        <f>W385+(U385*Graph!$D$5)</f>
        <v>-4145.8183658106327</v>
      </c>
      <c r="X386">
        <f>X385+(V385*Graph!$D$5)</f>
        <v>912.7879578640717</v>
      </c>
      <c r="Y386">
        <f>Y385+(W385*Graph!$D$5)+(U385*Graph!$D$5^2)</f>
        <v>-27393.036864309688</v>
      </c>
      <c r="Z386">
        <f>Z385+(X385*Graph!$D$5)+(V385*Graph!$D$5^2)</f>
        <v>2842.9716600594047</v>
      </c>
    </row>
    <row r="387" spans="14:26" x14ac:dyDescent="0.35">
      <c r="N387">
        <f>N386+1</f>
        <v>384</v>
      </c>
      <c r="O387">
        <f>Graph!$D$22*((Graph!$D$18-Y387)/POWER((((Graph!$D$18-$Y387)^2)+((Graph!$E$18-$Z387)^2))+(Graph!$D$23^2),(3/2)))</f>
        <v>256.50015968735374</v>
      </c>
      <c r="P387" s="84">
        <f>Graph!$D$22*((Graph!$E$18-Z387)/POWER((((Graph!$D$18-$Y387)^2)+((Graph!$E$18-$Z387)^2))+(Graph!$D$23^2),3/2))</f>
        <v>37.877416894369986</v>
      </c>
      <c r="Q387">
        <f>Graph!$D$31*((Graph!$D$27-Y387)/POWER((((Graph!$D$27-$Y387)^2)+((Graph!$E$27-$Z387)^2))+(Graph!$D$32^2),3/2))</f>
        <v>1020.6773481659153</v>
      </c>
      <c r="R387">
        <f>Graph!$D$31*((Graph!$E$27-Z387)/POWER((((Graph!$D$27-$Y387)^2)+((Graph!$E$27-$Z387)^2))+(Graph!$D$32^2),3/2))</f>
        <v>734.2870873094588</v>
      </c>
      <c r="S387">
        <f>Graph!$D$40*((Graph!$D$36-Y387)/POWER((((Graph!$D$36-$Y387)^2)+((Graph!$E$36-$Z387)^2))+(Graph!$D$41^2),3/2))</f>
        <v>361.05977865646042</v>
      </c>
      <c r="T387">
        <f>Graph!$D$40*((Graph!$E$36-Z387)/POWER((((Graph!$D$36-$Y387)^2)+((Graph!$E$36-$Z387)^2))+(Graph!$D$41^2),3/2))</f>
        <v>-229.97327408124502</v>
      </c>
      <c r="U387">
        <f>O387+Q387+S387</f>
        <v>1638.2372865097295</v>
      </c>
      <c r="V387">
        <f>P387+R387+T387</f>
        <v>542.19123012258376</v>
      </c>
      <c r="W387">
        <f>W386+(U386*Graph!$D$5)</f>
        <v>-3293.6213794714708</v>
      </c>
      <c r="X387">
        <f>X386+(V386*Graph!$D$5)</f>
        <v>1307.3149468363995</v>
      </c>
      <c r="Y387">
        <f>Y386+(W386*Graph!$D$5)+(U386*Graph!$D$5^2)</f>
        <v>-29039.847554045424</v>
      </c>
      <c r="Z387">
        <f>Z386+(X386*Graph!$D$5)+(V386*Graph!$D$5^2)</f>
        <v>3496.6291334776042</v>
      </c>
    </row>
    <row r="388" spans="14:26" x14ac:dyDescent="0.35">
      <c r="N388">
        <f>N387+1</f>
        <v>385</v>
      </c>
      <c r="O388">
        <f>Graph!$D$22*((Graph!$D$18-Y388)/POWER((((Graph!$D$18-$Y388)^2)+((Graph!$E$18-$Z388)^2))+(Graph!$D$23^2),(3/2)))</f>
        <v>245.00452466292376</v>
      </c>
      <c r="P388" s="84">
        <f>Graph!$D$22*((Graph!$E$18-Z388)/POWER((((Graph!$D$18-$Y388)^2)+((Graph!$E$18-$Z388)^2))+(Graph!$D$23^2),3/2))</f>
        <v>30.920629997644966</v>
      </c>
      <c r="Q388">
        <f>Graph!$D$31*((Graph!$D$27-Y388)/POWER((((Graph!$D$27-$Y388)^2)+((Graph!$E$27-$Z388)^2))+(Graph!$D$32^2),3/2))</f>
        <v>999.47057919786175</v>
      </c>
      <c r="R388">
        <f>Graph!$D$31*((Graph!$E$27-Z388)/POWER((((Graph!$D$27-$Y388)^2)+((Graph!$E$27-$Z388)^2))+(Graph!$D$32^2),3/2))</f>
        <v>555.7152296291049</v>
      </c>
      <c r="S388">
        <f>Graph!$D$40*((Graph!$D$36-Y388)/POWER((((Graph!$D$36-$Y388)^2)+((Graph!$E$36-$Z388)^2))+(Graph!$D$41^2),3/2))</f>
        <v>332.96247943375795</v>
      </c>
      <c r="T388">
        <f>Graph!$D$40*((Graph!$E$36-Z388)/POWER((((Graph!$D$36-$Y388)^2)+((Graph!$E$36-$Z388)^2))+(Graph!$D$41^2),3/2))</f>
        <v>-212.08964772637947</v>
      </c>
      <c r="U388">
        <f>O388+Q388+S388</f>
        <v>1577.4375832945434</v>
      </c>
      <c r="V388">
        <f>P388+R388+T388</f>
        <v>374.54621190037039</v>
      </c>
      <c r="W388">
        <f>W387+(U387*Graph!$D$5)</f>
        <v>-2474.5027362166061</v>
      </c>
      <c r="X388">
        <f>X387+(V387*Graph!$D$5)</f>
        <v>1578.4105618976914</v>
      </c>
      <c r="Y388">
        <f>Y387+(W387*Graph!$D$5)+(U387*Graph!$D$5^2)</f>
        <v>-30277.098922153727</v>
      </c>
      <c r="Z388">
        <f>Z387+(X387*Graph!$D$5)+(V387*Graph!$D$5^2)</f>
        <v>4285.8344144264493</v>
      </c>
    </row>
    <row r="389" spans="14:26" x14ac:dyDescent="0.35">
      <c r="N389">
        <f>N388+1</f>
        <v>386</v>
      </c>
      <c r="O389">
        <f>Graph!$D$22*((Graph!$D$18-Y389)/POWER((((Graph!$D$18-$Y389)^2)+((Graph!$E$18-$Z389)^2))+(Graph!$D$23^2),(3/2)))</f>
        <v>238.00198079701639</v>
      </c>
      <c r="P389" s="84">
        <f>Graph!$D$22*((Graph!$E$18-Z389)/POWER((((Graph!$D$18-$Y389)^2)+((Graph!$E$18-$Z389)^2))+(Graph!$D$23^2),3/2))</f>
        <v>24.932021894716858</v>
      </c>
      <c r="Q389">
        <f>Graph!$D$31*((Graph!$D$27-Y389)/POWER((((Graph!$D$27-$Y389)^2)+((Graph!$E$27-$Z389)^2))+(Graph!$D$32^2),3/2))</f>
        <v>993.79049567423021</v>
      </c>
      <c r="R389">
        <f>Graph!$D$31*((Graph!$E$27-Z389)/POWER((((Graph!$D$27-$Y389)^2)+((Graph!$E$27-$Z389)^2))+(Graph!$D$32^2),3/2))</f>
        <v>431.77406092264931</v>
      </c>
      <c r="S389">
        <f>Graph!$D$40*((Graph!$D$36-Y389)/POWER((((Graph!$D$36-$Y389)^2)+((Graph!$E$36-$Z389)^2))+(Graph!$D$41^2),3/2))</f>
        <v>310.9849168334199</v>
      </c>
      <c r="T389">
        <f>Graph!$D$40*((Graph!$E$36-Z389)/POWER((((Graph!$D$36-$Y389)^2)+((Graph!$E$36-$Z389)^2))+(Graph!$D$41^2),3/2))</f>
        <v>-201.54742740796704</v>
      </c>
      <c r="U389">
        <f>O389+Q389+S389</f>
        <v>1542.7773933046665</v>
      </c>
      <c r="V389">
        <f>P389+R389+T389</f>
        <v>255.15865540939913</v>
      </c>
      <c r="W389">
        <f>W388+(U388*Graph!$D$5)</f>
        <v>-1685.7839445693344</v>
      </c>
      <c r="X389">
        <f>X388+(V388*Graph!$D$5)</f>
        <v>1765.6836678478767</v>
      </c>
      <c r="Y389">
        <f>Y388+(W388*Graph!$D$5)+(U388*Graph!$D$5^2)</f>
        <v>-31119.990894438397</v>
      </c>
      <c r="Z389">
        <f>Z388+(X388*Graph!$D$5)+(V388*Graph!$D$5^2)</f>
        <v>5168.6762483503881</v>
      </c>
    </row>
    <row r="390" spans="14:26" x14ac:dyDescent="0.35">
      <c r="N390">
        <f>N389+1</f>
        <v>387</v>
      </c>
      <c r="O390">
        <f>Graph!$D$22*((Graph!$D$18-Y390)/POWER((((Graph!$D$18-$Y390)^2)+((Graph!$E$18-$Z390)^2))+(Graph!$D$23^2),(3/2)))</f>
        <v>234.81369208724652</v>
      </c>
      <c r="P390" s="84">
        <f>Graph!$D$22*((Graph!$E$18-Z390)/POWER((((Graph!$D$18-$Y390)^2)+((Graph!$E$18-$Z390)^2))+(Graph!$D$23^2),3/2))</f>
        <v>19.584241981338852</v>
      </c>
      <c r="Q390">
        <f>Graph!$D$31*((Graph!$D$27-Y390)/POWER((((Graph!$D$27-$Y390)^2)+((Graph!$E$27-$Z390)^2))+(Graph!$D$32^2),3/2))</f>
        <v>1014.26878273385</v>
      </c>
      <c r="R390">
        <f>Graph!$D$31*((Graph!$E$27-Z390)/POWER((((Graph!$D$27-$Y390)^2)+((Graph!$E$27-$Z390)^2))+(Graph!$D$32^2),3/2))</f>
        <v>340.33496797349426</v>
      </c>
      <c r="S390">
        <f>Graph!$D$40*((Graph!$D$36-Y390)/POWER((((Graph!$D$36-$Y390)^2)+((Graph!$E$36-$Z390)^2))+(Graph!$D$41^2),3/2))</f>
        <v>293.96394578120373</v>
      </c>
      <c r="T390">
        <f>Graph!$D$40*((Graph!$E$36-Z390)/POWER((((Graph!$D$36-$Y390)^2)+((Graph!$E$36-$Z390)^2))+(Graph!$D$41^2),3/2))</f>
        <v>-196.5703557750092</v>
      </c>
      <c r="U390">
        <f>O390+Q390+S390</f>
        <v>1543.0464206023003</v>
      </c>
      <c r="V390">
        <f>P390+R390+T390</f>
        <v>163.34885417982389</v>
      </c>
      <c r="W390">
        <f>W389+(U389*Graph!$D$5)</f>
        <v>-914.39524791700114</v>
      </c>
      <c r="X390">
        <f>X389+(V389*Graph!$D$5)</f>
        <v>1893.2629955525763</v>
      </c>
      <c r="Y390">
        <f>Y389+(W389*Graph!$D$5)+(U389*Graph!$D$5^2)</f>
        <v>-31577.188518396895</v>
      </c>
      <c r="Z390">
        <f>Z389+(X389*Graph!$D$5)+(V389*Graph!$D$5^2)</f>
        <v>6115.3077461266757</v>
      </c>
    </row>
    <row r="391" spans="14:26" x14ac:dyDescent="0.35">
      <c r="N391">
        <f>N390+1</f>
        <v>388</v>
      </c>
      <c r="O391">
        <f>Graph!$D$22*((Graph!$D$18-Y391)/POWER((((Graph!$D$18-$Y391)^2)+((Graph!$E$18-$Z391)^2))+(Graph!$D$23^2),(3/2)))</f>
        <v>235.17977584688063</v>
      </c>
      <c r="P391" s="84">
        <f>Graph!$D$22*((Graph!$E$18-Z391)/POWER((((Graph!$D$18-$Y391)^2)+((Graph!$E$18-$Z391)^2))+(Graph!$D$23^2),3/2))</f>
        <v>14.606398153760679</v>
      </c>
      <c r="Q391">
        <f>Graph!$D$31*((Graph!$D$27-Y391)/POWER((((Graph!$D$27-$Y391)^2)+((Graph!$E$27-$Z391)^2))+(Graph!$D$32^2),3/2))</f>
        <v>1070.251236589409</v>
      </c>
      <c r="R391">
        <f>Graph!$D$31*((Graph!$E$27-Z391)/POWER((((Graph!$D$27-$Y391)^2)+((Graph!$E$27-$Z391)^2))+(Graph!$D$32^2),3/2))</f>
        <v>266.1908338781742</v>
      </c>
      <c r="S391">
        <f>Graph!$D$40*((Graph!$D$36-Y391)/POWER((((Graph!$D$36-$Y391)^2)+((Graph!$E$36-$Z391)^2))+(Graph!$D$41^2),3/2))</f>
        <v>280.97146011919909</v>
      </c>
      <c r="T391">
        <f>Graph!$D$40*((Graph!$E$36-Z391)/POWER((((Graph!$D$36-$Y391)^2)+((Graph!$E$36-$Z391)^2))+(Graph!$D$41^2),3/2))</f>
        <v>-196.22493756835738</v>
      </c>
      <c r="U391">
        <f>O391+Q391+S391</f>
        <v>1586.4024725554887</v>
      </c>
      <c r="V391">
        <f>P391+R391+T391</f>
        <v>84.572294463577492</v>
      </c>
      <c r="W391">
        <f>W390+(U390*Graph!$D$5)</f>
        <v>-142.87203761585101</v>
      </c>
      <c r="X391">
        <f>X390+(V390*Graph!$D$5)</f>
        <v>1974.9374226424882</v>
      </c>
      <c r="Y391">
        <f>Y390+(W390*Graph!$D$5)+(U390*Graph!$D$5^2)</f>
        <v>-31648.624537204822</v>
      </c>
      <c r="Z391">
        <f>Z390+(X390*Graph!$D$5)+(V390*Graph!$D$5^2)</f>
        <v>7102.7764574479197</v>
      </c>
    </row>
    <row r="392" spans="14:26" x14ac:dyDescent="0.35">
      <c r="N392">
        <f>N391+1</f>
        <v>389</v>
      </c>
      <c r="O392">
        <f>Graph!$D$22*((Graph!$D$18-Y392)/POWER((((Graph!$D$18-$Y392)^2)+((Graph!$E$18-$Z392)^2))+(Graph!$D$23^2),(3/2)))</f>
        <v>239.21120929577486</v>
      </c>
      <c r="P392" s="84">
        <f>Graph!$D$22*((Graph!$E$18-Z392)/POWER((((Graph!$D$18-$Y392)^2)+((Graph!$E$18-$Z392)^2))+(Graph!$D$23^2),3/2))</f>
        <v>9.7526631869723079</v>
      </c>
      <c r="Q392">
        <f>Graph!$D$31*((Graph!$D$27-Y392)/POWER((((Graph!$D$27-$Y392)^2)+((Graph!$E$27-$Z392)^2))+(Graph!$D$32^2),3/2))</f>
        <v>1176.4082964715997</v>
      </c>
      <c r="R392">
        <f>Graph!$D$31*((Graph!$E$27-Z392)/POWER((((Graph!$D$27-$Y392)^2)+((Graph!$E$27-$Z392)^2))+(Graph!$D$32^2),3/2))</f>
        <v>196.21021778341671</v>
      </c>
      <c r="S392">
        <f>Graph!$D$40*((Graph!$D$36-Y392)/POWER((((Graph!$D$36-$Y392)^2)+((Graph!$E$36-$Z392)^2))+(Graph!$D$41^2),3/2))</f>
        <v>271.30782412606897</v>
      </c>
      <c r="T392">
        <f>Graph!$D$40*((Graph!$E$36-Z392)/POWER((((Graph!$D$36-$Y392)^2)+((Graph!$E$36-$Z392)^2))+(Graph!$D$41^2),3/2))</f>
        <v>-200.17905011166241</v>
      </c>
      <c r="U392">
        <f>O392+Q392+S392</f>
        <v>1686.9273298934434</v>
      </c>
      <c r="V392">
        <f>P392+R392+T392</f>
        <v>5.783830858726617</v>
      </c>
      <c r="W392">
        <f>W391+(U391*Graph!$D$5)</f>
        <v>650.32919866189332</v>
      </c>
      <c r="X392">
        <f>X391+(V391*Graph!$D$5)</f>
        <v>2017.223569874277</v>
      </c>
      <c r="Y392">
        <f>Y391+(W391*Graph!$D$5)+(U391*Graph!$D$5^2)</f>
        <v>-31323.459937873875</v>
      </c>
      <c r="Z392">
        <f>Z391+(X391*Graph!$D$5)+(V391*Graph!$D$5^2)</f>
        <v>8111.3882423850582</v>
      </c>
    </row>
    <row r="393" spans="14:26" x14ac:dyDescent="0.35">
      <c r="N393">
        <f>N392+1</f>
        <v>390</v>
      </c>
      <c r="O393">
        <f>Graph!$D$22*((Graph!$D$18-Y393)/POWER((((Graph!$D$18-$Y393)^2)+((Graph!$E$18-$Z393)^2))+(Graph!$D$23^2),(3/2)))</f>
        <v>247.44736800420279</v>
      </c>
      <c r="P393" s="84">
        <f>Graph!$D$22*((Graph!$E$18-Z393)/POWER((((Graph!$D$18-$Y393)^2)+((Graph!$E$18-$Z393)^2))+(Graph!$D$23^2),3/2))</f>
        <v>4.7699050110085324</v>
      </c>
      <c r="Q393">
        <f>Graph!$D$31*((Graph!$D$27-Y393)/POWER((((Graph!$D$27-$Y393)^2)+((Graph!$E$27-$Z393)^2))+(Graph!$D$32^2),3/2))</f>
        <v>1361.0341526502154</v>
      </c>
      <c r="R393">
        <f>Graph!$D$31*((Graph!$E$27-Z393)/POWER((((Graph!$D$27-$Y393)^2)+((Graph!$E$27-$Z393)^2))+(Graph!$D$32^2),3/2))</f>
        <v>113.05581615678659</v>
      </c>
      <c r="S393">
        <f>Graph!$D$40*((Graph!$D$36-Y393)/POWER((((Graph!$D$36-$Y393)^2)+((Graph!$E$36-$Z393)^2))+(Graph!$D$41^2),3/2))</f>
        <v>264.45863003703664</v>
      </c>
      <c r="T393">
        <f>Graph!$D$40*((Graph!$E$36-Z393)/POWER((((Graph!$D$36-$Y393)^2)+((Graph!$E$36-$Z393)^2))+(Graph!$D$41^2),3/2))</f>
        <v>-208.62791066919436</v>
      </c>
      <c r="U393">
        <f>O393+Q393+S393</f>
        <v>1872.9401506914551</v>
      </c>
      <c r="V393">
        <f>P393+R393+T393</f>
        <v>-90.802189501399241</v>
      </c>
      <c r="W393">
        <f>W392+(U392*Graph!$D$5)</f>
        <v>1493.7928636086149</v>
      </c>
      <c r="X393">
        <f>X392+(V392*Graph!$D$5)</f>
        <v>2020.1154853036403</v>
      </c>
      <c r="Y393">
        <f>Y392+(W392*Graph!$D$5)+(U392*Graph!$D$5^2)</f>
        <v>-30576.563506069568</v>
      </c>
      <c r="Z393">
        <f>Z392+(X392*Graph!$D$5)+(V392*Graph!$D$5^2)</f>
        <v>9121.4459850368767</v>
      </c>
    </row>
    <row r="394" spans="14:26" x14ac:dyDescent="0.35">
      <c r="N394">
        <f>N393+1</f>
        <v>391</v>
      </c>
      <c r="O394">
        <f>Graph!$D$22*((Graph!$D$18-Y394)/POWER((((Graph!$D$18-$Y394)^2)+((Graph!$E$18-$Z394)^2))+(Graph!$D$23^2),(3/2)))</f>
        <v>261.07186303506853</v>
      </c>
      <c r="P394" s="84">
        <f>Graph!$D$22*((Graph!$E$18-Z394)/POWER((((Graph!$D$18-$Y394)^2)+((Graph!$E$18-$Z394)^2))+(Graph!$D$23^2),3/2))</f>
        <v>-0.64031857594486086</v>
      </c>
      <c r="Q394">
        <f>Graph!$D$31*((Graph!$D$27-Y394)/POWER((((Graph!$D$27-$Y394)^2)+((Graph!$E$27-$Z394)^2))+(Graph!$D$32^2),3/2))</f>
        <v>1683.8299272095855</v>
      </c>
      <c r="R394">
        <f>Graph!$D$31*((Graph!$E$27-Z394)/POWER((((Graph!$D$27-$Y394)^2)+((Graph!$E$27-$Z394)^2))+(Graph!$D$32^2),3/2))</f>
        <v>-19.570301901575263</v>
      </c>
      <c r="S394">
        <f>Graph!$D$40*((Graph!$D$36-Y394)/POWER((((Graph!$D$36-$Y394)^2)+((Graph!$E$36-$Z394)^2))+(Graph!$D$41^2),3/2))</f>
        <v>260.05379332191166</v>
      </c>
      <c r="T394">
        <f>Graph!$D$40*((Graph!$E$36-Z394)/POWER((((Graph!$D$36-$Y394)^2)+((Graph!$E$36-$Z394)^2))+(Graph!$D$41^2),3/2))</f>
        <v>-222.38831895787794</v>
      </c>
      <c r="U394">
        <f>O394+Q394+S394</f>
        <v>2204.9555835665656</v>
      </c>
      <c r="V394">
        <f>P394+R394+T394</f>
        <v>-242.59893943539805</v>
      </c>
      <c r="W394">
        <f>W393+(U393*Graph!$D$5)</f>
        <v>2430.2629389543426</v>
      </c>
      <c r="X394">
        <f>X393+(V393*Graph!$D$5)</f>
        <v>1974.7143905529406</v>
      </c>
      <c r="Y394">
        <f>Y393+(W393*Graph!$D$5)+(U393*Graph!$D$5^2)</f>
        <v>-29361.432036592396</v>
      </c>
      <c r="Z394">
        <f>Z393+(X393*Graph!$D$5)+(V393*Graph!$D$5^2)</f>
        <v>10108.803180313345</v>
      </c>
    </row>
    <row r="395" spans="14:26" x14ac:dyDescent="0.35">
      <c r="N395">
        <f>N394+1</f>
        <v>392</v>
      </c>
      <c r="O395">
        <f>Graph!$D$22*((Graph!$D$18-Y395)/POWER((((Graph!$D$18-$Y395)^2)+((Graph!$E$18-$Z395)^2))+(Graph!$D$23^2),(3/2)))</f>
        <v>282.47853003084015</v>
      </c>
      <c r="P395" s="84">
        <f>Graph!$D$22*((Graph!$E$18-Z395)/POWER((((Graph!$D$18-$Y395)^2)+((Graph!$E$18-$Z395)^2))+(Graph!$D$23^2),3/2))</f>
        <v>-6.8672168121918897</v>
      </c>
      <c r="Q395">
        <f>Graph!$D$31*((Graph!$D$27-Y395)/POWER((((Graph!$D$27-$Y395)^2)+((Graph!$E$27-$Z395)^2))+(Graph!$D$32^2),3/2))</f>
        <v>2279.6599067829716</v>
      </c>
      <c r="R395">
        <f>Graph!$D$31*((Graph!$E$27-Z395)/POWER((((Graph!$D$27-$Y395)^2)+((Graph!$E$27-$Z395)^2))+(Graph!$D$32^2),3/2))</f>
        <v>-310.80881142354576</v>
      </c>
      <c r="S395">
        <f>Graph!$D$40*((Graph!$D$36-Y395)/POWER((((Graph!$D$36-$Y395)^2)+((Graph!$E$36-$Z395)^2))+(Graph!$D$41^2),3/2))</f>
        <v>257.85123684373326</v>
      </c>
      <c r="T395">
        <f>Graph!$D$40*((Graph!$E$36-Z395)/POWER((((Graph!$D$36-$Y395)^2)+((Graph!$E$36-$Z395)^2))+(Graph!$D$41^2),3/2))</f>
        <v>-243.27862356514842</v>
      </c>
      <c r="U395">
        <f>O395+Q395+S395</f>
        <v>2819.9896736575447</v>
      </c>
      <c r="V395">
        <f>P395+R395+T395</f>
        <v>-560.95465180088604</v>
      </c>
      <c r="W395">
        <f>W394+(U394*Graph!$D$5)</f>
        <v>3532.7407307376252</v>
      </c>
      <c r="X395">
        <f>X394+(V394*Graph!$D$5)</f>
        <v>1853.4149208352414</v>
      </c>
      <c r="Y395">
        <f>Y394+(W394*Graph!$D$5)+(U394*Graph!$D$5^2)</f>
        <v>-27595.061671223582</v>
      </c>
      <c r="Z395">
        <f>Z394+(X394*Graph!$D$5)+(V394*Graph!$D$5^2)</f>
        <v>11035.510640730967</v>
      </c>
    </row>
    <row r="396" spans="14:26" x14ac:dyDescent="0.35">
      <c r="N396">
        <f>N395+1</f>
        <v>393</v>
      </c>
      <c r="O396">
        <f>Graph!$D$22*((Graph!$D$18-Y396)/POWER((((Graph!$D$18-$Y396)^2)+((Graph!$E$18-$Z396)^2))+(Graph!$D$23^2),(3/2)))</f>
        <v>316.83784564964839</v>
      </c>
      <c r="P396" s="84">
        <f>Graph!$D$22*((Graph!$E$18-Z396)/POWER((((Graph!$D$18-$Y396)^2)+((Graph!$E$18-$Z396)^2))+(Graph!$D$23^2),3/2))</f>
        <v>-14.387310441460281</v>
      </c>
      <c r="Q396">
        <f>Graph!$D$31*((Graph!$D$27-Y396)/POWER((((Graph!$D$27-$Y396)^2)+((Graph!$E$27-$Z396)^2))+(Graph!$D$32^2),3/2))</f>
        <v>3402.2881038255755</v>
      </c>
      <c r="R396">
        <f>Graph!$D$31*((Graph!$E$27-Z396)/POWER((((Graph!$D$27-$Y396)^2)+((Graph!$E$27-$Z396)^2))+(Graph!$D$32^2),3/2))</f>
        <v>-1209.8495937066725</v>
      </c>
      <c r="S396">
        <f>Graph!$D$40*((Graph!$D$36-Y396)/POWER((((Graph!$D$36-$Y396)^2)+((Graph!$E$36-$Z396)^2))+(Graph!$D$41^2),3/2))</f>
        <v>257.83096143476689</v>
      </c>
      <c r="T396">
        <f>Graph!$D$40*((Graph!$E$36-Z396)/POWER((((Graph!$D$36-$Y396)^2)+((Graph!$E$36-$Z396)^2))+(Graph!$D$41^2),3/2))</f>
        <v>-275.25955287933942</v>
      </c>
      <c r="U396">
        <f>O396+Q396+S396</f>
        <v>3976.9569109099907</v>
      </c>
      <c r="V396">
        <f>P396+R396+T396</f>
        <v>-1499.4964570274724</v>
      </c>
      <c r="W396">
        <f>W395+(U395*Graph!$D$5)</f>
        <v>4942.7355675663975</v>
      </c>
      <c r="X396">
        <f>X395+(V395*Graph!$D$5)</f>
        <v>1572.9375949347984</v>
      </c>
      <c r="Y396">
        <f>Y395+(W395*Graph!$D$5)+(U395*Graph!$D$5^2)</f>
        <v>-25123.693887440382</v>
      </c>
      <c r="Z396">
        <f>Z395+(X395*Graph!$D$5)+(V395*Graph!$D$5^2)</f>
        <v>11821.979438198367</v>
      </c>
    </row>
    <row r="397" spans="14:26" x14ac:dyDescent="0.35">
      <c r="N397">
        <f>N396+1</f>
        <v>394</v>
      </c>
      <c r="O397">
        <f>Graph!$D$22*((Graph!$D$18-Y397)/POWER((((Graph!$D$18-$Y397)^2)+((Graph!$E$18-$Z397)^2))+(Graph!$D$23^2),(3/2)))</f>
        <v>376.94775841796564</v>
      </c>
      <c r="P397" s="84">
        <f>Graph!$D$22*((Graph!$E$18-Z397)/POWER((((Graph!$D$18-$Y397)^2)+((Graph!$E$18-$Z397)^2))+(Graph!$D$23^2),3/2))</f>
        <v>-22.967394920936076</v>
      </c>
      <c r="Q397">
        <f>Graph!$D$31*((Graph!$D$27-Y397)/POWER((((Graph!$D$27-$Y397)^2)+((Graph!$E$27-$Z397)^2))+(Graph!$D$32^2),3/2))</f>
        <v>3332.2883624373635</v>
      </c>
      <c r="R397">
        <f>Graph!$D$31*((Graph!$E$27-Z397)/POWER((((Graph!$D$27-$Y397)^2)+((Graph!$E$27-$Z397)^2))+(Graph!$D$32^2),3/2))</f>
        <v>-4488.855897396159</v>
      </c>
      <c r="S397">
        <f>Graph!$D$40*((Graph!$D$36-Y397)/POWER((((Graph!$D$36-$Y397)^2)+((Graph!$E$36-$Z397)^2))+(Graph!$D$41^2),3/2))</f>
        <v>261.05252945782246</v>
      </c>
      <c r="T397">
        <f>Graph!$D$40*((Graph!$E$36-Z397)/POWER((((Graph!$D$36-$Y397)^2)+((Graph!$E$36-$Z397)^2))+(Graph!$D$41^2),3/2))</f>
        <v>-328.25583585926557</v>
      </c>
      <c r="U397">
        <f>O397+Q397+S397</f>
        <v>3970.2886503131517</v>
      </c>
      <c r="V397">
        <f>P397+R397+T397</f>
        <v>-4840.0791281763613</v>
      </c>
      <c r="W397">
        <f>W396+(U396*Graph!$D$5)</f>
        <v>6931.2140230213927</v>
      </c>
      <c r="X397">
        <f>X396+(V396*Graph!$D$5)</f>
        <v>823.18936642106223</v>
      </c>
      <c r="Y397">
        <f>Y396+(W396*Graph!$D$5)+(U396*Graph!$D$5^2)</f>
        <v>-21658.086875929683</v>
      </c>
      <c r="Z397">
        <f>Z396+(X396*Graph!$D$5)+(V396*Graph!$D$5^2)</f>
        <v>12233.574121408898</v>
      </c>
    </row>
    <row r="398" spans="14:26" x14ac:dyDescent="0.35">
      <c r="N398">
        <f>N397+1</f>
        <v>395</v>
      </c>
      <c r="O398">
        <f>Graph!$D$22*((Graph!$D$18-Y398)/POWER((((Graph!$D$18-$Y398)^2)+((Graph!$E$18-$Z398)^2))+(Graph!$D$23^2),(3/2)))</f>
        <v>485.85411798505578</v>
      </c>
      <c r="P398" s="84">
        <f>Graph!$D$22*((Graph!$E$18-Z398)/POWER((((Graph!$D$18-$Y398)^2)+((Graph!$E$18-$Z398)^2))+(Graph!$D$23^2),3/2))</f>
        <v>-21.654505006565486</v>
      </c>
      <c r="Q398">
        <f>Graph!$D$31*((Graph!$D$27-Y398)/POWER((((Graph!$D$27-$Y398)^2)+((Graph!$E$27-$Z398)^2))+(Graph!$D$32^2),3/2))</f>
        <v>-4823.9134337730802</v>
      </c>
      <c r="R398">
        <f>Graph!$D$31*((Graph!$E$27-Z398)/POWER((((Graph!$D$27-$Y398)^2)+((Graph!$E$27-$Z398)^2))+(Graph!$D$32^2),3/2))</f>
        <v>-2472.4308745174176</v>
      </c>
      <c r="S398">
        <f>Graph!$D$40*((Graph!$D$36-Y398)/POWER((((Graph!$D$36-$Y398)^2)+((Graph!$E$36-$Z398)^2))+(Graph!$D$41^2),3/2))</f>
        <v>276.59577584263258</v>
      </c>
      <c r="T398">
        <f>Graph!$D$40*((Graph!$E$36-Z398)/POWER((((Graph!$D$36-$Y398)^2)+((Graph!$E$36-$Z398)^2))+(Graph!$D$41^2),3/2))</f>
        <v>-425.10987152752767</v>
      </c>
      <c r="U398">
        <f>O398+Q398+S398</f>
        <v>-4061.4635399453923</v>
      </c>
      <c r="V398">
        <f>P398+R398+T398</f>
        <v>-2919.1952510515107</v>
      </c>
      <c r="W398">
        <f>W397+(U397*Graph!$D$5)</f>
        <v>8916.3583481779679</v>
      </c>
      <c r="X398">
        <f>X397+(V397*Graph!$D$5)</f>
        <v>-1596.8501976671184</v>
      </c>
      <c r="Y398">
        <f>Y397+(W397*Graph!$D$5)+(U397*Graph!$D$5^2)</f>
        <v>-17199.907701840701</v>
      </c>
      <c r="Z398">
        <f>Z397+(X397*Graph!$D$5)+(V397*Graph!$D$5^2)</f>
        <v>11435.149022575339</v>
      </c>
    </row>
    <row r="399" spans="14:26" x14ac:dyDescent="0.35">
      <c r="N399">
        <f>N398+1</f>
        <v>396</v>
      </c>
      <c r="O399">
        <f>Graph!$D$22*((Graph!$D$18-Y399)/POWER((((Graph!$D$18-$Y399)^2)+((Graph!$E$18-$Z399)^2))+(Graph!$D$23^2),(3/2)))</f>
        <v>605.48052901773178</v>
      </c>
      <c r="P399" s="84">
        <f>Graph!$D$22*((Graph!$E$18-Z399)/POWER((((Graph!$D$18-$Y399)^2)+((Graph!$E$18-$Z399)^2))+(Graph!$D$23^2),3/2))</f>
        <v>1.9596914846097389</v>
      </c>
      <c r="Q399">
        <f>Graph!$D$31*((Graph!$D$27-Y399)/POWER((((Graph!$D$27-$Y399)^2)+((Graph!$E$27-$Z399)^2))+(Graph!$D$32^2),3/2))</f>
        <v>-3057.459868925233</v>
      </c>
      <c r="R399">
        <f>Graph!$D$31*((Graph!$E$27-Z399)/POWER((((Graph!$D$27-$Y399)^2)+((Graph!$E$27-$Z399)^2))+(Graph!$D$32^2),3/2))</f>
        <v>45.583380047797121</v>
      </c>
      <c r="S399">
        <f>Graph!$D$40*((Graph!$D$36-Y399)/POWER((((Graph!$D$36-$Y399)^2)+((Graph!$E$36-$Z399)^2))+(Graph!$D$41^2),3/2))</f>
        <v>298.74315411626202</v>
      </c>
      <c r="T399">
        <f>Graph!$D$40*((Graph!$E$36-Z399)/POWER((((Graph!$D$36-$Y399)^2)+((Graph!$E$36-$Z399)^2))+(Graph!$D$41^2),3/2))</f>
        <v>-540.86808912947163</v>
      </c>
      <c r="U399">
        <f>O399+Q399+S399</f>
        <v>-2153.2361857912392</v>
      </c>
      <c r="V399">
        <f>P399+R399+T399</f>
        <v>-493.32501759706474</v>
      </c>
      <c r="W399">
        <f>W398+(U398*Graph!$D$5)</f>
        <v>6885.6265782052715</v>
      </c>
      <c r="X399">
        <f>X398+(V398*Graph!$D$5)</f>
        <v>-3056.4478231928738</v>
      </c>
      <c r="Y399">
        <f>Y398+(W398*Graph!$D$5)+(U398*Graph!$D$5^2)</f>
        <v>-13757.094412738064</v>
      </c>
      <c r="Z399">
        <f>Z398+(X398*Graph!$D$5)+(V398*Graph!$D$5^2)</f>
        <v>9906.925110978902</v>
      </c>
    </row>
    <row r="400" spans="14:26" x14ac:dyDescent="0.35">
      <c r="N400">
        <f>N399+1</f>
        <v>397</v>
      </c>
      <c r="O400">
        <f>Graph!$D$22*((Graph!$D$18-Y400)/POWER((((Graph!$D$18-$Y400)^2)+((Graph!$E$18-$Z400)^2))+(Graph!$D$23^2),(3/2)))</f>
        <v>736.57062949254703</v>
      </c>
      <c r="P400" s="84">
        <f>Graph!$D$22*((Graph!$E$18-Z400)/POWER((((Graph!$D$18-$Y400)^2)+((Graph!$E$18-$Z400)^2))+(Graph!$D$23^2),3/2))</f>
        <v>49.706557424269306</v>
      </c>
      <c r="Q400">
        <f>Graph!$D$31*((Graph!$D$27-Y400)/POWER((((Graph!$D$27-$Y400)^2)+((Graph!$E$27-$Z400)^2))+(Graph!$D$32^2),3/2))</f>
        <v>-1668.5650993677712</v>
      </c>
      <c r="R400">
        <f>Graph!$D$31*((Graph!$E$27-Z400)/POWER((((Graph!$D$27-$Y400)^2)+((Graph!$E$27-$Z400)^2))+(Graph!$D$32^2),3/2))</f>
        <v>318.2353119883773</v>
      </c>
      <c r="S400">
        <f>Graph!$D$40*((Graph!$D$36-Y400)/POWER((((Graph!$D$36-$Y400)^2)+((Graph!$E$36-$Z400)^2))+(Graph!$D$41^2),3/2))</f>
        <v>317.93443888194173</v>
      </c>
      <c r="T400">
        <f>Graph!$D$40*((Graph!$E$36-Z400)/POWER((((Graph!$D$36-$Y400)^2)+((Graph!$E$36-$Z400)^2))+(Graph!$D$41^2),3/2))</f>
        <v>-681.28279779991874</v>
      </c>
      <c r="U400">
        <f>O400+Q400+S400</f>
        <v>-614.06003099328245</v>
      </c>
      <c r="V400">
        <f>P400+R400+T400</f>
        <v>-313.34092838727213</v>
      </c>
      <c r="W400">
        <f>W399+(U399*Graph!$D$5)</f>
        <v>5809.0084853096523</v>
      </c>
      <c r="X400">
        <f>X399+(V399*Graph!$D$5)</f>
        <v>-3303.1103319914064</v>
      </c>
      <c r="Y400">
        <f>Y399+(W399*Graph!$D$5)+(U399*Graph!$D$5^2)</f>
        <v>-10852.590170083238</v>
      </c>
      <c r="Z400">
        <f>Z399+(X399*Graph!$D$5)+(V399*Graph!$D$5^2)</f>
        <v>8255.3699449831984</v>
      </c>
    </row>
    <row r="401" spans="14:26" x14ac:dyDescent="0.35">
      <c r="N401">
        <f>N400+1</f>
        <v>398</v>
      </c>
      <c r="O401">
        <f>Graph!$D$22*((Graph!$D$18-Y401)/POWER((((Graph!$D$18-$Y401)^2)+((Graph!$E$18-$Z401)^2))+(Graph!$D$23^2),(3/2)))</f>
        <v>887.08385807278194</v>
      </c>
      <c r="P401" s="84">
        <f>Graph!$D$22*((Graph!$E$18-Z401)/POWER((((Graph!$D$18-$Y401)^2)+((Graph!$E$18-$Z401)^2))+(Graph!$D$23^2),3/2))</f>
        <v>133.41893564630698</v>
      </c>
      <c r="Q401">
        <f>Graph!$D$31*((Graph!$D$27-Y401)/POWER((((Graph!$D$27-$Y401)^2)+((Graph!$E$27-$Z401)^2))+(Graph!$D$32^2),3/2))</f>
        <v>-1000.0794381363033</v>
      </c>
      <c r="R401">
        <f>Graph!$D$31*((Graph!$E$27-Z401)/POWER((((Graph!$D$27-$Y401)^2)+((Graph!$E$27-$Z401)^2))+(Graph!$D$32^2),3/2))</f>
        <v>292.03899143134669</v>
      </c>
      <c r="S401">
        <f>Graph!$D$40*((Graph!$D$36-Y401)/POWER((((Graph!$D$36-$Y401)^2)+((Graph!$E$36-$Z401)^2))+(Graph!$D$41^2),3/2))</f>
        <v>325.3312221778092</v>
      </c>
      <c r="T401">
        <f>Graph!$D$40*((Graph!$E$36-Z401)/POWER((((Graph!$D$36-$Y401)^2)+((Graph!$E$36-$Z401)^2))+(Graph!$D$41^2),3/2))</f>
        <v>-864.38601765079579</v>
      </c>
      <c r="U401">
        <f>O401+Q401+S401</f>
        <v>212.33564211428779</v>
      </c>
      <c r="V401">
        <f>P401+R401+T401</f>
        <v>-438.92809057314213</v>
      </c>
      <c r="W401">
        <f>W400+(U400*Graph!$D$5)</f>
        <v>5501.9784698130115</v>
      </c>
      <c r="X401">
        <f>X400+(V400*Graph!$D$5)</f>
        <v>-3459.7807961850426</v>
      </c>
      <c r="Y401">
        <f>Y400+(W400*Graph!$D$5)+(U400*Graph!$D$5^2)</f>
        <v>-8101.6009351767325</v>
      </c>
      <c r="Z401">
        <f>Z400+(X400*Graph!$D$5)+(V400*Graph!$D$5^2)</f>
        <v>6525.4795468906768</v>
      </c>
    </row>
    <row r="402" spans="14:26" x14ac:dyDescent="0.35">
      <c r="N402">
        <f>N401+1</f>
        <v>399</v>
      </c>
      <c r="O402">
        <f>Graph!$D$22*((Graph!$D$18-Y402)/POWER((((Graph!$D$18-$Y402)^2)+((Graph!$E$18-$Z402)^2))+(Graph!$D$23^2),(3/2)))</f>
        <v>1059.1087364534455</v>
      </c>
      <c r="P402" s="84">
        <f>Graph!$D$22*((Graph!$E$18-Z402)/POWER((((Graph!$D$18-$Y402)^2)+((Graph!$E$18-$Z402)^2))+(Graph!$D$23^2),3/2))</f>
        <v>277.28771714236609</v>
      </c>
      <c r="Q402">
        <f>Graph!$D$31*((Graph!$D$27-Y402)/POWER((((Graph!$D$27-$Y402)^2)+((Graph!$E$27-$Z402)^2))+(Graph!$D$32^2),3/2))</f>
        <v>-642.19081615729067</v>
      </c>
      <c r="R402">
        <f>Graph!$D$31*((Graph!$E$27-Z402)/POWER((((Graph!$D$27-$Y402)^2)+((Graph!$E$27-$Z402)^2))+(Graph!$D$32^2),3/2))</f>
        <v>232.11700049668642</v>
      </c>
      <c r="S402">
        <f>Graph!$D$40*((Graph!$D$36-Y402)/POWER((((Graph!$D$36-$Y402)^2)+((Graph!$E$36-$Z402)^2))+(Graph!$D$41^2),3/2))</f>
        <v>299.92308888094641</v>
      </c>
      <c r="T402">
        <f>Graph!$D$40*((Graph!$E$36-Z402)/POWER((((Graph!$D$36-$Y402)^2)+((Graph!$E$36-$Z402)^2))+(Graph!$D$41^2),3/2))</f>
        <v>-1114.5280045493244</v>
      </c>
      <c r="U402">
        <f>O402+Q402+S402</f>
        <v>716.84100917710134</v>
      </c>
      <c r="V402">
        <f>P402+R402+T402</f>
        <v>-605.12328691027187</v>
      </c>
      <c r="W402">
        <f>W401+(U401*Graph!$D$5)</f>
        <v>5608.1462908701551</v>
      </c>
      <c r="X402">
        <f>X401+(V401*Graph!$D$5)</f>
        <v>-3679.2448414716137</v>
      </c>
      <c r="Y402">
        <f>Y401+(W401*Graph!$D$5)+(U401*Graph!$D$5^2)</f>
        <v>-5297.5277897416545</v>
      </c>
      <c r="Z402">
        <f>Z401+(X401*Graph!$D$5)+(V401*Graph!$D$5^2)</f>
        <v>4685.8571261548695</v>
      </c>
    </row>
    <row r="403" spans="14:26" x14ac:dyDescent="0.35">
      <c r="N403">
        <f>N402+1</f>
        <v>400</v>
      </c>
      <c r="O403">
        <f>Graph!$D$22*((Graph!$D$18-Y403)/POWER((((Graph!$D$18-$Y403)^2)+((Graph!$E$18-$Z403)^2))+(Graph!$D$23^2),(3/2)))</f>
        <v>1232.8538457029151</v>
      </c>
      <c r="P403" s="84">
        <f>Graph!$D$22*((Graph!$E$18-Z403)/POWER((((Graph!$D$18-$Y403)^2)+((Graph!$E$18-$Z403)^2))+(Graph!$D$23^2),3/2))</f>
        <v>520.15288646860677</v>
      </c>
      <c r="Q403">
        <f>Graph!$D$31*((Graph!$D$27-Y403)/POWER((((Graph!$D$27-$Y403)^2)+((Graph!$E$27-$Z403)^2))+(Graph!$D$32^2),3/2))</f>
        <v>-431.50941147575037</v>
      </c>
      <c r="R403">
        <f>Graph!$D$31*((Graph!$E$27-Z403)/POWER((((Graph!$D$27-$Y403)^2)+((Graph!$E$27-$Z403)^2))+(Graph!$D$32^2),3/2))</f>
        <v>178.2336146852455</v>
      </c>
      <c r="S403">
        <f>Graph!$D$40*((Graph!$D$36-Y403)/POWER((((Graph!$D$36-$Y403)^2)+((Graph!$E$36-$Z403)^2))+(Graph!$D$41^2),3/2))</f>
        <v>190.36192568976506</v>
      </c>
      <c r="T403">
        <f>Graph!$D$40*((Graph!$E$36-Z403)/POWER((((Graph!$D$36-$Y403)^2)+((Graph!$E$36-$Z403)^2))+(Graph!$D$41^2),3/2))</f>
        <v>-1455.5271292510904</v>
      </c>
      <c r="U403">
        <f>O403+Q403+S403</f>
        <v>991.70635991692984</v>
      </c>
      <c r="V403">
        <f>P403+R403+T403</f>
        <v>-757.14062809723816</v>
      </c>
      <c r="W403">
        <f>W402+(U402*Graph!$D$5)</f>
        <v>5966.5667954587061</v>
      </c>
      <c r="X403">
        <f>X402+(V402*Graph!$D$5)</f>
        <v>-3981.8064849267494</v>
      </c>
      <c r="Y403">
        <f>Y402+(W402*Graph!$D$5)+(U402*Graph!$D$5^2)</f>
        <v>-2314.2443920123014</v>
      </c>
      <c r="Z403">
        <f>Z402+(X402*Graph!$D$5)+(V402*Graph!$D$5^2)</f>
        <v>2694.9538836914949</v>
      </c>
    </row>
    <row r="404" spans="14:26" x14ac:dyDescent="0.35">
      <c r="N404">
        <f>N403+1</f>
        <v>401</v>
      </c>
      <c r="O404">
        <f>Graph!$D$22*((Graph!$D$18-Y404)/POWER((((Graph!$D$18-$Y404)^2)+((Graph!$E$18-$Z404)^2))+(Graph!$D$23^2),(3/2)))</f>
        <v>1329.6920894615405</v>
      </c>
      <c r="P404" s="84">
        <f>Graph!$D$22*((Graph!$E$18-Z404)/POWER((((Graph!$D$18-$Y404)^2)+((Graph!$E$18-$Z404)^2))+(Graph!$D$23^2),3/2))</f>
        <v>895.5769715713717</v>
      </c>
      <c r="Q404">
        <f>Graph!$D$31*((Graph!$D$27-Y404)/POWER((((Graph!$D$27-$Y404)^2)+((Graph!$E$27-$Z404)^2))+(Graph!$D$32^2),3/2))</f>
        <v>-299.58190301665667</v>
      </c>
      <c r="R404">
        <f>Graph!$D$31*((Graph!$E$27-Z404)/POWER((((Graph!$D$27-$Y404)^2)+((Graph!$E$27-$Z404)^2))+(Graph!$D$32^2),3/2))</f>
        <v>135.85166518542084</v>
      </c>
      <c r="S404">
        <f>Graph!$D$40*((Graph!$D$36-Y404)/POWER((((Graph!$D$36-$Y404)^2)+((Graph!$E$36-$Z404)^2))+(Graph!$D$41^2),3/2))</f>
        <v>-110.32822467377918</v>
      </c>
      <c r="T404">
        <f>Graph!$D$40*((Graph!$E$36-Z404)/POWER((((Graph!$D$36-$Y404)^2)+((Graph!$E$36-$Z404)^2))+(Graph!$D$41^2),3/2))</f>
        <v>-1866.718380859716</v>
      </c>
      <c r="U404">
        <f>O404+Q404+S404</f>
        <v>919.78196177110453</v>
      </c>
      <c r="V404">
        <f>P404+R404+T404</f>
        <v>-835.28974410292358</v>
      </c>
      <c r="W404">
        <f>W403+(U403*Graph!$D$5)</f>
        <v>6462.4199754171714</v>
      </c>
      <c r="X404">
        <f>X403+(V403*Graph!$D$5)</f>
        <v>-4360.3767989753687</v>
      </c>
      <c r="Y404">
        <f>Y403+(W403*Graph!$D$5)+(U403*Graph!$D$5^2)</f>
        <v>916.96559569628403</v>
      </c>
      <c r="Z404">
        <f>Z403+(X403*Graph!$D$5)+(V403*Graph!$D$5^2)</f>
        <v>514.76548420381062</v>
      </c>
    </row>
    <row r="405" spans="14:26" x14ac:dyDescent="0.35">
      <c r="N405">
        <f>N404+1</f>
        <v>402</v>
      </c>
      <c r="O405">
        <f>Graph!$D$22*((Graph!$D$18-Y405)/POWER((((Graph!$D$18-$Y405)^2)+((Graph!$E$18-$Z405)^2))+(Graph!$D$23^2),(3/2)))</f>
        <v>1194.5638773667438</v>
      </c>
      <c r="P405" s="84">
        <f>Graph!$D$22*((Graph!$E$18-Z405)/POWER((((Graph!$D$18-$Y405)^2)+((Graph!$E$18-$Z405)^2))+(Graph!$D$23^2),3/2))</f>
        <v>1335.4082329765936</v>
      </c>
      <c r="Q405">
        <f>Graph!$D$31*((Graph!$D$27-Y405)/POWER((((Graph!$D$27-$Y405)^2)+((Graph!$E$27-$Z405)^2))+(Graph!$D$32^2),3/2))</f>
        <v>-214.21056705899053</v>
      </c>
      <c r="R405">
        <f>Graph!$D$31*((Graph!$E$27-Z405)/POWER((((Graph!$D$27-$Y405)^2)+((Graph!$E$27-$Z405)^2))+(Graph!$D$32^2),3/2))</f>
        <v>104.33900227160343</v>
      </c>
      <c r="S405">
        <f>Graph!$D$40*((Graph!$D$36-Y405)/POWER((((Graph!$D$36-$Y405)^2)+((Graph!$E$36-$Z405)^2))+(Graph!$D$41^2),3/2))</f>
        <v>-719.84639544654635</v>
      </c>
      <c r="T405">
        <f>Graph!$D$40*((Graph!$E$36-Z405)/POWER((((Graph!$D$36-$Y405)^2)+((Graph!$E$36-$Z405)^2))+(Graph!$D$41^2),3/2))</f>
        <v>-2158.1237731901815</v>
      </c>
      <c r="U405">
        <f>O405+Q405+S405</f>
        <v>260.50691486120684</v>
      </c>
      <c r="V405">
        <f>P405+R405+T405</f>
        <v>-718.37653794198445</v>
      </c>
      <c r="W405">
        <f>W404+(U404*Graph!$D$5)</f>
        <v>6922.3109563027238</v>
      </c>
      <c r="X405">
        <f>X404+(V404*Graph!$D$5)</f>
        <v>-4778.0216710268305</v>
      </c>
      <c r="Y405">
        <f>Y404+(W404*Graph!$D$5)+(U404*Graph!$D$5^2)</f>
        <v>4378.1210738476457</v>
      </c>
      <c r="Z405">
        <f>Z404+(X404*Graph!$D$5)+(V404*Graph!$D$5^2)</f>
        <v>-1874.2453513096048</v>
      </c>
    </row>
    <row r="406" spans="14:26" x14ac:dyDescent="0.35">
      <c r="N406">
        <f>N405+1</f>
        <v>403</v>
      </c>
      <c r="O406">
        <f>Graph!$D$22*((Graph!$D$18-Y406)/POWER((((Graph!$D$18-$Y406)^2)+((Graph!$E$18-$Z406)^2))+(Graph!$D$23^2),(3/2)))</f>
        <v>776.49709846069095</v>
      </c>
      <c r="P406" s="84">
        <f>Graph!$D$22*((Graph!$E$18-Z406)/POWER((((Graph!$D$18-$Y406)^2)+((Graph!$E$18-$Z406)^2))+(Graph!$D$23^2),3/2))</f>
        <v>1580.5339299394559</v>
      </c>
      <c r="Q406">
        <f>Graph!$D$31*((Graph!$D$27-Y406)/POWER((((Graph!$D$27-$Y406)^2)+((Graph!$E$27-$Z406)^2))+(Graph!$D$32^2),3/2))</f>
        <v>-158.59526264035162</v>
      </c>
      <c r="R406">
        <f>Graph!$D$31*((Graph!$E$27-Z406)/POWER((((Graph!$D$27-$Y406)^2)+((Graph!$E$27-$Z406)^2))+(Graph!$D$32^2),3/2))</f>
        <v>82.086243412569274</v>
      </c>
      <c r="S406">
        <f>Graph!$D$40*((Graph!$D$36-Y406)/POWER((((Graph!$D$36-$Y406)^2)+((Graph!$E$36-$Z406)^2))+(Graph!$D$41^2),3/2))</f>
        <v>-1475.0524462490989</v>
      </c>
      <c r="T406">
        <f>Graph!$D$40*((Graph!$E$36-Z406)/POWER((((Graph!$D$36-$Y406)^2)+((Graph!$E$36-$Z406)^2))+(Graph!$D$41^2),3/2))</f>
        <v>-1970.0853949299651</v>
      </c>
      <c r="U406">
        <f>O406+Q406+S406</f>
        <v>-857.15061042875959</v>
      </c>
      <c r="V406">
        <f>P406+R406+T406</f>
        <v>-307.46522157793993</v>
      </c>
      <c r="W406">
        <f>W405+(U405*Graph!$D$5)</f>
        <v>7052.5644137333275</v>
      </c>
      <c r="X406">
        <f>X405+(V405*Graph!$D$5)</f>
        <v>-5137.2099399978224</v>
      </c>
      <c r="Y406">
        <f>Y405+(W405*Graph!$D$5)+(U405*Graph!$D$5^2)</f>
        <v>7904.4032807143094</v>
      </c>
      <c r="Z406">
        <f>Z405+(X405*Graph!$D$5)+(V405*Graph!$D$5^2)</f>
        <v>-4442.8503213085169</v>
      </c>
    </row>
    <row r="407" spans="14:26" x14ac:dyDescent="0.35">
      <c r="N407">
        <f>N406+1</f>
        <v>404</v>
      </c>
      <c r="O407">
        <f>Graph!$D$22*((Graph!$D$18-Y407)/POWER((((Graph!$D$18-$Y407)^2)+((Graph!$E$18-$Z407)^2))+(Graph!$D$23^2),(3/2)))</f>
        <v>328.48841957158822</v>
      </c>
      <c r="P407" s="84">
        <f>Graph!$D$22*((Graph!$E$18-Z407)/POWER((((Graph!$D$18-$Y407)^2)+((Graph!$E$18-$Z407)^2))+(Graph!$D$23^2),3/2))</f>
        <v>1483.590374886244</v>
      </c>
      <c r="Q407">
        <f>Graph!$D$31*((Graph!$D$27-Y407)/POWER((((Graph!$D$27-$Y407)^2)+((Graph!$E$27-$Z407)^2))+(Graph!$D$32^2),3/2))</f>
        <v>-122.60556643899935</v>
      </c>
      <c r="R407">
        <f>Graph!$D$31*((Graph!$E$27-Z407)/POWER((((Graph!$D$27-$Y407)^2)+((Graph!$E$27-$Z407)^2))+(Graph!$D$32^2),3/2))</f>
        <v>67.116115060146981</v>
      </c>
      <c r="S407">
        <f>Graph!$D$40*((Graph!$D$36-Y407)/POWER((((Graph!$D$36-$Y407)^2)+((Graph!$E$36-$Z407)^2))+(Graph!$D$41^2),3/2))</f>
        <v>-1883.8814952354744</v>
      </c>
      <c r="T407">
        <f>Graph!$D$40*((Graph!$E$36-Z407)/POWER((((Graph!$D$36-$Y407)^2)+((Graph!$E$36-$Z407)^2))+(Graph!$D$41^2),3/2))</f>
        <v>-1328.8280925408394</v>
      </c>
      <c r="U407">
        <f>O407+Q407+S407</f>
        <v>-1677.9986421028855</v>
      </c>
      <c r="V407">
        <f>P407+R407+T407</f>
        <v>221.8783974055516</v>
      </c>
      <c r="W407">
        <f>W406+(U406*Graph!$D$5)</f>
        <v>6623.9891085189474</v>
      </c>
      <c r="X407">
        <f>X406+(V406*Graph!$D$5)</f>
        <v>-5290.9425507867927</v>
      </c>
      <c r="Y407">
        <f>Y406+(W406*Graph!$D$5)+(U406*Graph!$D$5^2)</f>
        <v>11216.397834973783</v>
      </c>
      <c r="Z407">
        <f>Z406+(X406*Graph!$D$5)+(V406*Graph!$D$5^2)</f>
        <v>-7088.3215967019123</v>
      </c>
    </row>
    <row r="408" spans="14:26" x14ac:dyDescent="0.35">
      <c r="N408">
        <f>N407+1</f>
        <v>405</v>
      </c>
      <c r="O408">
        <f>Graph!$D$22*((Graph!$D$18-Y408)/POWER((((Graph!$D$18-$Y408)^2)+((Graph!$E$18-$Z408)^2))+(Graph!$D$23^2),(3/2)))</f>
        <v>55.584724605989742</v>
      </c>
      <c r="P408" s="84">
        <f>Graph!$D$22*((Graph!$E$18-Z408)/POWER((((Graph!$D$18-$Y408)^2)+((Graph!$E$18-$Z408)^2))+(Graph!$D$23^2),3/2))</f>
        <v>1227.4775608514983</v>
      </c>
      <c r="Q408">
        <f>Graph!$D$31*((Graph!$D$27-Y408)/POWER((((Graph!$D$27-$Y408)^2)+((Graph!$E$27-$Z408)^2))+(Graph!$D$32^2),3/2))</f>
        <v>-99.143064519949618</v>
      </c>
      <c r="R408">
        <f>Graph!$D$31*((Graph!$E$27-Z408)/POWER((((Graph!$D$27-$Y408)^2)+((Graph!$E$27-$Z408)^2))+(Graph!$D$32^2),3/2))</f>
        <v>57.198258805747031</v>
      </c>
      <c r="S408">
        <f>Graph!$D$40*((Graph!$D$36-Y408)/POWER((((Graph!$D$36-$Y408)^2)+((Graph!$E$36-$Z408)^2))+(Graph!$D$41^2),3/2))</f>
        <v>-1842.4949985880401</v>
      </c>
      <c r="T408">
        <f>Graph!$D$40*((Graph!$E$36-Z408)/POWER((((Graph!$D$36-$Y408)^2)+((Graph!$E$36-$Z408)^2))+(Graph!$D$41^2),3/2))</f>
        <v>-694.96330737003996</v>
      </c>
      <c r="U408">
        <f>O408+Q408+S408</f>
        <v>-1886.0533385019999</v>
      </c>
      <c r="V408">
        <f>P408+R408+T408</f>
        <v>589.7125122872053</v>
      </c>
      <c r="W408">
        <f>W407+(U407*Graph!$D$5)</f>
        <v>5784.9897874675044</v>
      </c>
      <c r="X408">
        <f>X407+(V407*Graph!$D$5)</f>
        <v>-5180.003352084017</v>
      </c>
      <c r="Y408">
        <f>Y407+(W407*Graph!$D$5)+(U407*Graph!$D$5^2)</f>
        <v>14108.892728707535</v>
      </c>
      <c r="Z408">
        <f>Z407+(X407*Graph!$D$5)+(V407*Graph!$D$5^2)</f>
        <v>-9678.3232727439208</v>
      </c>
    </row>
    <row r="409" spans="14:26" x14ac:dyDescent="0.35">
      <c r="N409">
        <f>N408+1</f>
        <v>406</v>
      </c>
      <c r="O409">
        <f>Graph!$D$22*((Graph!$D$18-Y409)/POWER((((Graph!$D$18-$Y409)^2)+((Graph!$E$18-$Z409)^2))+(Graph!$D$23^2),(3/2)))</f>
        <v>-68.206962736397742</v>
      </c>
      <c r="P409" s="84">
        <f>Graph!$D$22*((Graph!$E$18-Z409)/POWER((((Graph!$D$18-$Y409)^2)+((Graph!$E$18-$Z409)^2))+(Graph!$D$23^2),3/2))</f>
        <v>986.22429121301775</v>
      </c>
      <c r="Q409">
        <f>Graph!$D$31*((Graph!$D$27-Y409)/POWER((((Graph!$D$27-$Y409)^2)+((Graph!$E$27-$Z409)^2))+(Graph!$D$32^2),3/2))</f>
        <v>-83.392367121459472</v>
      </c>
      <c r="R409">
        <f>Graph!$D$31*((Graph!$E$27-Z409)/POWER((((Graph!$D$27-$Y409)^2)+((Graph!$E$27-$Z409)^2))+(Graph!$D$32^2),3/2))</f>
        <v>50.498776267188141</v>
      </c>
      <c r="S409">
        <f>Graph!$D$40*((Graph!$D$36-Y409)/POWER((((Graph!$D$36-$Y409)^2)+((Graph!$E$36-$Z409)^2))+(Graph!$D$41^2),3/2))</f>
        <v>-1612.7507055522717</v>
      </c>
      <c r="T409">
        <f>Graph!$D$40*((Graph!$E$36-Z409)/POWER((((Graph!$D$36-$Y409)^2)+((Graph!$E$36-$Z409)^2))+(Graph!$D$41^2),3/2))</f>
        <v>-280.90205665832855</v>
      </c>
      <c r="U409">
        <f>O409+Q409+S409</f>
        <v>-1764.3500354101288</v>
      </c>
      <c r="V409">
        <f>P409+R409+T409</f>
        <v>755.82101082187728</v>
      </c>
      <c r="W409">
        <f>W408+(U408*Graph!$D$5)</f>
        <v>4841.9631182165049</v>
      </c>
      <c r="X409">
        <f>X408+(V408*Graph!$D$5)</f>
        <v>-4885.1470959404141</v>
      </c>
      <c r="Y409">
        <f>Y408+(W408*Graph!$D$5)+(U408*Graph!$D$5^2)</f>
        <v>16529.87428781579</v>
      </c>
      <c r="Z409">
        <f>Z408+(X408*Graph!$D$5)+(V408*Graph!$D$5^2)</f>
        <v>-12120.896820714128</v>
      </c>
    </row>
    <row r="410" spans="14:26" x14ac:dyDescent="0.35">
      <c r="N410">
        <f>N409+1</f>
        <v>407</v>
      </c>
      <c r="O410">
        <f>Graph!$D$22*((Graph!$D$18-Y410)/POWER((((Graph!$D$18-$Y410)^2)+((Graph!$E$18-$Z410)^2))+(Graph!$D$23^2),(3/2)))</f>
        <v>-115.82001646377255</v>
      </c>
      <c r="P410" s="84">
        <f>Graph!$D$22*((Graph!$E$18-Z410)/POWER((((Graph!$D$18-$Y410)^2)+((Graph!$E$18-$Z410)^2))+(Graph!$D$23^2),3/2))</f>
        <v>804.34275715767387</v>
      </c>
      <c r="Q410">
        <f>Graph!$D$31*((Graph!$D$27-Y410)/POWER((((Graph!$D$27-$Y410)^2)+((Graph!$E$27-$Z410)^2))+(Graph!$D$32^2),3/2))</f>
        <v>-72.417053780144911</v>
      </c>
      <c r="R410">
        <f>Graph!$D$31*((Graph!$E$27-Z410)/POWER((((Graph!$D$27-$Y410)^2)+((Graph!$E$27-$Z410)^2))+(Graph!$D$32^2),3/2))</f>
        <v>45.835917695556589</v>
      </c>
      <c r="S410">
        <f>Graph!$D$40*((Graph!$D$36-Y410)/POWER((((Graph!$D$36-$Y410)^2)+((Graph!$E$36-$Z410)^2))+(Graph!$D$41^2),3/2))</f>
        <v>-1372.849722246835</v>
      </c>
      <c r="T410">
        <f>Graph!$D$40*((Graph!$E$36-Z410)/POWER((((Graph!$D$36-$Y410)^2)+((Graph!$E$36-$Z410)^2))+(Graph!$D$41^2),3/2))</f>
        <v>-46.391544919112356</v>
      </c>
      <c r="U410">
        <f>O410+Q410+S410</f>
        <v>-1561.0867924907525</v>
      </c>
      <c r="V410">
        <f>P410+R410+T410</f>
        <v>803.78712993411807</v>
      </c>
      <c r="W410">
        <f>W409+(U409*Graph!$D$5)</f>
        <v>3959.7881005114405</v>
      </c>
      <c r="X410">
        <f>X409+(V409*Graph!$D$5)</f>
        <v>-4507.2365905294755</v>
      </c>
      <c r="Y410">
        <f>Y409+(W409*Graph!$D$5)+(U409*Graph!$D$5^2)</f>
        <v>18509.76833807151</v>
      </c>
      <c r="Z410">
        <f>Z409+(X409*Graph!$D$5)+(V409*Graph!$D$5^2)</f>
        <v>-14374.515115978866</v>
      </c>
    </row>
    <row r="411" spans="14:26" x14ac:dyDescent="0.35">
      <c r="N411">
        <f>N410+1</f>
        <v>408</v>
      </c>
      <c r="O411">
        <f>Graph!$D$22*((Graph!$D$18-Y411)/POWER((((Graph!$D$18-$Y411)^2)+((Graph!$E$18-$Z411)^2))+(Graph!$D$23^2),(3/2)))</f>
        <v>-130.15066593743595</v>
      </c>
      <c r="P411" s="84">
        <f>Graph!$D$22*((Graph!$E$18-Z411)/POWER((((Graph!$D$18-$Y411)^2)+((Graph!$E$18-$Z411)^2))+(Graph!$D$23^2),3/2))</f>
        <v>674.49547358530867</v>
      </c>
      <c r="Q411">
        <f>Graph!$D$31*((Graph!$D$27-Y411)/POWER((((Graph!$D$27-$Y411)^2)+((Graph!$E$27-$Z411)^2))+(Graph!$D$32^2),3/2))</f>
        <v>-64.504454976658408</v>
      </c>
      <c r="R411">
        <f>Graph!$D$31*((Graph!$E$27-Z411)/POWER((((Graph!$D$27-$Y411)^2)+((Graph!$E$27-$Z411)^2))+(Graph!$D$32^2),3/2))</f>
        <v>42.511151434303954</v>
      </c>
      <c r="S411">
        <f>Graph!$D$40*((Graph!$D$36-Y411)/POWER((((Graph!$D$36-$Y411)^2)+((Graph!$E$36-$Z411)^2))+(Graph!$D$41^2),3/2))</f>
        <v>-1176.0662900919099</v>
      </c>
      <c r="T411">
        <f>Graph!$D$40*((Graph!$E$36-Z411)/POWER((((Graph!$D$36-$Y411)^2)+((Graph!$E$36-$Z411)^2))+(Graph!$D$41^2),3/2))</f>
        <v>83.508306775321259</v>
      </c>
      <c r="U411">
        <f>O411+Q411+S411</f>
        <v>-1370.7214110060042</v>
      </c>
      <c r="V411">
        <f>P411+R411+T411</f>
        <v>800.51493179493389</v>
      </c>
      <c r="W411">
        <f>W410+(U410*Graph!$D$5)</f>
        <v>3179.2447042660642</v>
      </c>
      <c r="X411">
        <f>X410+(V410*Graph!$D$5)</f>
        <v>-4105.3430255624162</v>
      </c>
      <c r="Y411">
        <f>Y410+(W410*Graph!$D$5)+(U410*Graph!$D$5^2)</f>
        <v>20099.390690204542</v>
      </c>
      <c r="Z411">
        <f>Z410+(X410*Graph!$D$5)+(V410*Graph!$D$5^2)</f>
        <v>-16427.186628760071</v>
      </c>
    </row>
    <row r="412" spans="14:26" x14ac:dyDescent="0.35">
      <c r="N412">
        <f>N411+1</f>
        <v>409</v>
      </c>
      <c r="O412">
        <f>Graph!$D$22*((Graph!$D$18-Y412)/POWER((((Graph!$D$18-$Y412)^2)+((Graph!$E$18-$Z412)^2))+(Graph!$D$23^2),(3/2)))</f>
        <v>-130.61196449943472</v>
      </c>
      <c r="P412" s="84">
        <f>Graph!$D$22*((Graph!$E$18-Z412)/POWER((((Graph!$D$18-$Y412)^2)+((Graph!$E$18-$Z412)^2))+(Graph!$D$23^2),3/2))</f>
        <v>582.01660616213644</v>
      </c>
      <c r="Q412">
        <f>Graph!$D$31*((Graph!$D$27-Y412)/POWER((((Graph!$D$27-$Y412)^2)+((Graph!$E$27-$Z412)^2))+(Graph!$D$32^2),3/2))</f>
        <v>-58.645959337149584</v>
      </c>
      <c r="R412">
        <f>Graph!$D$31*((Graph!$E$27-Z412)/POWER((((Graph!$D$27-$Y412)^2)+((Graph!$E$27-$Z412)^2))+(Graph!$D$32^2),3/2))</f>
        <v>40.112187782488313</v>
      </c>
      <c r="S412">
        <f>Graph!$D$40*((Graph!$D$36-Y412)/POWER((((Graph!$D$36-$Y412)^2)+((Graph!$E$36-$Z412)^2))+(Graph!$D$41^2),3/2))</f>
        <v>-1025.9809142540109</v>
      </c>
      <c r="T412">
        <f>Graph!$D$40*((Graph!$E$36-Z412)/POWER((((Graph!$D$36-$Y412)^2)+((Graph!$E$36-$Z412)^2))+(Graph!$D$41^2),3/2))</f>
        <v>157.63549767849122</v>
      </c>
      <c r="U412">
        <f>O412+Q412+S412</f>
        <v>-1215.2388380905952</v>
      </c>
      <c r="V412">
        <f>P412+R412+T412</f>
        <v>779.76429162311592</v>
      </c>
      <c r="W412">
        <f>W411+(U411*Graph!$D$5)</f>
        <v>2493.8839987630622</v>
      </c>
      <c r="X412">
        <f>X411+(V411*Graph!$D$5)</f>
        <v>-3705.0855596649494</v>
      </c>
      <c r="Y412">
        <f>Y411+(W411*Graph!$D$5)+(U411*Graph!$D$5^2)</f>
        <v>21346.332689586074</v>
      </c>
      <c r="Z412">
        <f>Z411+(X411*Graph!$D$5)+(V411*Graph!$D$5^2)</f>
        <v>-18279.729408592546</v>
      </c>
    </row>
    <row r="413" spans="14:26" x14ac:dyDescent="0.35">
      <c r="N413">
        <f>N412+1</f>
        <v>410</v>
      </c>
      <c r="O413">
        <f>Graph!$D$22*((Graph!$D$18-Y413)/POWER((((Graph!$D$18-$Y413)^2)+((Graph!$E$18-$Z413)^2))+(Graph!$D$23^2),(3/2)))</f>
        <v>-125.48784800425807</v>
      </c>
      <c r="P413" s="84">
        <f>Graph!$D$22*((Graph!$E$18-Z413)/POWER((((Graph!$D$18-$Y413)^2)+((Graph!$E$18-$Z413)^2))+(Graph!$D$23^2),3/2))</f>
        <v>515.36995750317408</v>
      </c>
      <c r="Q413">
        <f>Graph!$D$31*((Graph!$D$27-Y413)/POWER((((Graph!$D$27-$Y413)^2)+((Graph!$E$27-$Z413)^2))+(Graph!$D$32^2),3/2))</f>
        <v>-54.228731462897287</v>
      </c>
      <c r="R413">
        <f>Graph!$D$31*((Graph!$E$27-Z413)/POWER((((Graph!$D$27-$Y413)^2)+((Graph!$E$27-$Z413)^2))+(Graph!$D$32^2),3/2))</f>
        <v>38.389312576274648</v>
      </c>
      <c r="S413">
        <f>Graph!$D$40*((Graph!$D$36-Y413)/POWER((((Graph!$D$36-$Y413)^2)+((Graph!$E$36-$Z413)^2))+(Graph!$D$41^2),3/2))</f>
        <v>-914.2684205285052</v>
      </c>
      <c r="T413">
        <f>Graph!$D$40*((Graph!$E$36-Z413)/POWER((((Graph!$D$36-$Y413)^2)+((Graph!$E$36-$Z413)^2))+(Graph!$D$41^2),3/2))</f>
        <v>202.51925852750671</v>
      </c>
      <c r="U413">
        <f>O413+Q413+S413</f>
        <v>-1093.9849999956605</v>
      </c>
      <c r="V413">
        <f>P413+R413+T413</f>
        <v>756.27852860695543</v>
      </c>
      <c r="W413">
        <f>W412+(U412*Graph!$D$5)</f>
        <v>1886.2645797177647</v>
      </c>
      <c r="X413">
        <f>X412+(V412*Graph!$D$5)</f>
        <v>-3315.2034138533913</v>
      </c>
      <c r="Y413">
        <f>Y412+(W412*Graph!$D$5)+(U412*Graph!$D$5^2)</f>
        <v>22289.464979444958</v>
      </c>
      <c r="Z413">
        <f>Z412+(X412*Graph!$D$5)+(V412*Graph!$D$5^2)</f>
        <v>-19937.331115519242</v>
      </c>
    </row>
    <row r="414" spans="14:26" x14ac:dyDescent="0.35">
      <c r="N414">
        <f>N413+1</f>
        <v>411</v>
      </c>
      <c r="O414">
        <f>Graph!$D$22*((Graph!$D$18-Y414)/POWER((((Graph!$D$18-$Y414)^2)+((Graph!$E$18-$Z414)^2))+(Graph!$D$23^2),(3/2)))</f>
        <v>-118.28960941982828</v>
      </c>
      <c r="P414" s="84">
        <f>Graph!$D$22*((Graph!$E$18-Z414)/POWER((((Graph!$D$18-$Y414)^2)+((Graph!$E$18-$Z414)^2))+(Graph!$D$23^2),3/2))</f>
        <v>466.75966057745745</v>
      </c>
      <c r="Q414">
        <f>Graph!$D$31*((Graph!$D$27-Y414)/POWER((((Graph!$D$27-$Y414)^2)+((Graph!$E$27-$Z414)^2))+(Graph!$D$32^2),3/2))</f>
        <v>-50.867360087496472</v>
      </c>
      <c r="R414">
        <f>Graph!$D$31*((Graph!$E$27-Z414)/POWER((((Graph!$D$27-$Y414)^2)+((Graph!$E$27-$Z414)^2))+(Graph!$D$32^2),3/2))</f>
        <v>37.18730871582828</v>
      </c>
      <c r="S414">
        <f>Graph!$D$40*((Graph!$D$36-Y414)/POWER((((Graph!$D$36-$Y414)^2)+((Graph!$E$36-$Z414)^2))+(Graph!$D$41^2),3/2))</f>
        <v>-832.14836721738516</v>
      </c>
      <c r="T414">
        <f>Graph!$D$40*((Graph!$E$36-Z414)/POWER((((Graph!$D$36-$Y414)^2)+((Graph!$E$36-$Z414)^2))+(Graph!$D$41^2),3/2))</f>
        <v>232.17932574707797</v>
      </c>
      <c r="U414">
        <f>O414+Q414+S414</f>
        <v>-1001.3053367247099</v>
      </c>
      <c r="V414">
        <f>P414+R414+T414</f>
        <v>736.12629504036374</v>
      </c>
      <c r="W414">
        <f>W413+(U413*Graph!$D$5)</f>
        <v>1339.2720797199345</v>
      </c>
      <c r="X414">
        <f>X413+(V413*Graph!$D$5)</f>
        <v>-2937.0641495499135</v>
      </c>
      <c r="Y414">
        <f>Y413+(W413*Graph!$D$5)+(U413*Graph!$D$5^2)</f>
        <v>22959.101019304926</v>
      </c>
      <c r="Z414">
        <f>Z413+(X413*Graph!$D$5)+(V413*Graph!$D$5^2)</f>
        <v>-21405.8631902942</v>
      </c>
    </row>
    <row r="415" spans="14:26" x14ac:dyDescent="0.35">
      <c r="N415">
        <f>N414+1</f>
        <v>412</v>
      </c>
      <c r="O415">
        <f>Graph!$D$22*((Graph!$D$18-Y415)/POWER((((Graph!$D$18-$Y415)^2)+((Graph!$E$18-$Z415)^2))+(Graph!$D$23^2),(3/2)))</f>
        <v>-110.48681987205931</v>
      </c>
      <c r="P415" s="84">
        <f>Graph!$D$22*((Graph!$E$18-Z415)/POWER((((Graph!$D$18-$Y415)^2)+((Graph!$E$18-$Z415)^2))+(Graph!$D$23^2),3/2))</f>
        <v>431.09062604719605</v>
      </c>
      <c r="Q415">
        <f>Graph!$D$31*((Graph!$D$27-Y415)/POWER((((Graph!$D$27-$Y415)^2)+((Graph!$E$27-$Z415)^2))+(Graph!$D$32^2),3/2))</f>
        <v>-48.312292252388147</v>
      </c>
      <c r="R415">
        <f>Graph!$D$31*((Graph!$E$27-Z415)/POWER((((Graph!$D$27-$Y415)^2)+((Graph!$E$27-$Z415)^2))+(Graph!$D$32^2),3/2))</f>
        <v>36.408581552337971</v>
      </c>
      <c r="S415">
        <f>Graph!$D$40*((Graph!$D$36-Y415)/POWER((((Graph!$D$36-$Y415)^2)+((Graph!$E$36-$Z415)^2))+(Graph!$D$41^2),3/2))</f>
        <v>-772.83689806200266</v>
      </c>
      <c r="T415">
        <f>Graph!$D$40*((Graph!$E$36-Z415)/POWER((((Graph!$D$36-$Y415)^2)+((Graph!$E$36-$Z415)^2))+(Graph!$D$41^2),3/2))</f>
        <v>254.22587061525286</v>
      </c>
      <c r="U415">
        <f>O415+Q415+S415</f>
        <v>-931.63601018645011</v>
      </c>
      <c r="V415">
        <f>P415+R415+T415</f>
        <v>721.72507821478689</v>
      </c>
      <c r="W415">
        <f>W414+(U414*Graph!$D$5)</f>
        <v>838.61941135757957</v>
      </c>
      <c r="X415">
        <f>X414+(V414*Graph!$D$5)</f>
        <v>-2569.0010020297318</v>
      </c>
      <c r="Y415">
        <f>Y414+(W414*Graph!$D$5)+(U414*Graph!$D$5^2)</f>
        <v>23378.410724983718</v>
      </c>
      <c r="Z415">
        <f>Z414+(X414*Graph!$D$5)+(V414*Graph!$D$5^2)</f>
        <v>-22690.363691309067</v>
      </c>
    </row>
    <row r="416" spans="14:26" x14ac:dyDescent="0.35">
      <c r="N416">
        <f>N415+1</f>
        <v>413</v>
      </c>
      <c r="O416">
        <f>Graph!$D$22*((Graph!$D$18-Y416)/POWER((((Graph!$D$18-$Y416)^2)+((Graph!$E$18-$Z416)^2))+(Graph!$D$23^2),(3/2)))</f>
        <v>-102.65106273204469</v>
      </c>
      <c r="P416" s="84">
        <f>Graph!$D$22*((Graph!$E$18-Z416)/POWER((((Graph!$D$18-$Y416)^2)+((Graph!$E$18-$Z416)^2))+(Graph!$D$23^2),3/2))</f>
        <v>405.03337207883982</v>
      </c>
      <c r="Q416">
        <f>Graph!$D$31*((Graph!$D$27-Y416)/POWER((((Graph!$D$27-$Y416)^2)+((Graph!$E$27-$Z416)^2))+(Graph!$D$32^2),3/2))</f>
        <v>-46.398903068279857</v>
      </c>
      <c r="R416">
        <f>Graph!$D$31*((Graph!$E$27-Z416)/POWER((((Graph!$D$27-$Y416)^2)+((Graph!$E$27-$Z416)^2))+(Graph!$D$32^2),3/2))</f>
        <v>35.992916439416256</v>
      </c>
      <c r="S416">
        <f>Graph!$D$40*((Graph!$D$36-Y416)/POWER((((Graph!$D$36-$Y416)^2)+((Graph!$E$36-$Z416)^2))+(Graph!$D$41^2),3/2))</f>
        <v>-731.60707137610052</v>
      </c>
      <c r="T416">
        <f>Graph!$D$40*((Graph!$E$36-Z416)/POWER((((Graph!$D$36-$Y416)^2)+((Graph!$E$36-$Z416)^2))+(Graph!$D$41^2),3/2))</f>
        <v>273.03716537976658</v>
      </c>
      <c r="U416">
        <f>O416+Q416+S416</f>
        <v>-880.65703717642509</v>
      </c>
      <c r="V416">
        <f>P416+R416+T416</f>
        <v>714.06345389802266</v>
      </c>
      <c r="W416">
        <f>W415+(U415*Graph!$D$5)</f>
        <v>372.80140626435451</v>
      </c>
      <c r="X416">
        <f>X415+(V415*Graph!$D$5)</f>
        <v>-2208.1384629223385</v>
      </c>
      <c r="Y416">
        <f>Y415+(W415*Graph!$D$5)+(U415*Graph!$D$5^2)</f>
        <v>23564.811428115892</v>
      </c>
      <c r="Z416">
        <f>Z415+(X415*Graph!$D$5)+(V415*Graph!$D$5^2)</f>
        <v>-23794.432922770236</v>
      </c>
    </row>
    <row r="417" spans="14:26" x14ac:dyDescent="0.35">
      <c r="N417">
        <f>N416+1</f>
        <v>414</v>
      </c>
      <c r="O417">
        <f>Graph!$D$22*((Graph!$D$18-Y417)/POWER((((Graph!$D$18-$Y417)^2)+((Graph!$E$18-$Z417)^2))+(Graph!$D$23^2),(3/2)))</f>
        <v>-94.941543710215228</v>
      </c>
      <c r="P417" s="84">
        <f>Graph!$D$22*((Graph!$E$18-Z417)/POWER((((Graph!$D$18-$Y417)^2)+((Graph!$E$18-$Z417)^2))+(Graph!$D$23^2),3/2))</f>
        <v>386.3967411176846</v>
      </c>
      <c r="Q417">
        <f>Graph!$D$31*((Graph!$D$27-Y417)/POWER((((Graph!$D$27-$Y417)^2)+((Graph!$E$27-$Z417)^2))+(Graph!$D$32^2),3/2))</f>
        <v>-45.018419071480778</v>
      </c>
      <c r="R417">
        <f>Graph!$D$31*((Graph!$E$27-Z417)/POWER((((Graph!$D$27-$Y417)^2)+((Graph!$E$27-$Z417)^2))+(Graph!$D$32^2),3/2))</f>
        <v>35.906300661335358</v>
      </c>
      <c r="S417">
        <f>Graph!$D$40*((Graph!$D$36-Y417)/POWER((((Graph!$D$36-$Y417)^2)+((Graph!$E$36-$Z417)^2))+(Graph!$D$41^2),3/2))</f>
        <v>-705.39926816901027</v>
      </c>
      <c r="T417">
        <f>Graph!$D$40*((Graph!$E$36-Z417)/POWER((((Graph!$D$36-$Y417)^2)+((Graph!$E$36-$Z417)^2))+(Graph!$D$41^2),3/2))</f>
        <v>291.37976572155878</v>
      </c>
      <c r="U417">
        <f>O417+Q417+S417</f>
        <v>-845.35923095070621</v>
      </c>
      <c r="V417">
        <f>P417+R417+T417</f>
        <v>713.68280750057875</v>
      </c>
      <c r="W417">
        <f>W416+(U416*Graph!$D$5)</f>
        <v>-67.527112323858034</v>
      </c>
      <c r="X417">
        <f>X416+(V416*Graph!$D$5)</f>
        <v>-1851.1067359733272</v>
      </c>
      <c r="Y417">
        <f>Y416+(W416*Graph!$D$5)+(U416*Graph!$D$5^2)</f>
        <v>23531.047871953964</v>
      </c>
      <c r="Z417">
        <f>Z416+(X416*Graph!$D$5)+(V416*Graph!$D$5^2)</f>
        <v>-24719.9862907569</v>
      </c>
    </row>
    <row r="418" spans="14:26" x14ac:dyDescent="0.35">
      <c r="N418">
        <f>N417+1</f>
        <v>415</v>
      </c>
      <c r="O418">
        <f>Graph!$D$22*((Graph!$D$18-Y418)/POWER((((Graph!$D$18-$Y418)^2)+((Graph!$E$18-$Z418)^2))+(Graph!$D$23^2),(3/2)))</f>
        <v>-87.313457723166294</v>
      </c>
      <c r="P418" s="84">
        <f>Graph!$D$22*((Graph!$E$18-Z418)/POWER((((Graph!$D$18-$Y418)^2)+((Graph!$E$18-$Z418)^2))+(Graph!$D$23^2),3/2))</f>
        <v>373.73612490318226</v>
      </c>
      <c r="Q418">
        <f>Graph!$D$31*((Graph!$D$27-Y418)/POWER((((Graph!$D$27-$Y418)^2)+((Graph!$E$27-$Z418)^2))+(Graph!$D$32^2),3/2))</f>
        <v>-44.10106601534072</v>
      </c>
      <c r="R418">
        <f>Graph!$D$31*((Graph!$E$27-Z418)/POWER((((Graph!$D$27-$Y418)^2)+((Graph!$E$27-$Z418)^2))+(Graph!$D$32^2),3/2))</f>
        <v>36.135003458218456</v>
      </c>
      <c r="S418">
        <f>Graph!$D$40*((Graph!$D$36-Y418)/POWER((((Graph!$D$36-$Y418)^2)+((Graph!$E$36-$Z418)^2))+(Graph!$D$41^2),3/2))</f>
        <v>-692.47804212128187</v>
      </c>
      <c r="T418">
        <f>Graph!$D$40*((Graph!$E$36-Z418)/POWER((((Graph!$D$36-$Y418)^2)+((Graph!$E$36-$Z418)^2))+(Graph!$D$41^2),3/2))</f>
        <v>311.27146418285525</v>
      </c>
      <c r="U418">
        <f>O418+Q418+S418</f>
        <v>-823.89256585978887</v>
      </c>
      <c r="V418">
        <f>P418+R418+T418</f>
        <v>721.14259254425599</v>
      </c>
      <c r="W418">
        <f>W417+(U417*Graph!$D$5)</f>
        <v>-490.20672779921114</v>
      </c>
      <c r="X418">
        <f>X417+(V417*Graph!$D$5)</f>
        <v>-1494.2653322230378</v>
      </c>
      <c r="Y418">
        <f>Y417+(W417*Graph!$D$5)+(U417*Graph!$D$5^2)</f>
        <v>23285.944508054359</v>
      </c>
      <c r="Z418">
        <f>Z417+(X417*Graph!$D$5)+(V417*Graph!$D$5^2)</f>
        <v>-25467.11895686842</v>
      </c>
    </row>
    <row r="419" spans="14:26" x14ac:dyDescent="0.35">
      <c r="N419">
        <f>N418+1</f>
        <v>416</v>
      </c>
      <c r="O419">
        <f>Graph!$D$22*((Graph!$D$18-Y419)/POWER((((Graph!$D$18-$Y419)^2)+((Graph!$E$18-$Z419)^2))+(Graph!$D$23^2),(3/2)))</f>
        <v>-79.603971656207264</v>
      </c>
      <c r="P419" s="84">
        <f>Graph!$D$22*((Graph!$E$18-Z419)/POWER((((Graph!$D$18-$Y419)^2)+((Graph!$E$18-$Z419)^2))+(Graph!$D$23^2),3/2))</f>
        <v>366.11297154431128</v>
      </c>
      <c r="Q419">
        <f>Graph!$D$31*((Graph!$D$27-Y419)/POWER((((Graph!$D$27-$Y419)^2)+((Graph!$E$27-$Z419)^2))+(Graph!$D$32^2),3/2))</f>
        <v>-43.606472492955731</v>
      </c>
      <c r="R419">
        <f>Graph!$D$31*((Graph!$E$27-Z419)/POWER((((Graph!$D$27-$Y419)^2)+((Graph!$E$27-$Z419)^2))+(Graph!$D$32^2),3/2))</f>
        <v>36.683062639424072</v>
      </c>
      <c r="S419">
        <f>Graph!$D$40*((Graph!$D$36-Y419)/POWER((((Graph!$D$36-$Y419)^2)+((Graph!$E$36-$Z419)^2))+(Graph!$D$41^2),3/2))</f>
        <v>-692.24098353167767</v>
      </c>
      <c r="T419">
        <f>Graph!$D$40*((Graph!$E$36-Z419)/POWER((((Graph!$D$36-$Y419)^2)+((Graph!$E$36-$Z419)^2))+(Graph!$D$41^2),3/2))</f>
        <v>334.4956256274948</v>
      </c>
      <c r="U419">
        <f>O419+Q419+S419</f>
        <v>-815.45142768084065</v>
      </c>
      <c r="V419">
        <f>P419+R419+T419</f>
        <v>737.29165981123015</v>
      </c>
      <c r="W419">
        <f>W418+(U418*Graph!$D$5)</f>
        <v>-902.15301072910552</v>
      </c>
      <c r="X419">
        <f>X418+(V418*Graph!$D$5)</f>
        <v>-1133.6940359509099</v>
      </c>
      <c r="Y419">
        <f>Y418+(W418*Graph!$D$5)+(U418*Graph!$D$5^2)</f>
        <v>22834.868002689807</v>
      </c>
      <c r="Z419">
        <f>Z418+(X418*Graph!$D$5)+(V418*Graph!$D$5^2)</f>
        <v>-26033.965974843875</v>
      </c>
    </row>
    <row r="420" spans="14:26" x14ac:dyDescent="0.35">
      <c r="N420">
        <f>N419+1</f>
        <v>417</v>
      </c>
      <c r="O420">
        <f>Graph!$D$22*((Graph!$D$18-Y420)/POWER((((Graph!$D$18-$Y420)^2)+((Graph!$E$18-$Z420)^2))+(Graph!$D$23^2),(3/2)))</f>
        <v>-71.559273657658522</v>
      </c>
      <c r="P420" s="84">
        <f>Graph!$D$22*((Graph!$E$18-Z420)/POWER((((Graph!$D$18-$Y420)^2)+((Graph!$E$18-$Z420)^2))+(Graph!$D$23^2),3/2))</f>
        <v>362.94755973876181</v>
      </c>
      <c r="Q420">
        <f>Graph!$D$31*((Graph!$D$27-Y420)/POWER((((Graph!$D$27-$Y420)^2)+((Graph!$E$27-$Z420)^2))+(Graph!$D$32^2),3/2))</f>
        <v>-43.518804050964391</v>
      </c>
      <c r="R420">
        <f>Graph!$D$31*((Graph!$E$27-Z420)/POWER((((Graph!$D$27-$Y420)^2)+((Graph!$E$27-$Z420)^2))+(Graph!$D$32^2),3/2))</f>
        <v>37.572422405770659</v>
      </c>
      <c r="S420">
        <f>Graph!$D$40*((Graph!$D$36-Y420)/POWER((((Graph!$D$36-$Y420)^2)+((Graph!$E$36-$Z420)^2))+(Graph!$D$41^2),3/2))</f>
        <v>-705.20432835419024</v>
      </c>
      <c r="T420">
        <f>Graph!$D$40*((Graph!$E$36-Z420)/POWER((((Graph!$D$36-$Y420)^2)+((Graph!$E$36-$Z420)^2))+(Graph!$D$41^2),3/2))</f>
        <v>362.98395491037581</v>
      </c>
      <c r="U420">
        <f>O420+Q420+S420</f>
        <v>-820.28240606281315</v>
      </c>
      <c r="V420">
        <f>P420+R420+T420</f>
        <v>763.50393705490831</v>
      </c>
      <c r="W420">
        <f>W419+(U419*Graph!$D$5)</f>
        <v>-1309.8787245695257</v>
      </c>
      <c r="X420">
        <f>X419+(V419*Graph!$D$5)</f>
        <v>-765.04820604529482</v>
      </c>
      <c r="Y420">
        <f>Y419+(W419*Graph!$D$5)+(U419*Graph!$D$5^2)</f>
        <v>22179.928640405044</v>
      </c>
      <c r="Z420">
        <f>Z419+(X419*Graph!$D$5)+(V419*Graph!$D$5^2)</f>
        <v>-26416.490077866521</v>
      </c>
    </row>
    <row r="421" spans="14:26" x14ac:dyDescent="0.35">
      <c r="N421">
        <f>N420+1</f>
        <v>418</v>
      </c>
      <c r="O421">
        <f>Graph!$D$22*((Graph!$D$18-Y421)/POWER((((Graph!$D$18-$Y421)^2)+((Graph!$E$18-$Z421)^2))+(Graph!$D$23^2),(3/2)))</f>
        <v>-62.827616030049001</v>
      </c>
      <c r="P421" s="84">
        <f>Graph!$D$22*((Graph!$E$18-Z421)/POWER((((Graph!$D$18-$Y421)^2)+((Graph!$E$18-$Z421)^2))+(Graph!$D$23^2),3/2))</f>
        <v>363.92905793342379</v>
      </c>
      <c r="Q421">
        <f>Graph!$D$31*((Graph!$D$27-Y421)/POWER((((Graph!$D$27-$Y421)^2)+((Graph!$E$27-$Z421)^2))+(Graph!$D$32^2),3/2))</f>
        <v>-43.845507686999319</v>
      </c>
      <c r="R421">
        <f>Graph!$D$31*((Graph!$E$27-Z421)/POWER((((Graph!$D$27-$Y421)^2)+((Graph!$E$27-$Z421)^2))+(Graph!$D$32^2),3/2))</f>
        <v>38.845730004199808</v>
      </c>
      <c r="S421">
        <f>Graph!$D$40*((Graph!$D$36-Y421)/POWER((((Graph!$D$36-$Y421)^2)+((Graph!$E$36-$Z421)^2))+(Graph!$D$41^2),3/2))</f>
        <v>-733.20653276263795</v>
      </c>
      <c r="T421">
        <f>Graph!$D$40*((Graph!$E$36-Z421)/POWER((((Graph!$D$36-$Y421)^2)+((Graph!$E$36-$Z421)^2))+(Graph!$D$41^2),3/2))</f>
        <v>399.21178350070397</v>
      </c>
      <c r="U421">
        <f>O421+Q421+S421</f>
        <v>-839.87965647968622</v>
      </c>
      <c r="V421">
        <f>P421+R421+T421</f>
        <v>801.98657143832759</v>
      </c>
      <c r="W421">
        <f>W420+(U420*Graph!$D$5)</f>
        <v>-1720.0199276009323</v>
      </c>
      <c r="X421">
        <f>X420+(V420*Graph!$D$5)</f>
        <v>-383.29623751784067</v>
      </c>
      <c r="Y421">
        <f>Y420+(W420*Graph!$D$5)+(U420*Graph!$D$5^2)</f>
        <v>21319.918676604575</v>
      </c>
      <c r="Z421">
        <f>Z420+(X420*Graph!$D$5)+(V420*Graph!$D$5^2)</f>
        <v>-26608.138196625441</v>
      </c>
    </row>
    <row r="422" spans="14:26" x14ac:dyDescent="0.35">
      <c r="N422">
        <f>N421+1</f>
        <v>419</v>
      </c>
      <c r="O422">
        <f>Graph!$D$22*((Graph!$D$18-Y422)/POWER((((Graph!$D$18-$Y422)^2)+((Graph!$E$18-$Z422)^2))+(Graph!$D$23^2),(3/2)))</f>
        <v>-52.925054777899447</v>
      </c>
      <c r="P422" s="84">
        <f>Graph!$D$22*((Graph!$E$18-Z422)/POWER((((Graph!$D$18-$Y422)^2)+((Graph!$E$18-$Z422)^2))+(Graph!$D$23^2),3/2))</f>
        <v>368.96037935452983</v>
      </c>
      <c r="Q422">
        <f>Graph!$D$31*((Graph!$D$27-Y422)/POWER((((Graph!$D$27-$Y422)^2)+((Graph!$E$27-$Z422)^2))+(Graph!$D$32^2),3/2))</f>
        <v>-44.619549833765404</v>
      </c>
      <c r="R422">
        <f>Graph!$D$31*((Graph!$E$27-Z422)/POWER((((Graph!$D$27-$Y422)^2)+((Graph!$E$27-$Z422)^2))+(Graph!$D$32^2),3/2))</f>
        <v>40.572579193015329</v>
      </c>
      <c r="S422">
        <f>Graph!$D$40*((Graph!$D$36-Y422)/POWER((((Graph!$D$36-$Y422)^2)+((Graph!$E$36-$Z422)^2))+(Graph!$D$41^2),3/2))</f>
        <v>-779.9438090834708</v>
      </c>
      <c r="T422">
        <f>Graph!$D$40*((Graph!$E$36-Z422)/POWER((((Graph!$D$36-$Y422)^2)+((Graph!$E$36-$Z422)^2))+(Graph!$D$41^2),3/2))</f>
        <v>446.75661787379755</v>
      </c>
      <c r="U422">
        <f>O422+Q422+S422</f>
        <v>-877.4884136951357</v>
      </c>
      <c r="V422">
        <f>P422+R422+T422</f>
        <v>856.28957642134264</v>
      </c>
      <c r="W422">
        <f>W421+(U421*Graph!$D$5)</f>
        <v>-2139.9597558407754</v>
      </c>
      <c r="X422">
        <f>X421+(V421*Graph!$D$5)</f>
        <v>17.697048201323128</v>
      </c>
      <c r="Y422">
        <f>Y421+(W421*Graph!$D$5)+(U421*Graph!$D$5^2)</f>
        <v>20249.93879868419</v>
      </c>
      <c r="Z422">
        <f>Z421+(X421*Graph!$D$5)+(V421*Graph!$D$5^2)</f>
        <v>-26599.289672524777</v>
      </c>
    </row>
    <row r="423" spans="14:26" x14ac:dyDescent="0.35">
      <c r="N423">
        <f>N422+1</f>
        <v>420</v>
      </c>
      <c r="O423">
        <f>Graph!$D$22*((Graph!$D$18-Y423)/POWER((((Graph!$D$18-$Y423)^2)+((Graph!$E$18-$Z423)^2))+(Graph!$D$23^2),(3/2)))</f>
        <v>-41.169134016238971</v>
      </c>
      <c r="P423" s="84">
        <f>Graph!$D$22*((Graph!$E$18-Z423)/POWER((((Graph!$D$18-$Y423)^2)+((Graph!$E$18-$Z423)^2))+(Graph!$D$23^2),3/2))</f>
        <v>378.12164442754829</v>
      </c>
      <c r="Q423">
        <f>Graph!$D$31*((Graph!$D$27-Y423)/POWER((((Graph!$D$27-$Y423)^2)+((Graph!$E$27-$Z423)^2))+(Graph!$D$32^2),3/2))</f>
        <v>-45.906083744639119</v>
      </c>
      <c r="R423">
        <f>Graph!$D$31*((Graph!$E$27-Z423)/POWER((((Graph!$D$27-$Y423)^2)+((Graph!$E$27-$Z423)^2))+(Graph!$D$32^2),3/2))</f>
        <v>42.861177584173802</v>
      </c>
      <c r="S423">
        <f>Graph!$D$40*((Graph!$D$36-Y423)/POWER((((Graph!$D$36-$Y423)^2)+((Graph!$E$36-$Z423)^2))+(Graph!$D$41^2),3/2))</f>
        <v>-852.11850318022914</v>
      </c>
      <c r="T423">
        <f>Graph!$D$40*((Graph!$E$36-Z423)/POWER((((Graph!$D$36-$Y423)^2)+((Graph!$E$36-$Z423)^2))+(Graph!$D$41^2),3/2))</f>
        <v>511.27185081059747</v>
      </c>
      <c r="U423">
        <f>O423+Q423+S423</f>
        <v>-939.19372094110724</v>
      </c>
      <c r="V423">
        <f>P423+R423+T423</f>
        <v>932.25467282231955</v>
      </c>
      <c r="W423">
        <f>W422+(U422*Graph!$D$5)</f>
        <v>-2578.7039626883434</v>
      </c>
      <c r="X423">
        <f>X422+(V422*Graph!$D$5)</f>
        <v>445.84183641199445</v>
      </c>
      <c r="Y423">
        <f>Y422+(W422*Graph!$D$5)+(U422*Graph!$D$5^2)</f>
        <v>18960.586817340019</v>
      </c>
      <c r="Z423">
        <f>Z422+(X422*Graph!$D$5)+(V422*Graph!$D$5^2)</f>
        <v>-26376.368754318781</v>
      </c>
    </row>
    <row r="424" spans="14:26" x14ac:dyDescent="0.35">
      <c r="N424">
        <f>N423+1</f>
        <v>421</v>
      </c>
      <c r="O424">
        <f>Graph!$D$22*((Graph!$D$18-Y424)/POWER((((Graph!$D$18-$Y424)^2)+((Graph!$E$18-$Z424)^2))+(Graph!$D$23^2),(3/2)))</f>
        <v>-26.564143356074187</v>
      </c>
      <c r="P424" s="84">
        <f>Graph!$D$22*((Graph!$E$18-Z424)/POWER((((Graph!$D$18-$Y424)^2)+((Graph!$E$18-$Z424)^2))+(Graph!$D$23^2),3/2))</f>
        <v>391.63518989681091</v>
      </c>
      <c r="Q424">
        <f>Graph!$D$31*((Graph!$D$27-Y424)/POWER((((Graph!$D$27-$Y424)^2)+((Graph!$E$27-$Z424)^2))+(Graph!$D$32^2),3/2))</f>
        <v>-47.816151428797063</v>
      </c>
      <c r="R424">
        <f>Graph!$D$31*((Graph!$E$27-Z424)/POWER((((Graph!$D$27-$Y424)^2)+((Graph!$E$27-$Z424)^2))+(Graph!$D$32^2),3/2))</f>
        <v>45.879754956829231</v>
      </c>
      <c r="S424">
        <f>Graph!$D$40*((Graph!$D$36-Y424)/POWER((((Graph!$D$36-$Y424)^2)+((Graph!$E$36-$Z424)^2))+(Graph!$D$41^2),3/2))</f>
        <v>-961.89206557056616</v>
      </c>
      <c r="T424">
        <f>Graph!$D$40*((Graph!$E$36-Z424)/POWER((((Graph!$D$36-$Y424)^2)+((Graph!$E$36-$Z424)^2))+(Graph!$D$41^2),3/2))</f>
        <v>602.42991398299864</v>
      </c>
      <c r="U424">
        <f>O424+Q424+S424</f>
        <v>-1036.2723603554375</v>
      </c>
      <c r="V424">
        <f>P424+R424+T424</f>
        <v>1039.9448588366388</v>
      </c>
      <c r="W424">
        <f>W423+(U423*Graph!$D$5)</f>
        <v>-3048.3008231588969</v>
      </c>
      <c r="X424">
        <f>X423+(V423*Graph!$D$5)</f>
        <v>911.96917282315417</v>
      </c>
      <c r="Y424">
        <f>Y423+(W423*Graph!$D$5)+(U423*Graph!$D$5^2)</f>
        <v>17436.436405760571</v>
      </c>
      <c r="Z424">
        <f>Z423+(X423*Graph!$D$5)+(V423*Graph!$D$5^2)</f>
        <v>-25920.384167907203</v>
      </c>
    </row>
    <row r="425" spans="14:26" x14ac:dyDescent="0.35">
      <c r="N425">
        <f>N424+1</f>
        <v>422</v>
      </c>
      <c r="O425">
        <f>Graph!$D$22*((Graph!$D$18-Y425)/POWER((((Graph!$D$18-$Y425)^2)+((Graph!$E$18-$Z425)^2))+(Graph!$D$23^2),(3/2)))</f>
        <v>-7.6038851714191944</v>
      </c>
      <c r="P425" s="84">
        <f>Graph!$D$22*((Graph!$E$18-Z425)/POWER((((Graph!$D$18-$Y425)^2)+((Graph!$E$18-$Z425)^2))+(Graph!$D$23^2),3/2))</f>
        <v>409.80247952666355</v>
      </c>
      <c r="Q425">
        <f>Graph!$D$31*((Graph!$D$27-Y425)/POWER((((Graph!$D$27-$Y425)^2)+((Graph!$E$27-$Z425)^2))+(Graph!$D$32^2),3/2))</f>
        <v>-50.533509986670033</v>
      </c>
      <c r="R425">
        <f>Graph!$D$31*((Graph!$E$27-Z425)/POWER((((Graph!$D$27-$Y425)^2)+((Graph!$E$27-$Z425)^2))+(Graph!$D$32^2),3/2))</f>
        <v>49.897391568719257</v>
      </c>
      <c r="S425">
        <f>Graph!$D$40*((Graph!$D$36-Y425)/POWER((((Graph!$D$36-$Y425)^2)+((Graph!$E$36-$Z425)^2))+(Graph!$D$41^2),3/2))</f>
        <v>-1132.473147311598</v>
      </c>
      <c r="T425">
        <f>Graph!$D$40*((Graph!$E$36-Z425)/POWER((((Graph!$D$36-$Y425)^2)+((Graph!$E$36-$Z425)^2))+(Graph!$D$41^2),3/2))</f>
        <v>738.26507704412882</v>
      </c>
      <c r="U425">
        <f>O425+Q425+S425</f>
        <v>-1190.6105424696873</v>
      </c>
      <c r="V425">
        <f>P425+R425+T425</f>
        <v>1197.9649481395118</v>
      </c>
      <c r="W425">
        <f>W424+(U424*Graph!$D$5)</f>
        <v>-3566.4370033366158</v>
      </c>
      <c r="X425">
        <f>X424+(V424*Graph!$D$5)</f>
        <v>1431.9416022414734</v>
      </c>
      <c r="Y425">
        <f>Y424+(W424*Graph!$D$5)+(U424*Graph!$D$5^2)</f>
        <v>15653.217904092262</v>
      </c>
      <c r="Z425">
        <f>Z424+(X424*Graph!$D$5)+(V424*Graph!$D$5^2)</f>
        <v>-25204.413366786466</v>
      </c>
    </row>
    <row r="426" spans="14:26" x14ac:dyDescent="0.35">
      <c r="N426">
        <f>N425+1</f>
        <v>423</v>
      </c>
      <c r="O426">
        <f>Graph!$D$22*((Graph!$D$18-Y426)/POWER((((Graph!$D$18-$Y426)^2)+((Graph!$E$18-$Z426)^2))+(Graph!$D$23^2),(3/2)))</f>
        <v>18.074519187889944</v>
      </c>
      <c r="P426" s="84">
        <f>Graph!$D$22*((Graph!$E$18-Z426)/POWER((((Graph!$D$18-$Y426)^2)+((Graph!$E$18-$Z426)^2))+(Graph!$D$23^2),3/2))</f>
        <v>432.84240348820907</v>
      </c>
      <c r="Q426">
        <f>Graph!$D$31*((Graph!$D$27-Y426)/POWER((((Graph!$D$27-$Y426)^2)+((Graph!$E$27-$Z426)^2))+(Graph!$D$32^2),3/2))</f>
        <v>-54.369317908721932</v>
      </c>
      <c r="R426">
        <f>Graph!$D$31*((Graph!$E$27-Z426)/POWER((((Graph!$D$27-$Y426)^2)+((Graph!$E$27-$Z426)^2))+(Graph!$D$32^2),3/2))</f>
        <v>55.36788883611807</v>
      </c>
      <c r="S426">
        <f>Graph!$D$40*((Graph!$D$36-Y426)/POWER((((Graph!$D$36-$Y426)^2)+((Graph!$E$36-$Z426)^2))+(Graph!$D$41^2),3/2))</f>
        <v>-1412.2731904930959</v>
      </c>
      <c r="T426">
        <f>Graph!$D$40*((Graph!$E$36-Z426)/POWER((((Graph!$D$36-$Y426)^2)+((Graph!$E$36-$Z426)^2))+(Graph!$D$41^2),3/2))</f>
        <v>956.15812306752059</v>
      </c>
      <c r="U426">
        <f>O426+Q426+S426</f>
        <v>-1448.5679892139278</v>
      </c>
      <c r="V426">
        <f>P426+R426+T426</f>
        <v>1444.3684153918477</v>
      </c>
      <c r="W426">
        <f>W425+(U425*Graph!$D$5)</f>
        <v>-4161.7422745714593</v>
      </c>
      <c r="X426">
        <f>X425+(V425*Graph!$D$5)</f>
        <v>2030.9240763112293</v>
      </c>
      <c r="Y426">
        <f>Y425+(W425*Graph!$D$5)+(U425*Graph!$D$5^2)</f>
        <v>13572.346766806531</v>
      </c>
      <c r="Z426">
        <f>Z425+(X425*Graph!$D$5)+(V425*Graph!$D$5^2)</f>
        <v>-24188.95132863085</v>
      </c>
    </row>
    <row r="427" spans="14:26" x14ac:dyDescent="0.35">
      <c r="N427">
        <f>N426+1</f>
        <v>424</v>
      </c>
      <c r="O427">
        <f>Graph!$D$22*((Graph!$D$18-Y427)/POWER((((Graph!$D$18-$Y427)^2)+((Graph!$E$18-$Z427)^2))+(Graph!$D$23^2),(3/2)))</f>
        <v>54.31468111655375</v>
      </c>
      <c r="P427" s="84">
        <f>Graph!$D$22*((Graph!$E$18-Z427)/POWER((((Graph!$D$18-$Y427)^2)+((Graph!$E$18-$Z427)^2))+(Graph!$D$23^2),3/2))</f>
        <v>460.4361938025416</v>
      </c>
      <c r="Q427">
        <f>Graph!$D$31*((Graph!$D$27-Y427)/POWER((((Graph!$D$27-$Y427)^2)+((Graph!$E$27-$Z427)^2))+(Graph!$D$32^2),3/2))</f>
        <v>-59.884423994578334</v>
      </c>
      <c r="R427">
        <f>Graph!$D$31*((Graph!$E$27-Z427)/POWER((((Graph!$D$27-$Y427)^2)+((Graph!$E$27-$Z427)^2))+(Graph!$D$32^2),3/2))</f>
        <v>63.122183359841323</v>
      </c>
      <c r="S427">
        <f>Graph!$D$40*((Graph!$D$36-Y427)/POWER((((Graph!$D$36-$Y427)^2)+((Graph!$E$36-$Z427)^2))+(Graph!$D$41^2),3/2))</f>
        <v>-1916.2966027008531</v>
      </c>
      <c r="T427">
        <f>Graph!$D$40*((Graph!$E$36-Z427)/POWER((((Graph!$D$36-$Y427)^2)+((Graph!$E$36-$Z427)^2))+(Graph!$D$41^2),3/2))</f>
        <v>1345.1721983017655</v>
      </c>
      <c r="U427">
        <f>O427+Q427+S427</f>
        <v>-1921.8663455788776</v>
      </c>
      <c r="V427">
        <f>P427+R427+T427</f>
        <v>1868.7305754641484</v>
      </c>
      <c r="W427">
        <f>W426+(U426*Graph!$D$5)</f>
        <v>-4886.0262691784228</v>
      </c>
      <c r="X427">
        <f>X426+(V426*Graph!$D$5)</f>
        <v>2753.1082840071531</v>
      </c>
      <c r="Y427">
        <f>Y426+(W426*Graph!$D$5)+(U426*Graph!$D$5^2)</f>
        <v>11129.33363221732</v>
      </c>
      <c r="Z427">
        <f>Z426+(X426*Graph!$D$5)+(V426*Graph!$D$5^2)</f>
        <v>-22812.397186627273</v>
      </c>
    </row>
    <row r="428" spans="14:26" x14ac:dyDescent="0.35">
      <c r="N428">
        <f>N427+1</f>
        <v>425</v>
      </c>
      <c r="O428">
        <f>Graph!$D$22*((Graph!$D$18-Y428)/POWER((((Graph!$D$18-$Y428)^2)+((Graph!$E$18-$Z428)^2))+(Graph!$D$23^2),(3/2)))</f>
        <v>107.58199229969421</v>
      </c>
      <c r="P428" s="84">
        <f>Graph!$D$22*((Graph!$E$18-Z428)/POWER((((Graph!$D$18-$Y428)^2)+((Graph!$E$18-$Z428)^2))+(Graph!$D$23^2),3/2))</f>
        <v>490.37364537608539</v>
      </c>
      <c r="Q428">
        <f>Graph!$D$31*((Graph!$D$27-Y428)/POWER((((Graph!$D$27-$Y428)^2)+((Graph!$E$27-$Z428)^2))+(Graph!$D$32^2),3/2))</f>
        <v>-68.205925256284431</v>
      </c>
      <c r="R428">
        <f>Graph!$D$31*((Graph!$E$27-Z428)/POWER((((Graph!$D$27-$Y428)^2)+((Graph!$E$27-$Z428)^2))+(Graph!$D$32^2),3/2))</f>
        <v>74.886799854696122</v>
      </c>
      <c r="S428">
        <f>Graph!$D$40*((Graph!$D$36-Y428)/POWER((((Graph!$D$36-$Y428)^2)+((Graph!$E$36-$Z428)^2))+(Graph!$D$41^2),3/2))</f>
        <v>-2968.2894137736293</v>
      </c>
      <c r="T428">
        <f>Graph!$D$40*((Graph!$E$36-Z428)/POWER((((Graph!$D$36-$Y428)^2)+((Graph!$E$36-$Z428)^2))+(Graph!$D$41^2),3/2))</f>
        <v>2159.0332552381378</v>
      </c>
      <c r="U428">
        <f>O428+Q428+S428</f>
        <v>-2928.9133467302195</v>
      </c>
      <c r="V428">
        <f>P428+R428+T428</f>
        <v>2724.2937004689193</v>
      </c>
      <c r="W428">
        <f>W427+(U427*Graph!$D$5)</f>
        <v>-5846.9594419678615</v>
      </c>
      <c r="X428">
        <f>X427+(V427*Graph!$D$5)</f>
        <v>3687.4735717392273</v>
      </c>
      <c r="Y428">
        <f>Y427+(W427*Graph!$D$5)+(U427*Graph!$D$5^2)</f>
        <v>8205.8539112333892</v>
      </c>
      <c r="Z428">
        <f>Z427+(X427*Graph!$D$5)+(V427*Graph!$D$5^2)</f>
        <v>-20968.660400757661</v>
      </c>
    </row>
    <row r="429" spans="14:26" x14ac:dyDescent="0.35">
      <c r="N429">
        <f>N428+1</f>
        <v>426</v>
      </c>
      <c r="O429">
        <f>Graph!$D$22*((Graph!$D$18-Y429)/POWER((((Graph!$D$18-$Y429)^2)+((Graph!$E$18-$Z429)^2))+(Graph!$D$23^2),(3/2)))</f>
        <v>188.87183682885086</v>
      </c>
      <c r="P429" s="84">
        <f>Graph!$D$22*((Graph!$E$18-Z429)/POWER((((Graph!$D$18-$Y429)^2)+((Graph!$E$18-$Z429)^2))+(Graph!$D$23^2),3/2))</f>
        <v>514.09734112513036</v>
      </c>
      <c r="Q429">
        <f>Graph!$D$31*((Graph!$D$27-Y429)/POWER((((Graph!$D$27-$Y429)^2)+((Graph!$E$27-$Z429)^2))+(Graph!$D$32^2),3/2))</f>
        <v>-82.049553030365587</v>
      </c>
      <c r="R429">
        <f>Graph!$D$31*((Graph!$E$27-Z429)/POWER((((Graph!$D$27-$Y429)^2)+((Graph!$E$27-$Z429)^2))+(Graph!$D$32^2),3/2))</f>
        <v>95.062783270360697</v>
      </c>
      <c r="S429">
        <f>Graph!$D$40*((Graph!$D$36-Y429)/POWER((((Graph!$D$36-$Y429)^2)+((Graph!$E$36-$Z429)^2))+(Graph!$D$41^2),3/2))</f>
        <v>-5455.0441482244696</v>
      </c>
      <c r="T429">
        <f>Graph!$D$40*((Graph!$E$36-Z429)/POWER((((Graph!$D$36-$Y429)^2)+((Graph!$E$36-$Z429)^2))+(Graph!$D$41^2),3/2))</f>
        <v>4128.7368426540061</v>
      </c>
      <c r="U429">
        <f>O429+Q429+S429</f>
        <v>-5348.2218644259847</v>
      </c>
      <c r="V429">
        <f>P429+R429+T429</f>
        <v>4737.8969670494971</v>
      </c>
      <c r="W429">
        <f>W428+(U428*Graph!$D$5)</f>
        <v>-7311.4161153329715</v>
      </c>
      <c r="X429">
        <f>X428+(V428*Graph!$D$5)</f>
        <v>5049.6204219736865</v>
      </c>
      <c r="Y429">
        <f>Y428+(W428*Graph!$D$5)+(U428*Graph!$D$5^2)</f>
        <v>4550.1458535669035</v>
      </c>
      <c r="Z429">
        <f>Z428+(X428*Graph!$D$5)+(V428*Graph!$D$5^2)</f>
        <v>-18443.850189770819</v>
      </c>
    </row>
    <row r="430" spans="14:26" x14ac:dyDescent="0.35">
      <c r="N430">
        <f>N429+1</f>
        <v>427</v>
      </c>
      <c r="O430">
        <f>Graph!$D$22*((Graph!$D$18-Y430)/POWER((((Graph!$D$18-$Y430)^2)+((Graph!$E$18-$Z430)^2))+(Graph!$D$23^2),(3/2)))</f>
        <v>312.25119416310764</v>
      </c>
      <c r="P430" s="84">
        <f>Graph!$D$22*((Graph!$E$18-Z430)/POWER((((Graph!$D$18-$Y430)^2)+((Graph!$E$18-$Z430)^2))+(Graph!$D$23^2),3/2))</f>
        <v>500.13526549918231</v>
      </c>
      <c r="Q430">
        <f>Graph!$D$31*((Graph!$D$27-Y430)/POWER((((Graph!$D$27-$Y430)^2)+((Graph!$E$27-$Z430)^2))+(Graph!$D$32^2),3/2))</f>
        <v>-109.99094811346819</v>
      </c>
      <c r="R430">
        <f>Graph!$D$31*((Graph!$E$27-Z430)/POWER((((Graph!$D$27-$Y430)^2)+((Graph!$E$27-$Z430)^2))+(Graph!$D$32^2),3/2))</f>
        <v>139.10748845183403</v>
      </c>
      <c r="S430">
        <f>Graph!$D$40*((Graph!$D$36-Y430)/POWER((((Graph!$D$36-$Y430)^2)+((Graph!$E$36-$Z430)^2))+(Graph!$D$41^2),3/2))</f>
        <v>1824.7913024501595</v>
      </c>
      <c r="T430">
        <f>Graph!$D$40*((Graph!$E$36-Z430)/POWER((((Graph!$D$36-$Y430)^2)+((Graph!$E$36-$Z430)^2))+(Graph!$D$41^2),3/2))</f>
        <v>-1094.3126925541317</v>
      </c>
      <c r="U430">
        <f>O430+Q430+S430</f>
        <v>2027.0515484997989</v>
      </c>
      <c r="V430">
        <f>P430+R430+T430</f>
        <v>-455.06993860311536</v>
      </c>
      <c r="W430">
        <f>W429+(U429*Graph!$D$5)</f>
        <v>-9985.5270475459638</v>
      </c>
      <c r="X430">
        <f>X429+(V429*Graph!$D$5)</f>
        <v>7418.568905498435</v>
      </c>
      <c r="Y430">
        <f>Y429+(W429*Graph!$D$5)+(U429*Graph!$D$5^2)</f>
        <v>-442.6176702060784</v>
      </c>
      <c r="Z430">
        <f>Z429+(X429*Graph!$D$5)+(V429*Graph!$D$5^2)</f>
        <v>-14734.565737021601</v>
      </c>
    </row>
    <row r="431" spans="14:26" x14ac:dyDescent="0.35">
      <c r="N431">
        <f>N430+1</f>
        <v>428</v>
      </c>
      <c r="O431">
        <f>Graph!$D$22*((Graph!$D$18-Y431)/POWER((((Graph!$D$18-$Y431)^2)+((Graph!$E$18-$Z431)^2))+(Graph!$D$23^2),(3/2)))</f>
        <v>407.32328935985129</v>
      </c>
      <c r="P431" s="84">
        <f>Graph!$D$22*((Graph!$E$18-Z431)/POWER((((Graph!$D$18-$Y431)^2)+((Graph!$E$18-$Z431)^2))+(Graph!$D$23^2),3/2))</f>
        <v>432.06341482965161</v>
      </c>
      <c r="Q431">
        <f>Graph!$D$31*((Graph!$D$27-Y431)/POWER((((Graph!$D$27-$Y431)^2)+((Graph!$E$27-$Z431)^2))+(Graph!$D$32^2),3/2))</f>
        <v>-150.56244084558534</v>
      </c>
      <c r="R431">
        <f>Graph!$D$31*((Graph!$E$27-Z431)/POWER((((Graph!$D$27-$Y431)^2)+((Graph!$E$27-$Z431)^2))+(Graph!$D$32^2),3/2))</f>
        <v>211.17816830625264</v>
      </c>
      <c r="S431">
        <f>Graph!$D$40*((Graph!$D$36-Y431)/POWER((((Graph!$D$36-$Y431)^2)+((Graph!$E$36-$Z431)^2))+(Graph!$D$41^2),3/2))</f>
        <v>5016.9445319637962</v>
      </c>
      <c r="T431">
        <f>Graph!$D$40*((Graph!$E$36-Z431)/POWER((((Graph!$D$36-$Y431)^2)+((Graph!$E$36-$Z431)^2))+(Graph!$D$41^2),3/2))</f>
        <v>-3930.1436956463426</v>
      </c>
      <c r="U431">
        <f>O431+Q431+S431</f>
        <v>5273.7053804780626</v>
      </c>
      <c r="V431">
        <f>P431+R431+T431</f>
        <v>-3286.9021125104382</v>
      </c>
      <c r="W431">
        <f>W430+(U430*Graph!$D$5)</f>
        <v>-8972.001273296064</v>
      </c>
      <c r="X431">
        <f>X430+(V430*Graph!$D$5)</f>
        <v>7191.0339361968772</v>
      </c>
      <c r="Y431">
        <f>Y430+(W430*Graph!$D$5)+(U430*Graph!$D$5^2)</f>
        <v>-4928.6183068541104</v>
      </c>
      <c r="Z431">
        <f>Z430+(X430*Graph!$D$5)+(V430*Graph!$D$5^2)</f>
        <v>-11139.048768923161</v>
      </c>
    </row>
    <row r="432" spans="14:26" x14ac:dyDescent="0.35">
      <c r="N432">
        <f>N431+1</f>
        <v>429</v>
      </c>
      <c r="O432">
        <f>Graph!$D$22*((Graph!$D$18-Y432)/POWER((((Graph!$D$18-$Y432)^2)+((Graph!$E$18-$Z432)^2))+(Graph!$D$23^2),(3/2)))</f>
        <v>451.11050717685458</v>
      </c>
      <c r="P432" s="84">
        <f>Graph!$D$22*((Graph!$E$18-Z432)/POWER((((Graph!$D$18-$Y432)^2)+((Graph!$E$18-$Z432)^2))+(Graph!$D$23^2),3/2))</f>
        <v>358.70676574966285</v>
      </c>
      <c r="Q432">
        <f>Graph!$D$31*((Graph!$D$27-Y432)/POWER((((Graph!$D$27-$Y432)^2)+((Graph!$E$27-$Z432)^2))+(Graph!$D$32^2),3/2))</f>
        <v>-196.35724274412823</v>
      </c>
      <c r="R432">
        <f>Graph!$D$31*((Graph!$E$27-Z432)/POWER((((Graph!$D$27-$Y432)^2)+((Graph!$E$27-$Z432)^2))+(Graph!$D$32^2),3/2))</f>
        <v>302.94099776089331</v>
      </c>
      <c r="S432">
        <f>Graph!$D$40*((Graph!$D$36-Y432)/POWER((((Graph!$D$36-$Y432)^2)+((Graph!$E$36-$Z432)^2))+(Graph!$D$41^2),3/2))</f>
        <v>2715.6015949585531</v>
      </c>
      <c r="T432">
        <f>Graph!$D$40*((Graph!$E$36-Z432)/POWER((((Graph!$D$36-$Y432)^2)+((Graph!$E$36-$Z432)^2))+(Graph!$D$41^2),3/2))</f>
        <v>-2225.4062709965579</v>
      </c>
      <c r="U432">
        <f>O432+Q432+S432</f>
        <v>2970.3548593912792</v>
      </c>
      <c r="V432">
        <f>P432+R432+T432</f>
        <v>-1563.7585074860017</v>
      </c>
      <c r="W432">
        <f>W431+(U431*Graph!$D$5)</f>
        <v>-6335.1485830570327</v>
      </c>
      <c r="X432">
        <f>X431+(V431*Graph!$D$5)</f>
        <v>5547.5828799416577</v>
      </c>
      <c r="Y432">
        <f>Y431+(W431*Graph!$D$5)+(U431*Graph!$D$5^2)</f>
        <v>-8096.1925983826268</v>
      </c>
      <c r="Z432">
        <f>Z431+(X431*Graph!$D$5)+(V431*Graph!$D$5^2)</f>
        <v>-8365.2573289523334</v>
      </c>
    </row>
    <row r="433" spans="14:26" x14ac:dyDescent="0.35">
      <c r="N433">
        <f>N432+1</f>
        <v>430</v>
      </c>
      <c r="O433">
        <f>Graph!$D$22*((Graph!$D$18-Y433)/POWER((((Graph!$D$18-$Y433)^2)+((Graph!$E$18-$Z433)^2))+(Graph!$D$23^2),(3/2)))</f>
        <v>469.82679291647435</v>
      </c>
      <c r="P433" s="84">
        <f>Graph!$D$22*((Graph!$E$18-Z433)/POWER((((Graph!$D$18-$Y433)^2)+((Graph!$E$18-$Z433)^2))+(Graph!$D$23^2),3/2))</f>
        <v>294.22475228595732</v>
      </c>
      <c r="Q433">
        <f>Graph!$D$31*((Graph!$D$27-Y433)/POWER((((Graph!$D$27-$Y433)^2)+((Graph!$E$27-$Z433)^2))+(Graph!$D$32^2),3/2))</f>
        <v>-251.80747735781361</v>
      </c>
      <c r="R433">
        <f>Graph!$D$31*((Graph!$E$27-Z433)/POWER((((Graph!$D$27-$Y433)^2)+((Graph!$E$27-$Z433)^2))+(Graph!$D$32^2),3/2))</f>
        <v>424.57694525589807</v>
      </c>
      <c r="S433">
        <f>Graph!$D$40*((Graph!$D$36-Y433)/POWER((((Graph!$D$36-$Y433)^2)+((Graph!$E$36-$Z433)^2))+(Graph!$D$41^2),3/2))</f>
        <v>1723.2043080915621</v>
      </c>
      <c r="T433">
        <f>Graph!$D$40*((Graph!$E$36-Z433)/POWER((((Graph!$D$36-$Y433)^2)+((Graph!$E$36-$Z433)^2))+(Graph!$D$41^2),3/2))</f>
        <v>-1476.9408335403734</v>
      </c>
      <c r="U433">
        <f>O433+Q433+S433</f>
        <v>1941.2236236502229</v>
      </c>
      <c r="V433">
        <f>P433+R433+T433</f>
        <v>-758.13913599851799</v>
      </c>
      <c r="W433">
        <f>W432+(U432*Graph!$D$5)</f>
        <v>-4849.9711533613936</v>
      </c>
      <c r="X433">
        <f>X432+(V432*Graph!$D$5)</f>
        <v>4765.7036261986568</v>
      </c>
      <c r="Y433">
        <f>Y432+(W432*Graph!$D$5)+(U432*Graph!$D$5^2)</f>
        <v>-10521.178175063324</v>
      </c>
      <c r="Z433">
        <f>Z432+(X432*Graph!$D$5)+(V432*Graph!$D$5^2)</f>
        <v>-5982.4055158530045</v>
      </c>
    </row>
    <row r="434" spans="14:26" x14ac:dyDescent="0.35">
      <c r="N434">
        <f>N433+1</f>
        <v>431</v>
      </c>
      <c r="O434">
        <f>Graph!$D$22*((Graph!$D$18-Y434)/POWER((((Graph!$D$18-$Y434)^2)+((Graph!$E$18-$Z434)^2))+(Graph!$D$23^2),(3/2)))</f>
        <v>476.50481296724473</v>
      </c>
      <c r="P434" s="84">
        <f>Graph!$D$22*((Graph!$E$18-Z434)/POWER((((Graph!$D$18-$Y434)^2)+((Graph!$E$18-$Z434)^2))+(Graph!$D$23^2),3/2))</f>
        <v>239.27027579608472</v>
      </c>
      <c r="Q434">
        <f>Graph!$D$31*((Graph!$D$27-Y434)/POWER((((Graph!$D$27-$Y434)^2)+((Graph!$E$27-$Z434)^2))+(Graph!$D$32^2),3/2))</f>
        <v>-324.4088932810123</v>
      </c>
      <c r="R434">
        <f>Graph!$D$31*((Graph!$E$27-Z434)/POWER((((Graph!$D$27-$Y434)^2)+((Graph!$E$27-$Z434)^2))+(Graph!$D$32^2),3/2))</f>
        <v>593.34375766720552</v>
      </c>
      <c r="S434">
        <f>Graph!$D$40*((Graph!$D$36-Y434)/POWER((((Graph!$D$36-$Y434)^2)+((Graph!$E$36-$Z434)^2))+(Graph!$D$41^2),3/2))</f>
        <v>1219.143636367769</v>
      </c>
      <c r="T434">
        <f>Graph!$D$40*((Graph!$E$36-Z434)/POWER((((Graph!$D$36-$Y434)^2)+((Graph!$E$36-$Z434)^2))+(Graph!$D$41^2),3/2))</f>
        <v>-1096.8515649850806</v>
      </c>
      <c r="U434">
        <f>O434+Q434+S434</f>
        <v>1371.2395560540015</v>
      </c>
      <c r="V434">
        <f>P434+R434+T434</f>
        <v>-264.23753152179029</v>
      </c>
      <c r="W434">
        <f>W433+(U433*Graph!$D$5)</f>
        <v>-3879.359341536282</v>
      </c>
      <c r="X434">
        <f>X433+(V433*Graph!$D$5)</f>
        <v>4386.6340581993982</v>
      </c>
      <c r="Y434">
        <f>Y433+(W433*Graph!$D$5)+(U433*Graph!$D$5^2)</f>
        <v>-12460.857845831466</v>
      </c>
      <c r="Z434">
        <f>Z433+(X433*Graph!$D$5)+(V433*Graph!$D$5^2)</f>
        <v>-3789.0884867533055</v>
      </c>
    </row>
    <row r="435" spans="14:26" x14ac:dyDescent="0.35">
      <c r="N435">
        <f>N434+1</f>
        <v>432</v>
      </c>
      <c r="O435">
        <f>Graph!$D$22*((Graph!$D$18-Y435)/POWER((((Graph!$D$18-$Y435)^2)+((Graph!$E$18-$Z435)^2))+(Graph!$D$23^2),(3/2)))</f>
        <v>477.2923300597883</v>
      </c>
      <c r="P435" s="84">
        <f>Graph!$D$22*((Graph!$E$18-Z435)/POWER((((Graph!$D$18-$Y435)^2)+((Graph!$E$18-$Z435)^2))+(Graph!$D$23^2),3/2))</f>
        <v>191.55325860227933</v>
      </c>
      <c r="Q435">
        <f>Graph!$D$31*((Graph!$D$27-Y435)/POWER((((Graph!$D$27-$Y435)^2)+((Graph!$E$27-$Z435)^2))+(Graph!$D$32^2),3/2))</f>
        <v>-429.12333250458278</v>
      </c>
      <c r="R435">
        <f>Graph!$D$31*((Graph!$E$27-Z435)/POWER((((Graph!$D$27-$Y435)^2)+((Graph!$E$27-$Z435)^2))+(Graph!$D$32^2),3/2))</f>
        <v>842.16330046173903</v>
      </c>
      <c r="S435">
        <f>Graph!$D$40*((Graph!$D$36-Y435)/POWER((((Graph!$D$36-$Y435)^2)+((Graph!$E$36-$Z435)^2))+(Graph!$D$41^2),3/2))</f>
        <v>918.26265933860122</v>
      </c>
      <c r="T435">
        <f>Graph!$D$40*((Graph!$E$36-Z435)/POWER((((Graph!$D$36-$Y435)^2)+((Graph!$E$36-$Z435)^2))+(Graph!$D$41^2),3/2))</f>
        <v>-871.26049156370266</v>
      </c>
      <c r="U435">
        <f>O435+Q435+S435</f>
        <v>966.4316568938068</v>
      </c>
      <c r="V435">
        <f>P435+R435+T435</f>
        <v>162.45606750031573</v>
      </c>
      <c r="W435">
        <f>W434+(U434*Graph!$D$5)</f>
        <v>-3193.7395635092812</v>
      </c>
      <c r="X435">
        <f>X434+(V434*Graph!$D$5)</f>
        <v>4254.5152924385029</v>
      </c>
      <c r="Y435">
        <f>Y434+(W434*Graph!$D$5)+(U434*Graph!$D$5^2)</f>
        <v>-14057.727627586106</v>
      </c>
      <c r="Z435">
        <f>Z434+(X434*Graph!$D$5)+(V434*Graph!$D$5^2)</f>
        <v>-1661.830840534054</v>
      </c>
    </row>
    <row r="436" spans="14:26" x14ac:dyDescent="0.35">
      <c r="N436">
        <f>N435+1</f>
        <v>433</v>
      </c>
      <c r="O436">
        <f>Graph!$D$22*((Graph!$D$18-Y436)/POWER((((Graph!$D$18-$Y436)^2)+((Graph!$E$18-$Z436)^2))+(Graph!$D$23^2),(3/2)))</f>
        <v>474.73840362139157</v>
      </c>
      <c r="P436" s="84">
        <f>Graph!$D$22*((Graph!$E$18-Z436)/POWER((((Graph!$D$18-$Y436)^2)+((Graph!$E$18-$Z436)^2))+(Graph!$D$23^2),3/2))</f>
        <v>148.19809228777072</v>
      </c>
      <c r="Q436">
        <f>Graph!$D$31*((Graph!$D$27-Y436)/POWER((((Graph!$D$27-$Y436)^2)+((Graph!$E$27-$Z436)^2))+(Graph!$D$32^2),3/2))</f>
        <v>-600.77642822323389</v>
      </c>
      <c r="R436">
        <f>Graph!$D$31*((Graph!$E$27-Z436)/POWER((((Graph!$D$27-$Y436)^2)+((Graph!$E$27-$Z436)^2))+(Graph!$D$32^2),3/2))</f>
        <v>1243.4562506992293</v>
      </c>
      <c r="S436">
        <f>Graph!$D$40*((Graph!$D$36-Y436)/POWER((((Graph!$D$36-$Y436)^2)+((Graph!$E$36-$Z436)^2))+(Graph!$D$41^2),3/2))</f>
        <v>715.37985093059046</v>
      </c>
      <c r="T436">
        <f>Graph!$D$40*((Graph!$E$36-Z436)/POWER((((Graph!$D$36-$Y436)^2)+((Graph!$E$36-$Z436)^2))+(Graph!$D$41^2),3/2))</f>
        <v>-719.69874343201877</v>
      </c>
      <c r="U436">
        <f>O436+Q436+S436</f>
        <v>589.34182632874808</v>
      </c>
      <c r="V436">
        <f>P436+R436+T436</f>
        <v>671.95559955498129</v>
      </c>
      <c r="W436">
        <f>W435+(U435*Graph!$D$5)</f>
        <v>-2710.5237350623779</v>
      </c>
      <c r="X436">
        <f>X435+(V435*Graph!$D$5)</f>
        <v>4335.7433261886608</v>
      </c>
      <c r="Y436">
        <f>Y435+(W435*Graph!$D$5)+(U435*Graph!$D$5^2)</f>
        <v>-15412.989495117294</v>
      </c>
      <c r="Z436">
        <f>Z435+(X435*Graph!$D$5)+(V435*Graph!$D$5^2)</f>
        <v>506.04082256027641</v>
      </c>
    </row>
    <row r="437" spans="14:26" x14ac:dyDescent="0.35">
      <c r="N437">
        <f>N436+1</f>
        <v>434</v>
      </c>
      <c r="O437">
        <f>Graph!$D$22*((Graph!$D$18-Y437)/POWER((((Graph!$D$18-$Y437)^2)+((Graph!$E$18-$Z437)^2))+(Graph!$D$23^2),(3/2)))</f>
        <v>469.00944663812282</v>
      </c>
      <c r="P437" s="84">
        <f>Graph!$D$22*((Graph!$E$18-Z437)/POWER((((Graph!$D$18-$Y437)^2)+((Graph!$E$18-$Z437)^2))+(Graph!$D$23^2),3/2))</f>
        <v>106.17073458973915</v>
      </c>
      <c r="Q437">
        <f>Graph!$D$31*((Graph!$D$27-Y437)/POWER((((Graph!$D$27-$Y437)^2)+((Graph!$E$27-$Z437)^2))+(Graph!$D$32^2),3/2))</f>
        <v>-936.07736673429292</v>
      </c>
      <c r="R437">
        <f>Graph!$D$31*((Graph!$E$27-Z437)/POWER((((Graph!$D$27-$Y437)^2)+((Graph!$E$27-$Z437)^2))+(Graph!$D$32^2),3/2))</f>
        <v>1982.9438734224152</v>
      </c>
      <c r="S437">
        <f>Graph!$D$40*((Graph!$D$36-Y437)/POWER((((Graph!$D$36-$Y437)^2)+((Graph!$E$36-$Z437)^2))+(Graph!$D$41^2),3/2))</f>
        <v>564.28534594246878</v>
      </c>
      <c r="T437">
        <f>Graph!$D$40*((Graph!$E$36-Z437)/POWER((((Graph!$D$36-$Y437)^2)+((Graph!$E$36-$Z437)^2))+(Graph!$D$41^2),3/2))</f>
        <v>-605.73818870825016</v>
      </c>
      <c r="U437">
        <f>O437+Q437+S437</f>
        <v>97.217425846298681</v>
      </c>
      <c r="V437">
        <f>P437+R437+T437</f>
        <v>1483.3764193039042</v>
      </c>
      <c r="W437">
        <f>W436+(U436*Graph!$D$5)</f>
        <v>-2415.8528218980036</v>
      </c>
      <c r="X437">
        <f>X436+(V436*Graph!$D$5)</f>
        <v>4671.7211259661517</v>
      </c>
      <c r="Y437">
        <f>Y436+(W436*Graph!$D$5)+(U436*Graph!$D$5^2)</f>
        <v>-16620.915906066297</v>
      </c>
      <c r="Z437">
        <f>Z436+(X436*Graph!$D$5)+(V436*Graph!$D$5^2)</f>
        <v>2841.9013855433523</v>
      </c>
    </row>
    <row r="438" spans="14:26" x14ac:dyDescent="0.35">
      <c r="N438">
        <f>N437+1</f>
        <v>435</v>
      </c>
      <c r="O438">
        <f>Graph!$D$22*((Graph!$D$18-Y438)/POWER((((Graph!$D$18-$Y438)^2)+((Graph!$E$18-$Z438)^2))+(Graph!$D$23^2),(3/2)))</f>
        <v>457.6691759463157</v>
      </c>
      <c r="P438" s="84">
        <f>Graph!$D$22*((Graph!$E$18-Z438)/POWER((((Graph!$D$18-$Y438)^2)+((Graph!$E$18-$Z438)^2))+(Graph!$D$23^2),3/2))</f>
        <v>62.103170049959623</v>
      </c>
      <c r="Q438">
        <f>Graph!$D$31*((Graph!$D$27-Y438)/POWER((((Graph!$D$27-$Y438)^2)+((Graph!$E$27-$Z438)^2))+(Graph!$D$32^2),3/2))</f>
        <v>-1760.1296976500669</v>
      </c>
      <c r="R438">
        <f>Graph!$D$31*((Graph!$E$27-Z438)/POWER((((Graph!$D$27-$Y438)^2)+((Graph!$E$27-$Z438)^2))+(Graph!$D$32^2),3/2))</f>
        <v>3568.7388534443835</v>
      </c>
      <c r="S438">
        <f>Graph!$D$40*((Graph!$D$36-Y438)/POWER((((Graph!$D$36-$Y438)^2)+((Graph!$E$36-$Z438)^2))+(Graph!$D$41^2),3/2))</f>
        <v>441.24409001599287</v>
      </c>
      <c r="T438">
        <f>Graph!$D$40*((Graph!$E$36-Z438)/POWER((((Graph!$D$36-$Y438)^2)+((Graph!$E$36-$Z438)^2))+(Graph!$D$41^2),3/2))</f>
        <v>-509.24943962020234</v>
      </c>
      <c r="U438">
        <f>O438+Q438+S438</f>
        <v>-861.21643168775813</v>
      </c>
      <c r="V438">
        <f>P438+R438+T438</f>
        <v>3121.5925838741409</v>
      </c>
      <c r="W438">
        <f>W437+(U437*Graph!$D$5)</f>
        <v>-2367.2441089748545</v>
      </c>
      <c r="X438">
        <f>X437+(V437*Graph!$D$5)</f>
        <v>5413.4093356181038</v>
      </c>
      <c r="Y438">
        <f>Y437+(W437*Graph!$D$5)+(U437*Graph!$D$5^2)</f>
        <v>-17804.537960553724</v>
      </c>
      <c r="Z438">
        <f>Z437+(X437*Graph!$D$5)+(V437*Graph!$D$5^2)</f>
        <v>5548.6060533524033</v>
      </c>
    </row>
    <row r="439" spans="14:26" x14ac:dyDescent="0.35">
      <c r="N439">
        <f>N438+1</f>
        <v>436</v>
      </c>
      <c r="O439">
        <f>Graph!$D$22*((Graph!$D$18-Y439)/POWER((((Graph!$D$18-$Y439)^2)+((Graph!$E$18-$Z439)^2))+(Graph!$D$23^2),(3/2)))</f>
        <v>433.08902609166586</v>
      </c>
      <c r="P439" s="84">
        <f>Graph!$D$22*((Graph!$E$18-Z439)/POWER((((Graph!$D$18-$Y439)^2)+((Graph!$E$18-$Z439)^2))+(Graph!$D$23^2),3/2))</f>
        <v>12.209988617004521</v>
      </c>
      <c r="Q439">
        <f>Graph!$D$31*((Graph!$D$27-Y439)/POWER((((Graph!$D$27-$Y439)^2)+((Graph!$E$27-$Z439)^2))+(Graph!$D$32^2),3/2))</f>
        <v>-2786.1435959692321</v>
      </c>
      <c r="R439">
        <f>Graph!$D$31*((Graph!$E$27-Z439)/POWER((((Graph!$D$27-$Y439)^2)+((Graph!$E$27-$Z439)^2))+(Graph!$D$32^2),3/2))</f>
        <v>3372.9222272949823</v>
      </c>
      <c r="S439">
        <f>Graph!$D$40*((Graph!$D$36-Y439)/POWER((((Graph!$D$36-$Y439)^2)+((Graph!$E$36-$Z439)^2))+(Graph!$D$41^2),3/2))</f>
        <v>332.06401546724567</v>
      </c>
      <c r="T439">
        <f>Graph!$D$40*((Graph!$E$36-Z439)/POWER((((Graph!$D$36-$Y439)^2)+((Graph!$E$36-$Z439)^2))+(Graph!$D$41^2),3/2))</f>
        <v>-415.62261631102723</v>
      </c>
      <c r="U439">
        <f>O439+Q439+S439</f>
        <v>-2020.9905544103208</v>
      </c>
      <c r="V439">
        <f>P439+R439+T439</f>
        <v>2969.5095996009595</v>
      </c>
      <c r="W439">
        <f>W438+(U438*Graph!$D$5)</f>
        <v>-2797.8523248187335</v>
      </c>
      <c r="X439">
        <f>X438+(V438*Graph!$D$5)</f>
        <v>6974.205627555174</v>
      </c>
      <c r="Y439">
        <f>Y438+(W438*Graph!$D$5)+(U438*Graph!$D$5^2)</f>
        <v>-19203.464122963091</v>
      </c>
      <c r="Z439">
        <f>Z438+(X438*Graph!$D$5)+(V438*Graph!$D$5^2)</f>
        <v>9035.7088671299898</v>
      </c>
    </row>
    <row r="440" spans="14:26" x14ac:dyDescent="0.35">
      <c r="N440">
        <f>N439+1</f>
        <v>437</v>
      </c>
      <c r="O440">
        <f>Graph!$D$22*((Graph!$D$18-Y440)/POWER((((Graph!$D$18-$Y440)^2)+((Graph!$E$18-$Z440)^2))+(Graph!$D$23^2),(3/2)))</f>
        <v>385.67464146394053</v>
      </c>
      <c r="P440" s="84">
        <f>Graph!$D$22*((Graph!$E$18-Z440)/POWER((((Graph!$D$18-$Y440)^2)+((Graph!$E$18-$Z440)^2))+(Graph!$D$23^2),3/2))</f>
        <v>-34.876294890959002</v>
      </c>
      <c r="Q440">
        <f>Graph!$D$31*((Graph!$D$27-Y440)/POWER((((Graph!$D$27-$Y440)^2)+((Graph!$E$27-$Z440)^2))+(Graph!$D$32^2),3/2))</f>
        <v>1677.3741974904631</v>
      </c>
      <c r="R440">
        <f>Graph!$D$31*((Graph!$E$27-Z440)/POWER((((Graph!$D$27-$Y440)^2)+((Graph!$E$27-$Z440)^2))+(Graph!$D$32^2),3/2))</f>
        <v>-4944.7060230831012</v>
      </c>
      <c r="S440">
        <f>Graph!$D$40*((Graph!$D$36-Y440)/POWER((((Graph!$D$36-$Y440)^2)+((Graph!$E$36-$Z440)^2))+(Graph!$D$41^2),3/2))</f>
        <v>244.35046429684738</v>
      </c>
      <c r="T440">
        <f>Graph!$D$40*((Graph!$E$36-Z440)/POWER((((Graph!$D$36-$Y440)^2)+((Graph!$E$36-$Z440)^2))+(Graph!$D$41^2),3/2))</f>
        <v>-327.20914108009782</v>
      </c>
      <c r="U440">
        <f>O440+Q440+S440</f>
        <v>2307.3993032512508</v>
      </c>
      <c r="V440">
        <f>P440+R440+T440</f>
        <v>-5306.7914590541577</v>
      </c>
      <c r="W440">
        <f>W439+(U439*Graph!$D$5)</f>
        <v>-3808.3476020238941</v>
      </c>
      <c r="X440">
        <f>X439+(V439*Graph!$D$5)</f>
        <v>8458.9604273556542</v>
      </c>
      <c r="Y440">
        <f>Y439+(W439*Graph!$D$5)+(U439*Graph!$D$5^2)</f>
        <v>-21107.637923975039</v>
      </c>
      <c r="Z440">
        <f>Z439+(X439*Graph!$D$5)+(V439*Graph!$D$5^2)</f>
        <v>13265.189080807817</v>
      </c>
    </row>
    <row r="441" spans="14:26" x14ac:dyDescent="0.35">
      <c r="N441">
        <f>N440+1</f>
        <v>438</v>
      </c>
      <c r="O441">
        <f>Graph!$D$22*((Graph!$D$18-Y441)/POWER((((Graph!$D$18-$Y441)^2)+((Graph!$E$18-$Z441)^2))+(Graph!$D$23^2),(3/2)))</f>
        <v>349.7658724079987</v>
      </c>
      <c r="P441" s="84">
        <f>Graph!$D$22*((Graph!$E$18-Z441)/POWER((((Graph!$D$18-$Y441)^2)+((Graph!$E$18-$Z441)^2))+(Graph!$D$23^2),3/2))</f>
        <v>-57.629173335740859</v>
      </c>
      <c r="Q441">
        <f>Graph!$D$31*((Graph!$D$27-Y441)/POWER((((Graph!$D$27-$Y441)^2)+((Graph!$E$27-$Z441)^2))+(Graph!$D$32^2),3/2))</f>
        <v>1037.3251808351906</v>
      </c>
      <c r="R441">
        <f>Graph!$D$31*((Graph!$E$27-Z441)/POWER((((Graph!$D$27-$Y441)^2)+((Graph!$E$27-$Z441)^2))+(Graph!$D$32^2),3/2))</f>
        <v>-2627.6353978650518</v>
      </c>
      <c r="S441">
        <f>Graph!$D$40*((Graph!$D$36-Y441)/POWER((((Graph!$D$36-$Y441)^2)+((Graph!$E$36-$Z441)^2))+(Graph!$D$41^2),3/2))</f>
        <v>202.24927965595958</v>
      </c>
      <c r="T441">
        <f>Graph!$D$40*((Graph!$E$36-Z441)/POWER((((Graph!$D$36-$Y441)^2)+((Graph!$E$36-$Z441)^2))+(Graph!$D$41^2),3/2))</f>
        <v>-280.97662025585441</v>
      </c>
      <c r="U441">
        <f>O441+Q441+S441</f>
        <v>1589.340332899149</v>
      </c>
      <c r="V441">
        <f>P441+R441+T441</f>
        <v>-2966.2411914566469</v>
      </c>
      <c r="W441">
        <f>W440+(U440*Graph!$D$5)</f>
        <v>-2654.6479503982687</v>
      </c>
      <c r="X441">
        <f>X440+(V440*Graph!$D$5)</f>
        <v>5805.5646978285749</v>
      </c>
      <c r="Y441">
        <f>Y440+(W440*Graph!$D$5)+(U440*Graph!$D$5^2)</f>
        <v>-22434.961899174174</v>
      </c>
      <c r="Z441">
        <f>Z440+(X440*Graph!$D$5)+(V440*Graph!$D$5^2)</f>
        <v>16167.971429722105</v>
      </c>
    </row>
    <row r="442" spans="14:26" x14ac:dyDescent="0.35">
      <c r="N442">
        <f>N441+1</f>
        <v>439</v>
      </c>
      <c r="O442">
        <f>Graph!$D$22*((Graph!$D$18-Y442)/POWER((((Graph!$D$18-$Y442)^2)+((Graph!$E$18-$Z442)^2))+(Graph!$D$23^2),(3/2)))</f>
        <v>324.07367756991033</v>
      </c>
      <c r="P442" s="84">
        <f>Graph!$D$22*((Graph!$E$18-Z442)/POWER((((Graph!$D$18-$Y442)^2)+((Graph!$E$18-$Z442)^2))+(Graph!$D$23^2),3/2))</f>
        <v>-70.357769444290554</v>
      </c>
      <c r="Q442">
        <f>Graph!$D$31*((Graph!$D$27-Y442)/POWER((((Graph!$D$27-$Y442)^2)+((Graph!$E$27-$Z442)^2))+(Graph!$D$32^2),3/2))</f>
        <v>674.38651522909151</v>
      </c>
      <c r="R442">
        <f>Graph!$D$31*((Graph!$E$27-Z442)/POWER((((Graph!$D$27-$Y442)^2)+((Graph!$E$27-$Z442)^2))+(Graph!$D$32^2),3/2))</f>
        <v>-1669.295069913826</v>
      </c>
      <c r="S442">
        <f>Graph!$D$40*((Graph!$D$36-Y442)/POWER((((Graph!$D$36-$Y442)^2)+((Graph!$E$36-$Z442)^2))+(Graph!$D$41^2),3/2))</f>
        <v>177.38585666889639</v>
      </c>
      <c r="T442">
        <f>Graph!$D$40*((Graph!$E$36-Z442)/POWER((((Graph!$D$36-$Y442)^2)+((Graph!$E$36-$Z442)^2))+(Graph!$D$41^2),3/2))</f>
        <v>-253.03402478852664</v>
      </c>
      <c r="U442">
        <f>O442+Q442+S442</f>
        <v>1175.8460494678982</v>
      </c>
      <c r="V442">
        <f>P442+R442+T442</f>
        <v>-1992.6868641466433</v>
      </c>
      <c r="W442">
        <f>W441+(U441*Graph!$D$5)</f>
        <v>-1859.9777839486942</v>
      </c>
      <c r="X442">
        <f>X441+(V441*Graph!$D$5)</f>
        <v>4322.4441021002513</v>
      </c>
      <c r="Y442">
        <f>Y441+(W441*Graph!$D$5)+(U441*Graph!$D$5^2)</f>
        <v>-23364.95079114852</v>
      </c>
      <c r="Z442">
        <f>Z441+(X441*Graph!$D$5)+(V441*Graph!$D$5^2)</f>
        <v>18329.193480772232</v>
      </c>
    </row>
    <row r="443" spans="14:26" x14ac:dyDescent="0.35">
      <c r="N443">
        <f>N442+1</f>
        <v>440</v>
      </c>
      <c r="O443">
        <f>Graph!$D$22*((Graph!$D$18-Y443)/POWER((((Graph!$D$18-$Y443)^2)+((Graph!$E$18-$Z443)^2))+(Graph!$D$23^2),(3/2)))</f>
        <v>305.81624356447679</v>
      </c>
      <c r="P443" s="84">
        <f>Graph!$D$22*((Graph!$E$18-Z443)/POWER((((Graph!$D$18-$Y443)^2)+((Graph!$E$18-$Z443)^2))+(Graph!$D$23^2),3/2))</f>
        <v>-78.351636596009257</v>
      </c>
      <c r="Q443">
        <f>Graph!$D$31*((Graph!$D$27-Y443)/POWER((((Graph!$D$27-$Y443)^2)+((Graph!$E$27-$Z443)^2))+(Graph!$D$32^2),3/2))</f>
        <v>495.58845397766493</v>
      </c>
      <c r="R443">
        <f>Graph!$D$31*((Graph!$E$27-Z443)/POWER((((Graph!$D$27-$Y443)^2)+((Graph!$E$27-$Z443)^2))+(Graph!$D$32^2),3/2))</f>
        <v>-1237.7074937895861</v>
      </c>
      <c r="S443">
        <f>Graph!$D$40*((Graph!$D$36-Y443)/POWER((((Graph!$D$36-$Y443)^2)+((Graph!$E$36-$Z443)^2))+(Graph!$D$41^2),3/2))</f>
        <v>161.12144650309011</v>
      </c>
      <c r="T443">
        <f>Graph!$D$40*((Graph!$E$36-Z443)/POWER((((Graph!$D$36-$Y443)^2)+((Graph!$E$36-$Z443)^2))+(Graph!$D$41^2),3/2))</f>
        <v>-234.90713169590106</v>
      </c>
      <c r="U443">
        <f>O443+Q443+S443</f>
        <v>962.52614404523183</v>
      </c>
      <c r="V443">
        <f>P443+R443+T443</f>
        <v>-1550.9662620814966</v>
      </c>
      <c r="W443">
        <f>W442+(U442*Graph!$D$5)</f>
        <v>-1272.054759214745</v>
      </c>
      <c r="X443">
        <f>X442+(V442*Graph!$D$5)</f>
        <v>3326.1006700269295</v>
      </c>
      <c r="Y443">
        <f>Y442+(W442*Graph!$D$5)+(U442*Graph!$D$5^2)</f>
        <v>-24000.97817075589</v>
      </c>
      <c r="Z443">
        <f>Z442+(X442*Graph!$D$5)+(V442*Graph!$D$5^2)</f>
        <v>19992.243815785696</v>
      </c>
    </row>
    <row r="444" spans="14:26" x14ac:dyDescent="0.35">
      <c r="N444">
        <f>N443+1</f>
        <v>441</v>
      </c>
      <c r="O444">
        <f>Graph!$D$22*((Graph!$D$18-Y444)/POWER((((Graph!$D$18-$Y444)^2)+((Graph!$E$18-$Z444)^2))+(Graph!$D$23^2),(3/2)))</f>
        <v>293.25015121612807</v>
      </c>
      <c r="P444" s="84">
        <f>Graph!$D$22*((Graph!$E$18-Z444)/POWER((((Graph!$D$18-$Y444)^2)+((Graph!$E$18-$Z444)^2))+(Graph!$D$23^2),3/2))</f>
        <v>-83.870954678848534</v>
      </c>
      <c r="Q444">
        <f>Graph!$D$31*((Graph!$D$27-Y444)/POWER((((Graph!$D$27-$Y444)^2)+((Graph!$E$27-$Z444)^2))+(Graph!$D$32^2),3/2))</f>
        <v>395.54524121194248</v>
      </c>
      <c r="R444">
        <f>Graph!$D$31*((Graph!$E$27-Z444)/POWER((((Graph!$D$27-$Y444)^2)+((Graph!$E$27-$Z444)^2))+(Graph!$D$32^2),3/2))</f>
        <v>-1013.7506023516293</v>
      </c>
      <c r="S444">
        <f>Graph!$D$40*((Graph!$D$36-Y444)/POWER((((Graph!$D$36-$Y444)^2)+((Graph!$E$36-$Z444)^2))+(Graph!$D$41^2),3/2))</f>
        <v>150.01266853999269</v>
      </c>
      <c r="T444">
        <f>Graph!$D$40*((Graph!$E$36-Z444)/POWER((((Graph!$D$36-$Y444)^2)+((Graph!$E$36-$Z444)^2))+(Graph!$D$41^2),3/2))</f>
        <v>-223.00823645069457</v>
      </c>
      <c r="U444">
        <f>O444+Q444+S444</f>
        <v>838.80806096806316</v>
      </c>
      <c r="V444">
        <f>P444+R444+T444</f>
        <v>-1320.6297934811723</v>
      </c>
      <c r="W444">
        <f>W443+(U443*Graph!$D$5)</f>
        <v>-790.79168719212907</v>
      </c>
      <c r="X444">
        <f>X443+(V443*Graph!$D$5)</f>
        <v>2550.617538986181</v>
      </c>
      <c r="Y444">
        <f>Y443+(W443*Graph!$D$5)+(U443*Graph!$D$5^2)</f>
        <v>-24396.374014351954</v>
      </c>
      <c r="Z444">
        <f>Z443+(X443*Graph!$D$5)+(V443*Graph!$D$5^2)</f>
        <v>21267.552585278787</v>
      </c>
    </row>
    <row r="445" spans="14:26" x14ac:dyDescent="0.35">
      <c r="N445">
        <f>N444+1</f>
        <v>442</v>
      </c>
      <c r="O445">
        <f>Graph!$D$22*((Graph!$D$18-Y445)/POWER((((Graph!$D$18-$Y445)^2)+((Graph!$E$18-$Z445)^2))+(Graph!$D$23^2),(3/2)))</f>
        <v>285.32512658826874</v>
      </c>
      <c r="P445" s="84">
        <f>Graph!$D$22*((Graph!$E$18-Z445)/POWER((((Graph!$D$18-$Y445)^2)+((Graph!$E$18-$Z445)^2))+(Graph!$D$23^2),3/2))</f>
        <v>-88.034594400838003</v>
      </c>
      <c r="Q445">
        <f>Graph!$D$31*((Graph!$D$27-Y445)/POWER((((Graph!$D$27-$Y445)^2)+((Graph!$E$27-$Z445)^2))+(Graph!$D$32^2),3/2))</f>
        <v>334.06666477317111</v>
      </c>
      <c r="R445">
        <f>Graph!$D$31*((Graph!$E$27-Z445)/POWER((((Graph!$D$27-$Y445)^2)+((Graph!$E$27-$Z445)^2))+(Graph!$D$32^2),3/2))</f>
        <v>-890.39652007082509</v>
      </c>
      <c r="S445">
        <f>Graph!$D$40*((Graph!$D$36-Y445)/POWER((((Graph!$D$36-$Y445)^2)+((Graph!$E$36-$Z445)^2))+(Graph!$D$41^2),3/2))</f>
        <v>142.39912865420771</v>
      </c>
      <c r="T445">
        <f>Graph!$D$40*((Graph!$E$36-Z445)/POWER((((Graph!$D$36-$Y445)^2)+((Graph!$E$36-$Z445)^2))+(Graph!$D$41^2),3/2))</f>
        <v>-215.56594201292776</v>
      </c>
      <c r="U445">
        <f>O445+Q445+S445</f>
        <v>761.79092001564754</v>
      </c>
      <c r="V445">
        <f>P445+R445+T445</f>
        <v>-1193.997056484591</v>
      </c>
      <c r="W445">
        <f>W444+(U444*Graph!$D$5)</f>
        <v>-371.3876567080975</v>
      </c>
      <c r="X445">
        <f>X444+(V444*Graph!$D$5)</f>
        <v>1890.3026422455948</v>
      </c>
      <c r="Y445">
        <f>Y444+(W444*Graph!$D$5)+(U444*Graph!$D$5^2)</f>
        <v>-24582.067842706001</v>
      </c>
      <c r="Z445">
        <f>Z444+(X444*Graph!$D$5)+(V444*Graph!$D$5^2)</f>
        <v>22212.703906401584</v>
      </c>
    </row>
    <row r="446" spans="14:26" x14ac:dyDescent="0.35">
      <c r="N446">
        <f>N445+1</f>
        <v>443</v>
      </c>
      <c r="O446">
        <f>Graph!$D$22*((Graph!$D$18-Y446)/POWER((((Graph!$D$18-$Y446)^2)+((Graph!$E$18-$Z446)^2))+(Graph!$D$23^2),(3/2)))</f>
        <v>281.44179539585679</v>
      </c>
      <c r="P446" s="84">
        <f>Graph!$D$22*((Graph!$E$18-Z446)/POWER((((Graph!$D$18-$Y446)^2)+((Graph!$E$18-$Z446)^2))+(Graph!$D$23^2),3/2))</f>
        <v>-91.445322321892888</v>
      </c>
      <c r="Q446">
        <f>Graph!$D$31*((Graph!$D$27-Y446)/POWER((((Graph!$D$27-$Y446)^2)+((Graph!$E$27-$Z446)^2))+(Graph!$D$32^2),3/2))</f>
        <v>293.79873493565242</v>
      </c>
      <c r="R446">
        <f>Graph!$D$31*((Graph!$E$27-Z446)/POWER((((Graph!$D$27-$Y446)^2)+((Graph!$E$27-$Z446)^2))+(Graph!$D$32^2),3/2))</f>
        <v>-825.38854943897172</v>
      </c>
      <c r="S446">
        <f>Graph!$D$40*((Graph!$D$36-Y446)/POWER((((Graph!$D$36-$Y446)^2)+((Graph!$E$36-$Z446)^2))+(Graph!$D$41^2),3/2))</f>
        <v>137.39835227970028</v>
      </c>
      <c r="T446">
        <f>Graph!$D$40*((Graph!$E$36-Z446)/POWER((((Graph!$D$36-$Y446)^2)+((Graph!$E$36-$Z446)^2))+(Graph!$D$41^2),3/2))</f>
        <v>-211.65100222985214</v>
      </c>
      <c r="U446">
        <f>O446+Q446+S446</f>
        <v>712.63888261120951</v>
      </c>
      <c r="V446">
        <f>P446+R446+T446</f>
        <v>-1128.4848739907168</v>
      </c>
      <c r="W446">
        <f>W445+(U445*Graph!$D$5)</f>
        <v>9.5078032997262767</v>
      </c>
      <c r="X446">
        <f>X445+(V445*Graph!$D$5)</f>
        <v>1293.3041140032992</v>
      </c>
      <c r="Y446">
        <f>Y445+(W445*Graph!$D$5)+(U445*Graph!$D$5^2)</f>
        <v>-24577.313941056138</v>
      </c>
      <c r="Z446">
        <f>Z445+(X445*Graph!$D$5)+(V445*Graph!$D$5^2)</f>
        <v>22859.355963403235</v>
      </c>
    </row>
    <row r="447" spans="14:26" x14ac:dyDescent="0.35">
      <c r="N447">
        <f>N446+1</f>
        <v>444</v>
      </c>
      <c r="O447">
        <f>Graph!$D$22*((Graph!$D$18-Y447)/POWER((((Graph!$D$18-$Y447)^2)+((Graph!$E$18-$Z447)^2))+(Graph!$D$23^2),(3/2)))</f>
        <v>281.32612691837676</v>
      </c>
      <c r="P447" s="84">
        <f>Graph!$D$22*((Graph!$E$18-Z447)/POWER((((Graph!$D$18-$Y447)^2)+((Graph!$E$18-$Z447)^2))+(Graph!$D$23^2),3/2))</f>
        <v>-94.435372202292498</v>
      </c>
      <c r="Q447">
        <f>Graph!$D$31*((Graph!$D$27-Y447)/POWER((((Graph!$D$27-$Y447)^2)+((Graph!$E$27-$Z447)^2))+(Graph!$D$32^2),3/2))</f>
        <v>266.08906687470045</v>
      </c>
      <c r="R447">
        <f>Graph!$D$31*((Graph!$E$27-Z447)/POWER((((Graph!$D$27-$Y447)^2)+((Graph!$E$27-$Z447)^2))+(Graph!$D$32^2),3/2))</f>
        <v>-800.73080382769683</v>
      </c>
      <c r="S447">
        <f>Graph!$D$40*((Graph!$D$36-Y447)/POWER((((Graph!$D$36-$Y447)^2)+((Graph!$E$36-$Z447)^2))+(Graph!$D$41^2),3/2))</f>
        <v>134.53428568361736</v>
      </c>
      <c r="T447">
        <f>Graph!$D$40*((Graph!$E$36-Z447)/POWER((((Graph!$D$36-$Y447)^2)+((Graph!$E$36-$Z447)^2))+(Graph!$D$41^2),3/2))</f>
        <v>-210.80343192502008</v>
      </c>
      <c r="U447">
        <f>O447+Q447+S447</f>
        <v>681.94947947669448</v>
      </c>
      <c r="V447">
        <f>P447+R447+T447</f>
        <v>-1105.9696079550095</v>
      </c>
      <c r="W447">
        <f>W446+(U446*Graph!$D$5)</f>
        <v>365.82724460533103</v>
      </c>
      <c r="X447">
        <f>X446+(V446*Graph!$D$5)</f>
        <v>729.06167700794083</v>
      </c>
      <c r="Y447">
        <f>Y446+(W446*Graph!$D$5)+(U446*Graph!$D$5^2)</f>
        <v>-24394.400318753473</v>
      </c>
      <c r="Z447">
        <f>Z446+(X446*Graph!$D$5)+(V446*Graph!$D$5^2)</f>
        <v>23223.886801907207</v>
      </c>
    </row>
    <row r="448" spans="14:26" x14ac:dyDescent="0.35">
      <c r="N448">
        <f>N447+1</f>
        <v>445</v>
      </c>
      <c r="O448">
        <f>Graph!$D$22*((Graph!$D$18-Y448)/POWER((((Graph!$D$18-$Y448)^2)+((Graph!$E$18-$Z448)^2))+(Graph!$D$23^2),(3/2)))</f>
        <v>284.97369427177262</v>
      </c>
      <c r="P448" s="84">
        <f>Graph!$D$22*((Graph!$E$18-Z448)/POWER((((Graph!$D$18-$Y448)^2)+((Graph!$E$18-$Z448)^2))+(Graph!$D$23^2),3/2))</f>
        <v>-97.168325055654861</v>
      </c>
      <c r="Q448">
        <f>Graph!$D$31*((Graph!$D$27-Y448)/POWER((((Graph!$D$27-$Y448)^2)+((Graph!$E$27-$Z448)^2))+(Graph!$D$32^2),3/2))</f>
        <v>245.84111913639225</v>
      </c>
      <c r="R448">
        <f>Graph!$D$31*((Graph!$E$27-Z448)/POWER((((Graph!$D$27-$Y448)^2)+((Graph!$E$27-$Z448)^2))+(Graph!$D$32^2),3/2))</f>
        <v>-809.85378466819282</v>
      </c>
      <c r="S448">
        <f>Graph!$D$40*((Graph!$D$36-Y448)/POWER((((Graph!$D$36-$Y448)^2)+((Graph!$E$36-$Z448)^2))+(Graph!$D$41^2),3/2))</f>
        <v>133.58334520025625</v>
      </c>
      <c r="T448">
        <f>Graph!$D$40*((Graph!$E$36-Z448)/POWER((((Graph!$D$36-$Y448)^2)+((Graph!$E$36-$Z448)^2))+(Graph!$D$41^2),3/2))</f>
        <v>-212.87946748336321</v>
      </c>
      <c r="U448">
        <f>O448+Q448+S448</f>
        <v>664.398158608421</v>
      </c>
      <c r="V448">
        <f>P448+R448+T448</f>
        <v>-1119.9015772072109</v>
      </c>
      <c r="W448">
        <f>W447+(U447*Graph!$D$5)</f>
        <v>706.80198434367821</v>
      </c>
      <c r="X448">
        <f>X447+(V447*Graph!$D$5)</f>
        <v>176.0768730304361</v>
      </c>
      <c r="Y448">
        <f>Y447+(W447*Graph!$D$5)+(U447*Graph!$D$5^2)</f>
        <v>-24040.999326581634</v>
      </c>
      <c r="Z448">
        <f>Z447+(X447*Graph!$D$5)+(V447*Graph!$D$5^2)</f>
        <v>23311.925238422427</v>
      </c>
    </row>
    <row r="449" spans="14:26" x14ac:dyDescent="0.35">
      <c r="N449">
        <f>N448+1</f>
        <v>446</v>
      </c>
      <c r="O449">
        <f>Graph!$D$22*((Graph!$D$18-Y449)/POWER((((Graph!$D$18-$Y449)^2)+((Graph!$E$18-$Z449)^2))+(Graph!$D$23^2),(3/2)))</f>
        <v>292.64071021622215</v>
      </c>
      <c r="P449" s="84">
        <f>Graph!$D$22*((Graph!$E$18-Z449)/POWER((((Graph!$D$18-$Y449)^2)+((Graph!$E$18-$Z449)^2))+(Graph!$D$23^2),3/2))</f>
        <v>-99.670127295158224</v>
      </c>
      <c r="Q449">
        <f>Graph!$D$31*((Graph!$D$27-Y449)/POWER((((Graph!$D$27-$Y449)^2)+((Graph!$E$27-$Z449)^2))+(Graph!$D$32^2),3/2))</f>
        <v>229.10372300863503</v>
      </c>
      <c r="R449">
        <f>Graph!$D$31*((Graph!$E$27-Z449)/POWER((((Graph!$D$27-$Y449)^2)+((Graph!$E$27-$Z449)^2))+(Graph!$D$32^2),3/2))</f>
        <v>-853.56785167667806</v>
      </c>
      <c r="S449">
        <f>Graph!$D$40*((Graph!$D$36-Y449)/POWER((((Graph!$D$36-$Y449)^2)+((Graph!$E$36-$Z449)^2))+(Graph!$D$41^2),3/2))</f>
        <v>134.51547010136505</v>
      </c>
      <c r="T449">
        <f>Graph!$D$40*((Graph!$E$36-Z449)/POWER((((Graph!$D$36-$Y449)^2)+((Graph!$E$36-$Z449)^2))+(Graph!$D$41^2),3/2))</f>
        <v>-218.00176037128591</v>
      </c>
      <c r="U449">
        <f>O449+Q449+S449</f>
        <v>656.25990332622223</v>
      </c>
      <c r="V449">
        <f>P449+R449+T449</f>
        <v>-1171.2397393431222</v>
      </c>
      <c r="W449">
        <f>W448+(U448*Graph!$D$5)</f>
        <v>1039.0010636478887</v>
      </c>
      <c r="X449">
        <f>X448+(V448*Graph!$D$5)</f>
        <v>-383.87391557316937</v>
      </c>
      <c r="Y449">
        <f>Y448+(W448*Graph!$D$5)+(U448*Graph!$D$5^2)</f>
        <v>-23521.498794757688</v>
      </c>
      <c r="Z449">
        <f>Z448+(X448*Graph!$D$5)+(V448*Graph!$D$5^2)</f>
        <v>23119.98828063584</v>
      </c>
    </row>
    <row r="450" spans="14:26" x14ac:dyDescent="0.35">
      <c r="N450">
        <f>N449+1</f>
        <v>447</v>
      </c>
      <c r="O450">
        <f>Graph!$D$22*((Graph!$D$18-Y450)/POWER((((Graph!$D$18-$Y450)^2)+((Graph!$E$18-$Z450)^2))+(Graph!$D$23^2),(3/2)))</f>
        <v>304.87336492383321</v>
      </c>
      <c r="P450" s="84">
        <f>Graph!$D$22*((Graph!$E$18-Z450)/POWER((((Graph!$D$18-$Y450)^2)+((Graph!$E$18-$Z450)^2))+(Graph!$D$23^2),3/2))</f>
        <v>-101.80652651823442</v>
      </c>
      <c r="Q450">
        <f>Graph!$D$31*((Graph!$D$27-Y450)/POWER((((Graph!$D$27-$Y450)^2)+((Graph!$E$27-$Z450)^2))+(Graph!$D$32^2),3/2))</f>
        <v>211.13274727364546</v>
      </c>
      <c r="R450">
        <f>Graph!$D$31*((Graph!$E$27-Z450)/POWER((((Graph!$D$27-$Y450)^2)+((Graph!$E$27-$Z450)^2))+(Graph!$D$32^2),3/2))</f>
        <v>-940.01971041431909</v>
      </c>
      <c r="S450">
        <f>Graph!$D$40*((Graph!$D$36-Y450)/POWER((((Graph!$D$36-$Y450)^2)+((Graph!$E$36-$Z450)^2))+(Graph!$D$41^2),3/2))</f>
        <v>137.49305133713949</v>
      </c>
      <c r="T450">
        <f>Graph!$D$40*((Graph!$E$36-Z450)/POWER((((Graph!$D$36-$Y450)^2)+((Graph!$E$36-$Z450)^2))+(Graph!$D$41^2),3/2))</f>
        <v>-226.57847849875893</v>
      </c>
      <c r="U450">
        <f>O450+Q450+S450</f>
        <v>653.49916353461811</v>
      </c>
      <c r="V450">
        <f>P450+R450+T450</f>
        <v>-1268.4047154313123</v>
      </c>
      <c r="W450">
        <f>W449+(U449*Graph!$D$5)</f>
        <v>1367.1310153109998</v>
      </c>
      <c r="X450">
        <f>X449+(V449*Graph!$D$5)</f>
        <v>-969.49378524473047</v>
      </c>
      <c r="Y450">
        <f>Y449+(W449*Graph!$D$5)+(U449*Graph!$D$5^2)</f>
        <v>-22837.933287102187</v>
      </c>
      <c r="Z450">
        <f>Z449+(X449*Graph!$D$5)+(V449*Graph!$D$5^2)</f>
        <v>22635.241388013477</v>
      </c>
    </row>
    <row r="451" spans="14:26" x14ac:dyDescent="0.35">
      <c r="N451">
        <f>N450+1</f>
        <v>448</v>
      </c>
      <c r="O451">
        <f>Graph!$D$22*((Graph!$D$18-Y451)/POWER((((Graph!$D$18-$Y451)^2)+((Graph!$E$18-$Z451)^2))+(Graph!$D$23^2),(3/2)))</f>
        <v>322.57242923294734</v>
      </c>
      <c r="P451" s="84">
        <f>Graph!$D$22*((Graph!$E$18-Z451)/POWER((((Graph!$D$18-$Y451)^2)+((Graph!$E$18-$Z451)^2))+(Graph!$D$23^2),3/2))</f>
        <v>-103.19069913487463</v>
      </c>
      <c r="Q451">
        <f>Graph!$D$31*((Graph!$D$27-Y451)/POWER((((Graph!$D$27-$Y451)^2)+((Graph!$E$27-$Z451)^2))+(Graph!$D$32^2),3/2))</f>
        <v>183.08829270705681</v>
      </c>
      <c r="R451">
        <f>Graph!$D$31*((Graph!$E$27-Z451)/POWER((((Graph!$D$27-$Y451)^2)+((Graph!$E$27-$Z451)^2))+(Graph!$D$32^2),3/2))</f>
        <v>-1088.1785077600173</v>
      </c>
      <c r="S451">
        <f>Graph!$D$40*((Graph!$D$36-Y451)/POWER((((Graph!$D$36-$Y451)^2)+((Graph!$E$36-$Z451)^2))+(Graph!$D$41^2),3/2))</f>
        <v>142.92872069282606</v>
      </c>
      <c r="T451">
        <f>Graph!$D$40*((Graph!$E$36-Z451)/POWER((((Graph!$D$36-$Y451)^2)+((Graph!$E$36-$Z451)^2))+(Graph!$D$41^2),3/2))</f>
        <v>-239.3957284350804</v>
      </c>
      <c r="U451">
        <f>O451+Q451+S451</f>
        <v>648.58944263283024</v>
      </c>
      <c r="V451">
        <f>P451+R451+T451</f>
        <v>-1430.7649353299723</v>
      </c>
      <c r="W451">
        <f>W450+(U450*Graph!$D$5)</f>
        <v>1693.8805970783089</v>
      </c>
      <c r="X451">
        <f>X450+(V450*Graph!$D$5)</f>
        <v>-1603.6961429603866</v>
      </c>
      <c r="Y451">
        <f>Y450+(W450*Graph!$D$5)+(U450*Graph!$D$5^2)</f>
        <v>-21990.99298856303</v>
      </c>
      <c r="Z451">
        <f>Z450+(X450*Graph!$D$5)+(V450*Graph!$D$5^2)</f>
        <v>21833.393316533282</v>
      </c>
    </row>
    <row r="452" spans="14:26" x14ac:dyDescent="0.35">
      <c r="N452">
        <f>N451+1</f>
        <v>449</v>
      </c>
      <c r="O452">
        <f>Graph!$D$22*((Graph!$D$18-Y452)/POWER((((Graph!$D$18-$Y452)^2)+((Graph!$E$18-$Z452)^2))+(Graph!$D$23^2),(3/2)))</f>
        <v>347.07854034639229</v>
      </c>
      <c r="P452" s="84">
        <f>Graph!$D$22*((Graph!$E$18-Z452)/POWER((((Graph!$D$18-$Y452)^2)+((Graph!$E$18-$Z452)^2))+(Graph!$D$23^2),3/2))</f>
        <v>-102.95913004533044</v>
      </c>
      <c r="Q452">
        <f>Graph!$D$31*((Graph!$D$27-Y452)/POWER((((Graph!$D$27-$Y452)^2)+((Graph!$E$27-$Z452)^2))+(Graph!$D$32^2),3/2))</f>
        <v>123.00192433553048</v>
      </c>
      <c r="R452">
        <f>Graph!$D$31*((Graph!$E$27-Z452)/POWER((((Graph!$D$27-$Y452)^2)+((Graph!$E$27-$Z452)^2))+(Graph!$D$32^2),3/2))</f>
        <v>-1337.0989485359221</v>
      </c>
      <c r="S452">
        <f>Graph!$D$40*((Graph!$D$36-Y452)/POWER((((Graph!$D$36-$Y452)^2)+((Graph!$E$36-$Z452)^2))+(Graph!$D$41^2),3/2))</f>
        <v>151.64209856725708</v>
      </c>
      <c r="T452">
        <f>Graph!$D$40*((Graph!$E$36-Z452)/POWER((((Graph!$D$36-$Y452)^2)+((Graph!$E$36-$Z452)^2))+(Graph!$D$41^2),3/2))</f>
        <v>-257.82492110820135</v>
      </c>
      <c r="U452">
        <f>O452+Q452+S452</f>
        <v>621.72256324917987</v>
      </c>
      <c r="V452">
        <f>P452+R452+T452</f>
        <v>-1697.882999689454</v>
      </c>
      <c r="W452">
        <f>W451+(U451*Graph!$D$5)</f>
        <v>2018.1753183947239</v>
      </c>
      <c r="X452">
        <f>X451+(V451*Graph!$D$5)</f>
        <v>-2319.0786106253727</v>
      </c>
      <c r="Y452">
        <f>Y451+(W451*Graph!$D$5)+(U451*Graph!$D$5^2)</f>
        <v>-20981.905329365669</v>
      </c>
      <c r="Z452">
        <f>Z451+(X451*Graph!$D$5)+(V451*Graph!$D$5^2)</f>
        <v>20673.854011220596</v>
      </c>
    </row>
    <row r="453" spans="14:26" x14ac:dyDescent="0.35">
      <c r="N453">
        <f>N452+1</f>
        <v>450</v>
      </c>
      <c r="O453">
        <f>Graph!$D$22*((Graph!$D$18-Y453)/POWER((((Graph!$D$18-$Y453)^2)+((Graph!$E$18-$Z453)^2))+(Graph!$D$23^2),(3/2)))</f>
        <v>380.18523485325483</v>
      </c>
      <c r="P453" s="84">
        <f>Graph!$D$22*((Graph!$E$18-Z453)/POWER((((Graph!$D$18-$Y453)^2)+((Graph!$E$18-$Z453)^2))+(Graph!$D$23^2),3/2))</f>
        <v>-99.255709691024535</v>
      </c>
      <c r="Q453">
        <f>Graph!$D$31*((Graph!$D$27-Y453)/POWER((((Graph!$D$27-$Y453)^2)+((Graph!$E$27-$Z453)^2))+(Graph!$D$32^2),3/2))</f>
        <v>-35.470388069920538</v>
      </c>
      <c r="R453">
        <f>Graph!$D$31*((Graph!$E$27-Z453)/POWER((((Graph!$D$27-$Y453)^2)+((Graph!$E$27-$Z453)^2))+(Graph!$D$32^2),3/2))</f>
        <v>-1765.5936020142021</v>
      </c>
      <c r="S453">
        <f>Graph!$D$40*((Graph!$D$36-Y453)/POWER((((Graph!$D$36-$Y453)^2)+((Graph!$E$36-$Z453)^2))+(Graph!$D$41^2),3/2))</f>
        <v>165.242882284719</v>
      </c>
      <c r="T453">
        <f>Graph!$D$40*((Graph!$E$36-Z453)/POWER((((Graph!$D$36-$Y453)^2)+((Graph!$E$36-$Z453)^2))+(Graph!$D$41^2),3/2))</f>
        <v>-284.25059588223684</v>
      </c>
      <c r="U453">
        <f>O453+Q453+S453</f>
        <v>509.95772906805325</v>
      </c>
      <c r="V453">
        <f>P453+R453+T453</f>
        <v>-2149.0999075874633</v>
      </c>
      <c r="W453">
        <f>W452+(U452*Graph!$D$5)</f>
        <v>2329.0366000193139</v>
      </c>
      <c r="X453">
        <f>X452+(V452*Graph!$D$5)</f>
        <v>-3168.0201104700996</v>
      </c>
      <c r="Y453">
        <f>Y452+(W452*Graph!$D$5)+(U452*Graph!$D$5^2)</f>
        <v>-19817.387029356014</v>
      </c>
      <c r="Z453">
        <f>Z452+(X452*Graph!$D$5)+(V452*Graph!$D$5^2)</f>
        <v>19089.843955985547</v>
      </c>
    </row>
    <row r="454" spans="14:26" x14ac:dyDescent="0.35">
      <c r="N454">
        <f>N453+1</f>
        <v>451</v>
      </c>
      <c r="O454">
        <f>Graph!$D$22*((Graph!$D$18-Y454)/POWER((((Graph!$D$18-$Y454)^2)+((Graph!$E$18-$Z454)^2))+(Graph!$D$23^2),(3/2)))</f>
        <v>423.5967132488023</v>
      </c>
      <c r="P454" s="84">
        <f>Graph!$D$22*((Graph!$E$18-Z454)/POWER((((Graph!$D$18-$Y454)^2)+((Graph!$E$18-$Z454)^2))+(Graph!$D$23^2),3/2))</f>
        <v>-88.048479036363048</v>
      </c>
      <c r="Q454">
        <f>Graph!$D$31*((Graph!$D$27-Y454)/POWER((((Graph!$D$27-$Y454)^2)+((Graph!$E$27-$Z454)^2))+(Graph!$D$32^2),3/2))</f>
        <v>-529.80257184683626</v>
      </c>
      <c r="R454">
        <f>Graph!$D$31*((Graph!$E$27-Z454)/POWER((((Graph!$D$27-$Y454)^2)+((Graph!$E$27-$Z454)^2))+(Graph!$D$32^2),3/2))</f>
        <v>-2503.667846661534</v>
      </c>
      <c r="S454">
        <f>Graph!$D$40*((Graph!$D$36-Y454)/POWER((((Graph!$D$36-$Y454)^2)+((Graph!$E$36-$Z454)^2))+(Graph!$D$41^2),3/2))</f>
        <v>187.13710590506417</v>
      </c>
      <c r="T454">
        <f>Graph!$D$40*((Graph!$E$36-Z454)/POWER((((Graph!$D$36-$Y454)^2)+((Graph!$E$36-$Z454)^2))+(Graph!$D$41^2),3/2))</f>
        <v>-322.93555241315175</v>
      </c>
      <c r="U454">
        <f>O454+Q454+S454</f>
        <v>80.931247307030219</v>
      </c>
      <c r="V454">
        <f>P454+R454+T454</f>
        <v>-2914.651878111049</v>
      </c>
      <c r="W454">
        <f>W453+(U453*Graph!$D$5)</f>
        <v>2584.0154645533407</v>
      </c>
      <c r="X454">
        <f>X453+(V453*Graph!$D$5)</f>
        <v>-4242.5700642638312</v>
      </c>
      <c r="Y454">
        <f>Y453+(W453*Graph!$D$5)+(U453*Graph!$D$5^2)</f>
        <v>-18525.379297079344</v>
      </c>
      <c r="Z454">
        <f>Z453+(X453*Graph!$D$5)+(V453*Graph!$D$5^2)</f>
        <v>16968.558923853634</v>
      </c>
    </row>
    <row r="455" spans="14:26" x14ac:dyDescent="0.35">
      <c r="N455">
        <f>N454+1</f>
        <v>452</v>
      </c>
      <c r="O455">
        <f>Graph!$D$22*((Graph!$D$18-Y455)/POWER((((Graph!$D$18-$Y455)^2)+((Graph!$E$18-$Z455)^2))+(Graph!$D$23^2),(3/2)))</f>
        <v>475.45303702404345</v>
      </c>
      <c r="P455" s="84">
        <f>Graph!$D$22*((Graph!$E$18-Z455)/POWER((((Graph!$D$18-$Y455)^2)+((Graph!$E$18-$Z455)^2))+(Graph!$D$23^2),3/2))</f>
        <v>-60.789049036601853</v>
      </c>
      <c r="Q455">
        <f>Graph!$D$31*((Graph!$D$27-Y455)/POWER((((Graph!$D$27-$Y455)^2)+((Graph!$E$27-$Z455)^2))+(Graph!$D$32^2),3/2))</f>
        <v>-2225.6948903701914</v>
      </c>
      <c r="R455">
        <f>Graph!$D$31*((Graph!$E$27-Z455)/POWER((((Graph!$D$27-$Y455)^2)+((Graph!$E$27-$Z455)^2))+(Graph!$D$32^2),3/2))</f>
        <v>-3289.2815509701359</v>
      </c>
      <c r="S455">
        <f>Graph!$D$40*((Graph!$D$36-Y455)/POWER((((Graph!$D$36-$Y455)^2)+((Graph!$E$36-$Z455)^2))+(Graph!$D$41^2),3/2))</f>
        <v>225.4412991645826</v>
      </c>
      <c r="T455">
        <f>Graph!$D$40*((Graph!$E$36-Z455)/POWER((((Graph!$D$36-$Y455)^2)+((Graph!$E$36-$Z455)^2))+(Graph!$D$41^2),3/2))</f>
        <v>-381.36783595220197</v>
      </c>
      <c r="U455">
        <f>O455+Q455+S455</f>
        <v>-1524.8005541815653</v>
      </c>
      <c r="V455">
        <f>P455+R455+T455</f>
        <v>-3731.4384359589394</v>
      </c>
      <c r="W455">
        <f>W454+(U454*Graph!$D$5)</f>
        <v>2624.4810882068559</v>
      </c>
      <c r="X455">
        <f>X454+(V454*Graph!$D$5)</f>
        <v>-5699.8960033193562</v>
      </c>
      <c r="Y455">
        <f>Y454+(W454*Graph!$D$5)+(U454*Graph!$D$5^2)</f>
        <v>-17213.138752975916</v>
      </c>
      <c r="Z455">
        <f>Z454+(X454*Graph!$D$5)+(V454*Graph!$D$5^2)</f>
        <v>14118.610922193955</v>
      </c>
    </row>
    <row r="456" spans="14:26" x14ac:dyDescent="0.35">
      <c r="N456">
        <f>N455+1</f>
        <v>453</v>
      </c>
      <c r="O456">
        <f>Graph!$D$22*((Graph!$D$18-Y456)/POWER((((Graph!$D$18-$Y456)^2)+((Graph!$E$18-$Z456)^2))+(Graph!$D$23^2),(3/2)))</f>
        <v>515.11003411330194</v>
      </c>
      <c r="P456" s="84">
        <f>Graph!$D$22*((Graph!$E$18-Z456)/POWER((((Graph!$D$18-$Y456)^2)+((Graph!$E$18-$Z456)^2))+(Graph!$D$23^2),3/2))</f>
        <v>-5.5295413160590101</v>
      </c>
      <c r="Q456">
        <f>Graph!$D$31*((Graph!$D$27-Y456)/POWER((((Graph!$D$27-$Y456)^2)+((Graph!$E$27-$Z456)^2))+(Graph!$D$32^2),3/2))</f>
        <v>-4983.0807649772787</v>
      </c>
      <c r="R456">
        <f>Graph!$D$31*((Graph!$E$27-Z456)/POWER((((Graph!$D$27-$Y456)^2)+((Graph!$E$27-$Z456)^2))+(Graph!$D$32^2),3/2))</f>
        <v>-450.07511734774602</v>
      </c>
      <c r="S456">
        <f>Graph!$D$40*((Graph!$D$36-Y456)/POWER((((Graph!$D$36-$Y456)^2)+((Graph!$E$36-$Z456)^2))+(Graph!$D$41^2),3/2))</f>
        <v>299.62522844616757</v>
      </c>
      <c r="T456">
        <f>Graph!$D$40*((Graph!$E$36-Z456)/POWER((((Graph!$D$36-$Y456)^2)+((Graph!$E$36-$Z456)^2))+(Graph!$D$41^2),3/2))</f>
        <v>-466.23264969361713</v>
      </c>
      <c r="U456">
        <f>O456+Q456+S456</f>
        <v>-4168.3455024178093</v>
      </c>
      <c r="V456">
        <f>P456+R456+T456</f>
        <v>-921.83730835742222</v>
      </c>
      <c r="W456">
        <f>W455+(U455*Graph!$D$5)</f>
        <v>1862.0808111160732</v>
      </c>
      <c r="X456">
        <f>X455+(V455*Graph!$D$5)</f>
        <v>-7565.6152212988254</v>
      </c>
      <c r="Y456">
        <f>Y455+(W455*Graph!$D$5)+(U455*Graph!$D$5^2)</f>
        <v>-16282.098347417879</v>
      </c>
      <c r="Z456">
        <f>Z455+(X455*Graph!$D$5)+(V455*Graph!$D$5^2)</f>
        <v>10335.803311544541</v>
      </c>
    </row>
    <row r="457" spans="14:26" x14ac:dyDescent="0.35">
      <c r="N457">
        <f>N456+1</f>
        <v>454</v>
      </c>
      <c r="O457">
        <f>Graph!$D$22*((Graph!$D$18-Y457)/POWER((((Graph!$D$18-$Y457)^2)+((Graph!$E$18-$Z457)^2))+(Graph!$D$23^2),(3/2)))</f>
        <v>501.59087742077315</v>
      </c>
      <c r="P457" s="84">
        <f>Graph!$D$22*((Graph!$E$18-Z457)/POWER((((Graph!$D$18-$Y457)^2)+((Graph!$E$18-$Z457)^2))+(Graph!$D$23^2),3/2))</f>
        <v>58.757485019414958</v>
      </c>
      <c r="Q457">
        <f>Graph!$D$31*((Graph!$D$27-Y457)/POWER((((Graph!$D$27-$Y457)^2)+((Graph!$E$27-$Z457)^2))+(Graph!$D$32^2),3/2))</f>
        <v>-2681.9887056320031</v>
      </c>
      <c r="R457">
        <f>Graph!$D$31*((Graph!$E$27-Z457)/POWER((((Graph!$D$27-$Y457)^2)+((Graph!$E$27-$Z457)^2))+(Graph!$D$32^2),3/2))</f>
        <v>2734.4914182681036</v>
      </c>
      <c r="S457">
        <f>Graph!$D$40*((Graph!$D$36-Y457)/POWER((((Graph!$D$36-$Y457)^2)+((Graph!$E$36-$Z457)^2))+(Graph!$D$41^2),3/2))</f>
        <v>419.24957466839828</v>
      </c>
      <c r="T457">
        <f>Graph!$D$40*((Graph!$E$36-Z457)/POWER((((Graph!$D$36-$Y457)^2)+((Graph!$E$36-$Z457)^2))+(Graph!$D$41^2),3/2))</f>
        <v>-545.31724557844223</v>
      </c>
      <c r="U457">
        <f>O457+Q457+S457</f>
        <v>-1761.1482535428315</v>
      </c>
      <c r="V457">
        <f>P457+R457+T457</f>
        <v>2247.9316577090767</v>
      </c>
      <c r="W457">
        <f>W456+(U456*Graph!$D$5)</f>
        <v>-222.09194009283146</v>
      </c>
      <c r="X457">
        <f>X456+(V456*Graph!$D$5)</f>
        <v>-8026.5338754775366</v>
      </c>
      <c r="Y457">
        <f>Y456+(W456*Graph!$D$5)+(U456*Graph!$D$5^2)</f>
        <v>-16393.144317464295</v>
      </c>
      <c r="Z457">
        <f>Z456+(X456*Graph!$D$5)+(V456*Graph!$D$5^2)</f>
        <v>6322.5363738057731</v>
      </c>
    </row>
    <row r="458" spans="14:26" x14ac:dyDescent="0.35">
      <c r="N458">
        <f>N457+1</f>
        <v>455</v>
      </c>
      <c r="O458">
        <f>Graph!$D$22*((Graph!$D$18-Y458)/POWER((((Graph!$D$18-$Y458)^2)+((Graph!$E$18-$Z458)^2))+(Graph!$D$23^2),(3/2)))</f>
        <v>460.80682364382733</v>
      </c>
      <c r="P458" s="84">
        <f>Graph!$D$22*((Graph!$E$18-Z458)/POWER((((Graph!$D$18-$Y458)^2)+((Graph!$E$18-$Z458)^2))+(Graph!$D$23^2),3/2))</f>
        <v>102.83391162870133</v>
      </c>
      <c r="Q458">
        <f>Graph!$D$31*((Graph!$D$27-Y458)/POWER((((Graph!$D$27-$Y458)^2)+((Graph!$E$27-$Z458)^2))+(Graph!$D$32^2),3/2))</f>
        <v>-890.68278452124935</v>
      </c>
      <c r="R458">
        <f>Graph!$D$31*((Graph!$E$27-Z458)/POWER((((Graph!$D$27-$Y458)^2)+((Graph!$E$27-$Z458)^2))+(Graph!$D$32^2),3/2))</f>
        <v>2078.0251157600997</v>
      </c>
      <c r="S458">
        <f>Graph!$D$40*((Graph!$D$36-Y458)/POWER((((Graph!$D$36-$Y458)^2)+((Graph!$E$36-$Z458)^2))+(Graph!$D$41^2),3/2))</f>
        <v>559.07476502973793</v>
      </c>
      <c r="T458">
        <f>Graph!$D$40*((Graph!$E$36-Z458)/POWER((((Graph!$D$36-$Y458)^2)+((Graph!$E$36-$Z458)^2))+(Graph!$D$41^2),3/2))</f>
        <v>-589.65325407992952</v>
      </c>
      <c r="U458">
        <f>O458+Q458+S458</f>
        <v>129.19880415231592</v>
      </c>
      <c r="V458">
        <f>P458+R458+T458</f>
        <v>1591.2057733088714</v>
      </c>
      <c r="W458">
        <f>W457+(U457*Graph!$D$5)</f>
        <v>-1102.6660668642471</v>
      </c>
      <c r="X458">
        <f>X457+(V457*Graph!$D$5)</f>
        <v>-6902.5680466229987</v>
      </c>
      <c r="Y458">
        <f>Y457+(W457*Graph!$D$5)+(U457*Graph!$D$5^2)</f>
        <v>-16944.477350896421</v>
      </c>
      <c r="Z458">
        <f>Z457+(X457*Graph!$D$5)+(V457*Graph!$D$5^2)</f>
        <v>2871.2523504942737</v>
      </c>
    </row>
    <row r="459" spans="14:26" x14ac:dyDescent="0.35">
      <c r="N459">
        <f>N458+1</f>
        <v>456</v>
      </c>
      <c r="O459">
        <f>Graph!$D$22*((Graph!$D$18-Y459)/POWER((((Graph!$D$18-$Y459)^2)+((Graph!$E$18-$Z459)^2))+(Graph!$D$23^2),(3/2)))</f>
        <v>417.98509440199263</v>
      </c>
      <c r="P459" s="84">
        <f>Graph!$D$22*((Graph!$E$18-Z459)/POWER((((Graph!$D$18-$Y459)^2)+((Graph!$E$18-$Z459)^2))+(Graph!$D$23^2),3/2))</f>
        <v>131.10166997085906</v>
      </c>
      <c r="Q459">
        <f>Graph!$D$31*((Graph!$D$27-Y459)/POWER((((Graph!$D$27-$Y459)^2)+((Graph!$E$27-$Z459)^2))+(Graph!$D$32^2),3/2))</f>
        <v>-336.55659843458727</v>
      </c>
      <c r="R459">
        <f>Graph!$D$31*((Graph!$E$27-Z459)/POWER((((Graph!$D$27-$Y459)^2)+((Graph!$E$27-$Z459)^2))+(Graph!$D$32^2),3/2))</f>
        <v>1351.0393077312581</v>
      </c>
      <c r="S459">
        <f>Graph!$D$40*((Graph!$D$36-Y459)/POWER((((Graph!$D$36-$Y459)^2)+((Graph!$E$36-$Z459)^2))+(Graph!$D$41^2),3/2))</f>
        <v>709.79120246767388</v>
      </c>
      <c r="T459">
        <f>Graph!$D$40*((Graph!$E$36-Z459)/POWER((((Graph!$D$36-$Y459)^2)+((Graph!$E$36-$Z459)^2))+(Graph!$D$41^2),3/2))</f>
        <v>-602.25706125417673</v>
      </c>
      <c r="U459">
        <f>O459+Q459+S459</f>
        <v>791.21969843507918</v>
      </c>
      <c r="V459">
        <f>P459+R459+T459</f>
        <v>879.88391644794046</v>
      </c>
      <c r="W459">
        <f>W458+(U458*Graph!$D$5)</f>
        <v>-1038.0666647880892</v>
      </c>
      <c r="X459">
        <f>X458+(V458*Graph!$D$5)</f>
        <v>-6106.9651599685631</v>
      </c>
      <c r="Y459">
        <f>Y458+(W458*Graph!$D$5)+(U458*Graph!$D$5^2)</f>
        <v>-17463.510683290464</v>
      </c>
      <c r="Z459">
        <f>Z458+(X458*Graph!$D$5)+(V458*Graph!$D$5^2)</f>
        <v>-182.23022949000779</v>
      </c>
    </row>
    <row r="460" spans="14:26" x14ac:dyDescent="0.35">
      <c r="N460">
        <f>N459+1</f>
        <v>457</v>
      </c>
      <c r="O460">
        <f>Graph!$D$22*((Graph!$D$18-Y460)/POWER((((Graph!$D$18-$Y460)^2)+((Graph!$E$18-$Z460)^2))+(Graph!$D$23^2),(3/2)))</f>
        <v>379.6210512618245</v>
      </c>
      <c r="P460" s="84">
        <f>Graph!$D$22*((Graph!$E$18-Z460)/POWER((((Graph!$D$18-$Y460)^2)+((Graph!$E$18-$Z460)^2))+(Graph!$D$23^2),3/2))</f>
        <v>150.71187795237432</v>
      </c>
      <c r="Q460">
        <f>Graph!$D$31*((Graph!$D$27-Y460)/POWER((((Graph!$D$27-$Y460)^2)+((Graph!$E$27-$Z460)^2))+(Graph!$D$32^2),3/2))</f>
        <v>-156.12256445492523</v>
      </c>
      <c r="R460">
        <f>Graph!$D$31*((Graph!$E$27-Z460)/POWER((((Graph!$D$27-$Y460)^2)+((Graph!$E$27-$Z460)^2))+(Graph!$D$32^2),3/2))</f>
        <v>917.29646140245234</v>
      </c>
      <c r="S460">
        <f>Graph!$D$40*((Graph!$D$36-Y460)/POWER((((Graph!$D$36-$Y460)^2)+((Graph!$E$36-$Z460)^2))+(Graph!$D$41^2),3/2))</f>
        <v>872.0508253911587</v>
      </c>
      <c r="T460">
        <f>Graph!$D$40*((Graph!$E$36-Z460)/POWER((((Graph!$D$36-$Y460)^2)+((Graph!$E$36-$Z460)^2))+(Graph!$D$41^2),3/2))</f>
        <v>-587.63202400745195</v>
      </c>
      <c r="U460">
        <f>O460+Q460+S460</f>
        <v>1095.549312198058</v>
      </c>
      <c r="V460">
        <f>P460+R460+T460</f>
        <v>480.37631534737466</v>
      </c>
      <c r="W460">
        <f>W459+(U459*Graph!$D$5)</f>
        <v>-642.45681557054957</v>
      </c>
      <c r="X460">
        <f>X459+(V459*Graph!$D$5)</f>
        <v>-5667.0232017445924</v>
      </c>
      <c r="Y460">
        <f>Y459+(W459*Graph!$D$5)+(U459*Graph!$D$5^2)</f>
        <v>-17784.739091075739</v>
      </c>
      <c r="Z460">
        <f>Z459+(X459*Graph!$D$5)+(V459*Graph!$D$5^2)</f>
        <v>-3015.7418303623044</v>
      </c>
    </row>
    <row r="461" spans="14:26" x14ac:dyDescent="0.35">
      <c r="N461">
        <f>N460+1</f>
        <v>458</v>
      </c>
      <c r="O461">
        <f>Graph!$D$22*((Graph!$D$18-Y461)/POWER((((Graph!$D$18-$Y461)^2)+((Graph!$E$18-$Z461)^2))+(Graph!$D$23^2),(3/2)))</f>
        <v>346.43882881300738</v>
      </c>
      <c r="P461" s="84">
        <f>Graph!$D$22*((Graph!$E$18-Z461)/POWER((((Graph!$D$18-$Y461)^2)+((Graph!$E$18-$Z461)^2))+(Graph!$D$23^2),3/2))</f>
        <v>165.9715593988559</v>
      </c>
      <c r="Q461">
        <f>Graph!$D$31*((Graph!$D$27-Y461)/POWER((((Graph!$D$27-$Y461)^2)+((Graph!$E$27-$Z461)^2))+(Graph!$D$32^2),3/2))</f>
        <v>-90.583977879651727</v>
      </c>
      <c r="R461">
        <f>Graph!$D$31*((Graph!$E$27-Z461)/POWER((((Graph!$D$27-$Y461)^2)+((Graph!$E$27-$Z461)^2))+(Graph!$D$32^2),3/2))</f>
        <v>657.22440639165745</v>
      </c>
      <c r="S461">
        <f>Graph!$D$40*((Graph!$D$36-Y461)/POWER((((Graph!$D$36-$Y461)^2)+((Graph!$E$36-$Z461)^2))+(Graph!$D$41^2),3/2))</f>
        <v>1051.038471238187</v>
      </c>
      <c r="T461">
        <f>Graph!$D$40*((Graph!$E$36-Z461)/POWER((((Graph!$D$36-$Y461)^2)+((Graph!$E$36-$Z461)^2))+(Graph!$D$41^2),3/2))</f>
        <v>-546.43149245696088</v>
      </c>
      <c r="U461">
        <f>O461+Q461+S461</f>
        <v>1306.8933221715426</v>
      </c>
      <c r="V461">
        <f>P461+R461+T461</f>
        <v>276.76447333355247</v>
      </c>
      <c r="W461">
        <f>W460+(U460*Graph!$D$5)</f>
        <v>-94.682159471520549</v>
      </c>
      <c r="X461">
        <f>X460+(V460*Graph!$D$5)</f>
        <v>-5426.8350440709055</v>
      </c>
      <c r="Y461">
        <f>Y460+(W460*Graph!$D$5)+(U460*Graph!$D$5^2)</f>
        <v>-17832.0801708115</v>
      </c>
      <c r="Z461">
        <f>Z460+(X460*Graph!$D$5)+(V460*Graph!$D$5^2)</f>
        <v>-5729.1593523977572</v>
      </c>
    </row>
    <row r="462" spans="14:26" x14ac:dyDescent="0.35">
      <c r="N462">
        <f>N461+1</f>
        <v>459</v>
      </c>
      <c r="O462">
        <f>Graph!$D$22*((Graph!$D$18-Y462)/POWER((((Graph!$D$18-$Y462)^2)+((Graph!$E$18-$Z462)^2))+(Graph!$D$23^2),(3/2)))</f>
        <v>317.7732751922141</v>
      </c>
      <c r="P462" s="84">
        <f>Graph!$D$22*((Graph!$E$18-Z462)/POWER((((Graph!$D$18-$Y462)^2)+((Graph!$E$18-$Z462)^2))+(Graph!$D$23^2),3/2))</f>
        <v>179.35751385134446</v>
      </c>
      <c r="Q462">
        <f>Graph!$D$31*((Graph!$D$27-Y462)/POWER((((Graph!$D$27-$Y462)^2)+((Graph!$E$27-$Z462)^2))+(Graph!$D$32^2),3/2))</f>
        <v>-65.4837746841593</v>
      </c>
      <c r="R462">
        <f>Graph!$D$31*((Graph!$E$27-Z462)/POWER((((Graph!$D$27-$Y462)^2)+((Graph!$E$27-$Z462)^2))+(Graph!$D$32^2),3/2))</f>
        <v>491.62653963818542</v>
      </c>
      <c r="S462">
        <f>Graph!$D$40*((Graph!$D$36-Y462)/POWER((((Graph!$D$36-$Y462)^2)+((Graph!$E$36-$Z462)^2))+(Graph!$D$41^2),3/2))</f>
        <v>1255.4937152669713</v>
      </c>
      <c r="T462">
        <f>Graph!$D$40*((Graph!$E$36-Z462)/POWER((((Graph!$D$36-$Y462)^2)+((Graph!$E$36-$Z462)^2))+(Graph!$D$41^2),3/2))</f>
        <v>-473.98255098058422</v>
      </c>
      <c r="U462">
        <f>O462+Q462+S462</f>
        <v>1507.7832157750261</v>
      </c>
      <c r="V462">
        <f>P462+R462+T462</f>
        <v>197.00150250894563</v>
      </c>
      <c r="W462">
        <f>W461+(U461*Graph!$D$5)</f>
        <v>558.76450161425078</v>
      </c>
      <c r="X462">
        <f>X461+(V461*Graph!$D$5)</f>
        <v>-5288.4528074041291</v>
      </c>
      <c r="Y462">
        <f>Y461+(W461*Graph!$D$5)+(U461*Graph!$D$5^2)</f>
        <v>-17552.697920004375</v>
      </c>
      <c r="Z462">
        <f>Z461+(X461*Graph!$D$5)+(V461*Graph!$D$5^2)</f>
        <v>-8373.3857560998204</v>
      </c>
    </row>
    <row r="463" spans="14:26" x14ac:dyDescent="0.35">
      <c r="N463">
        <f>N462+1</f>
        <v>460</v>
      </c>
      <c r="O463">
        <f>Graph!$D$22*((Graph!$D$18-Y463)/POWER((((Graph!$D$18-$Y463)^2)+((Graph!$E$18-$Z463)^2))+(Graph!$D$23^2),(3/2)))</f>
        <v>292.71523772033061</v>
      </c>
      <c r="P463" s="84">
        <f>Graph!$D$22*((Graph!$E$18-Z463)/POWER((((Graph!$D$18-$Y463)^2)+((Graph!$E$18-$Z463)^2))+(Graph!$D$23^2),3/2))</f>
        <v>192.42813618570381</v>
      </c>
      <c r="Q463">
        <f>Graph!$D$31*((Graph!$D$27-Y463)/POWER((((Graph!$D$27-$Y463)^2)+((Graph!$E$27-$Z463)^2))+(Graph!$D$32^2),3/2))</f>
        <v>-56.211854477527837</v>
      </c>
      <c r="R463">
        <f>Graph!$D$31*((Graph!$E$27-Z463)/POWER((((Graph!$D$27-$Y463)^2)+((Graph!$E$27-$Z463)^2))+(Graph!$D$32^2),3/2))</f>
        <v>379.77157395414042</v>
      </c>
      <c r="S463">
        <f>Graph!$D$40*((Graph!$D$36-Y463)/POWER((((Graph!$D$36-$Y463)^2)+((Graph!$E$36-$Z463)^2))+(Graph!$D$41^2),3/2))</f>
        <v>1497.9100658850577</v>
      </c>
      <c r="T463">
        <f>Graph!$D$40*((Graph!$E$36-Z463)/POWER((((Graph!$D$36-$Y463)^2)+((Graph!$E$36-$Z463)^2))+(Graph!$D$41^2),3/2))</f>
        <v>-357.41591321995276</v>
      </c>
      <c r="U463">
        <f>O463+Q463+S463</f>
        <v>1734.4134491278605</v>
      </c>
      <c r="V463">
        <f>P463+R463+T463</f>
        <v>214.78379691989147</v>
      </c>
      <c r="W463">
        <f>W462+(U462*Graph!$D$5)</f>
        <v>1312.6561095017637</v>
      </c>
      <c r="X463">
        <f>X462+(V462*Graph!$D$5)</f>
        <v>-5189.9520561496565</v>
      </c>
      <c r="Y463">
        <f>Y462+(W462*Graph!$D$5)+(U462*Graph!$D$5^2)</f>
        <v>-16896.369865253495</v>
      </c>
      <c r="Z463">
        <f>Z462+(X462*Graph!$D$5)+(V462*Graph!$D$5^2)</f>
        <v>-10968.361784174649</v>
      </c>
    </row>
    <row r="464" spans="14:26" x14ac:dyDescent="0.35">
      <c r="N464">
        <f>N463+1</f>
        <v>461</v>
      </c>
      <c r="O464">
        <f>Graph!$D$22*((Graph!$D$18-Y464)/POWER((((Graph!$D$18-$Y464)^2)+((Graph!$E$18-$Z464)^2))+(Graph!$D$23^2),(3/2)))</f>
        <v>270.39118342312224</v>
      </c>
      <c r="P464" s="84">
        <f>Graph!$D$22*((Graph!$E$18-Z464)/POWER((((Graph!$D$18-$Y464)^2)+((Graph!$E$18-$Z464)^2))+(Graph!$D$23^2),3/2))</f>
        <v>206.34647188704099</v>
      </c>
      <c r="Q464">
        <f>Graph!$D$31*((Graph!$D$27-Y464)/POWER((((Graph!$D$27-$Y464)^2)+((Graph!$E$27-$Z464)^2))+(Graph!$D$32^2),3/2))</f>
        <v>-53.565851173711764</v>
      </c>
      <c r="R464">
        <f>Graph!$D$31*((Graph!$E$27-Z464)/POWER((((Graph!$D$27-$Y464)^2)+((Graph!$E$27-$Z464)^2))+(Graph!$D$32^2),3/2))</f>
        <v>300.29700569136332</v>
      </c>
      <c r="S464">
        <f>Graph!$D$40*((Graph!$D$36-Y464)/POWER((((Graph!$D$36-$Y464)^2)+((Graph!$E$36-$Z464)^2))+(Graph!$D$41^2),3/2))</f>
        <v>1794.5722020568521</v>
      </c>
      <c r="T464">
        <f>Graph!$D$40*((Graph!$E$36-Z464)/POWER((((Graph!$D$36-$Y464)^2)+((Graph!$E$36-$Z464)^2))+(Graph!$D$41^2),3/2))</f>
        <v>-169.20669969366256</v>
      </c>
      <c r="U464">
        <f>O464+Q464+S464</f>
        <v>2011.3975343062625</v>
      </c>
      <c r="V464">
        <f>P464+R464+T464</f>
        <v>337.43677788474179</v>
      </c>
      <c r="W464">
        <f>W463+(U463*Graph!$D$5)</f>
        <v>2179.8628340656942</v>
      </c>
      <c r="X464">
        <f>X463+(V463*Graph!$D$5)</f>
        <v>-5082.5601576897106</v>
      </c>
      <c r="Y464">
        <f>Y463+(W463*Graph!$D$5)+(U463*Graph!$D$5^2)</f>
        <v>-15806.438448220648</v>
      </c>
      <c r="Z464">
        <f>Z463+(X463*Graph!$D$5)+(V463*Graph!$D$5^2)</f>
        <v>-13509.641863019506</v>
      </c>
    </row>
    <row r="465" spans="14:26" x14ac:dyDescent="0.35">
      <c r="N465">
        <f>N464+1</f>
        <v>462</v>
      </c>
      <c r="O465">
        <f>Graph!$D$22*((Graph!$D$18-Y465)/POWER((((Graph!$D$18-$Y465)^2)+((Graph!$E$18-$Z465)^2))+(Graph!$D$23^2),(3/2)))</f>
        <v>250.00756790608878</v>
      </c>
      <c r="P465" s="84">
        <f>Graph!$D$22*((Graph!$E$18-Z465)/POWER((((Graph!$D$18-$Y465)^2)+((Graph!$E$18-$Z465)^2))+(Graph!$D$23^2),3/2))</f>
        <v>222.21925366772567</v>
      </c>
      <c r="Q465">
        <f>Graph!$D$31*((Graph!$D$27-Y465)/POWER((((Graph!$D$27-$Y465)^2)+((Graph!$E$27-$Z465)^2))+(Graph!$D$32^2),3/2))</f>
        <v>-53.790233093574855</v>
      </c>
      <c r="R465">
        <f>Graph!$D$31*((Graph!$E$27-Z465)/POWER((((Graph!$D$27-$Y465)^2)+((Graph!$E$27-$Z465)^2))+(Graph!$D$32^2),3/2))</f>
        <v>241.38693802737055</v>
      </c>
      <c r="S465">
        <f>Graph!$D$40*((Graph!$D$36-Y465)/POWER((((Graph!$D$36-$Y465)^2)+((Graph!$E$36-$Z465)^2))+(Graph!$D$41^2),3/2))</f>
        <v>2162.2699219913429</v>
      </c>
      <c r="T465">
        <f>Graph!$D$40*((Graph!$E$36-Z465)/POWER((((Graph!$D$36-$Y465)^2)+((Graph!$E$36-$Z465)^2))+(Graph!$D$41^2),3/2))</f>
        <v>147.03953114818549</v>
      </c>
      <c r="U465">
        <f>O465+Q465+S465</f>
        <v>2358.4872568038568</v>
      </c>
      <c r="V465">
        <f>P465+R465+T465</f>
        <v>610.64572284328165</v>
      </c>
      <c r="W465">
        <f>W464+(U464*Graph!$D$5)</f>
        <v>3185.5616012188257</v>
      </c>
      <c r="X465">
        <f>X464+(V464*Graph!$D$5)</f>
        <v>-4913.8417687473393</v>
      </c>
      <c r="Y465">
        <f>Y464+(W464*Graph!$D$5)+(U464*Graph!$D$5^2)</f>
        <v>-14213.657647611235</v>
      </c>
      <c r="Z465">
        <f>Z464+(X464*Graph!$D$5)+(V464*Graph!$D$5^2)</f>
        <v>-15966.562747393175</v>
      </c>
    </row>
    <row r="466" spans="14:26" x14ac:dyDescent="0.35">
      <c r="N466">
        <f>N465+1</f>
        <v>463</v>
      </c>
      <c r="O466">
        <f>Graph!$D$22*((Graph!$D$18-Y466)/POWER((((Graph!$D$18-$Y466)^2)+((Graph!$E$18-$Z466)^2))+(Graph!$D$23^2),(3/2)))</f>
        <v>230.83377233846349</v>
      </c>
      <c r="P466" s="84">
        <f>Graph!$D$22*((Graph!$E$18-Z466)/POWER((((Graph!$D$18-$Y466)^2)+((Graph!$E$18-$Z466)^2))+(Graph!$D$23^2),3/2))</f>
        <v>241.41907313815037</v>
      </c>
      <c r="Q466">
        <f>Graph!$D$31*((Graph!$D$27-Y466)/POWER((((Graph!$D$27-$Y466)^2)+((Graph!$E$27-$Z466)^2))+(Graph!$D$32^2),3/2))</f>
        <v>-55.293976560750806</v>
      </c>
      <c r="R466">
        <f>Graph!$D$31*((Graph!$E$27-Z466)/POWER((((Graph!$D$27-$Y466)^2)+((Graph!$E$27-$Z466)^2))+(Graph!$D$32^2),3/2))</f>
        <v>196.16717394932286</v>
      </c>
      <c r="S466">
        <f>Graph!$D$40*((Graph!$D$36-Y466)/POWER((((Graph!$D$36-$Y466)^2)+((Graph!$E$36-$Z466)^2))+(Graph!$D$41^2),3/2))</f>
        <v>2598.8216731719399</v>
      </c>
      <c r="T466">
        <f>Graph!$D$40*((Graph!$E$36-Z466)/POWER((((Graph!$D$36-$Y466)^2)+((Graph!$E$36-$Z466)^2))+(Graph!$D$41^2),3/2))</f>
        <v>706.51678499225443</v>
      </c>
      <c r="U466">
        <f>O466+Q466+S466</f>
        <v>2774.3614689496526</v>
      </c>
      <c r="V466">
        <f>P466+R466+T466</f>
        <v>1144.1030320797277</v>
      </c>
      <c r="W466">
        <f>W465+(U465*Graph!$D$5)</f>
        <v>4364.8052296207543</v>
      </c>
      <c r="X466">
        <f>X465+(V465*Graph!$D$5)</f>
        <v>-4608.5189073256988</v>
      </c>
      <c r="Y466">
        <f>Y465+(W465*Graph!$D$5)+(U465*Graph!$D$5^2)</f>
        <v>-12031.255032800858</v>
      </c>
      <c r="Z466">
        <f>Z465+(X465*Graph!$D$5)+(V465*Graph!$D$5^2)</f>
        <v>-18270.822201056024</v>
      </c>
    </row>
    <row r="467" spans="14:26" x14ac:dyDescent="0.35">
      <c r="N467">
        <f>N466+1</f>
        <v>464</v>
      </c>
      <c r="O467">
        <f>Graph!$D$22*((Graph!$D$18-Y467)/POWER((((Graph!$D$18-$Y467)^2)+((Graph!$E$18-$Z467)^2))+(Graph!$D$23^2),(3/2)))</f>
        <v>212.18746907733379</v>
      </c>
      <c r="P467" s="84">
        <f>Graph!$D$22*((Graph!$E$18-Z467)/POWER((((Graph!$D$18-$Y467)^2)+((Graph!$E$18-$Z467)^2))+(Graph!$D$23^2),3/2))</f>
        <v>266.06865609483526</v>
      </c>
      <c r="Q467">
        <f>Graph!$D$31*((Graph!$D$27-Y467)/POWER((((Graph!$D$27-$Y467)^2)+((Graph!$E$27-$Z467)^2))+(Graph!$D$32^2),3/2))</f>
        <v>-57.466444160862714</v>
      </c>
      <c r="R467">
        <f>Graph!$D$31*((Graph!$E$27-Z467)/POWER((((Graph!$D$27-$Y467)^2)+((Graph!$E$27-$Z467)^2))+(Graph!$D$32^2),3/2))</f>
        <v>160.50220369721043</v>
      </c>
      <c r="S467">
        <f>Graph!$D$40*((Graph!$D$36-Y467)/POWER((((Graph!$D$36-$Y467)^2)+((Graph!$E$36-$Z467)^2))+(Graph!$D$41^2),3/2))</f>
        <v>2996.2213746209022</v>
      </c>
      <c r="T467">
        <f>Graph!$D$40*((Graph!$E$36-Z467)/POWER((((Graph!$D$36-$Y467)^2)+((Graph!$E$36-$Z467)^2))+(Graph!$D$41^2),3/2))</f>
        <v>1730.9370547127676</v>
      </c>
      <c r="U467">
        <f>O467+Q467+S467</f>
        <v>3150.9423995373731</v>
      </c>
      <c r="V467">
        <f>P467+R467+T467</f>
        <v>2157.507914504813</v>
      </c>
      <c r="W467">
        <f>W466+(U466*Graph!$D$5)</f>
        <v>5751.9859640955801</v>
      </c>
      <c r="X467">
        <f>X466+(V466*Graph!$D$5)</f>
        <v>-4036.4673912858352</v>
      </c>
      <c r="Y467">
        <f>Y466+(W466*Graph!$D$5)+(U466*Graph!$D$5^2)</f>
        <v>-9155.2620507530683</v>
      </c>
      <c r="Z467">
        <f>Z466+(X466*Graph!$D$5)+(V466*Graph!$D$5^2)</f>
        <v>-20289.055896698941</v>
      </c>
    </row>
    <row r="468" spans="14:26" x14ac:dyDescent="0.35">
      <c r="N468">
        <f>N467+1</f>
        <v>465</v>
      </c>
      <c r="O468">
        <f>Graph!$D$22*((Graph!$D$18-Y468)/POWER((((Graph!$D$18-$Y468)^2)+((Graph!$E$18-$Z468)^2))+(Graph!$D$23^2),(3/2)))</f>
        <v>193.49967045254985</v>
      </c>
      <c r="P468" s="84">
        <f>Graph!$D$22*((Graph!$E$18-Z468)/POWER((((Graph!$D$18-$Y468)^2)+((Graph!$E$18-$Z468)^2))+(Graph!$D$23^2),3/2))</f>
        <v>299.98148411257381</v>
      </c>
      <c r="Q468">
        <f>Graph!$D$31*((Graph!$D$27-Y468)/POWER((((Graph!$D$27-$Y468)^2)+((Graph!$E$27-$Z468)^2))+(Graph!$D$32^2),3/2))</f>
        <v>-60.259679030741204</v>
      </c>
      <c r="R468">
        <f>Graph!$D$31*((Graph!$E$27-Z468)/POWER((((Graph!$D$27-$Y468)^2)+((Graph!$E$27-$Z468)^2))+(Graph!$D$32^2),3/2))</f>
        <v>131.94531713363426</v>
      </c>
      <c r="S468">
        <f>Graph!$D$40*((Graph!$D$36-Y468)/POWER((((Graph!$D$36-$Y468)^2)+((Graph!$E$36-$Z468)^2))+(Graph!$D$41^2),3/2))</f>
        <v>2834.3797925628478</v>
      </c>
      <c r="T468">
        <f>Graph!$D$40*((Graph!$E$36-Z468)/POWER((((Graph!$D$36-$Y468)^2)+((Graph!$E$36-$Z468)^2))+(Graph!$D$41^2),3/2))</f>
        <v>3493.165407997692</v>
      </c>
      <c r="U468">
        <f>O468+Q468+S468</f>
        <v>2967.6197839846564</v>
      </c>
      <c r="V468">
        <f>P468+R468+T468</f>
        <v>3925.0922092439</v>
      </c>
      <c r="W468">
        <f>W467+(U467*Graph!$D$5)</f>
        <v>7327.4571638642665</v>
      </c>
      <c r="X468">
        <f>X467+(V467*Graph!$D$5)</f>
        <v>-2957.7134340334287</v>
      </c>
      <c r="Y468">
        <f>Y467+(W467*Graph!$D$5)+(U467*Graph!$D$5^2)</f>
        <v>-5491.533468820935</v>
      </c>
      <c r="Z468">
        <f>Z467+(X467*Graph!$D$5)+(V467*Graph!$D$5^2)</f>
        <v>-21767.912613715656</v>
      </c>
    </row>
    <row r="469" spans="14:26" x14ac:dyDescent="0.35">
      <c r="N469">
        <f>N468+1</f>
        <v>466</v>
      </c>
      <c r="O469">
        <f>Graph!$D$22*((Graph!$D$18-Y469)/POWER((((Graph!$D$18-$Y469)^2)+((Graph!$E$18-$Z469)^2))+(Graph!$D$23^2),(3/2)))</f>
        <v>174.66643050494</v>
      </c>
      <c r="P469" s="84">
        <f>Graph!$D$22*((Graph!$E$18-Z469)/POWER((((Graph!$D$18-$Y469)^2)+((Graph!$E$18-$Z469)^2))+(Graph!$D$23^2),3/2))</f>
        <v>350.35024985425565</v>
      </c>
      <c r="Q469">
        <f>Graph!$D$31*((Graph!$D$27-Y469)/POWER((((Graph!$D$27-$Y469)^2)+((Graph!$E$27-$Z469)^2))+(Graph!$D$32^2),3/2))</f>
        <v>-64.085874141715877</v>
      </c>
      <c r="R469">
        <f>Graph!$D$31*((Graph!$E$27-Z469)/POWER((((Graph!$D$27-$Y469)^2)+((Graph!$E$27-$Z469)^2))+(Graph!$D$32^2),3/2))</f>
        <v>109.32386564293679</v>
      </c>
      <c r="S469">
        <f>Graph!$D$40*((Graph!$D$36-Y469)/POWER((((Graph!$D$36-$Y469)^2)+((Graph!$E$36-$Z469)^2))+(Graph!$D$41^2),3/2))</f>
        <v>810.25766892300521</v>
      </c>
      <c r="T469">
        <f>Graph!$D$40*((Graph!$E$36-Z469)/POWER((((Graph!$D$36-$Y469)^2)+((Graph!$E$36-$Z469)^2))+(Graph!$D$41^2),3/2))</f>
        <v>5421.2398918479421</v>
      </c>
      <c r="U469">
        <f>O469+Q469+S469</f>
        <v>920.83822528622932</v>
      </c>
      <c r="V469">
        <f>P469+R469+T469</f>
        <v>5880.9140073451345</v>
      </c>
      <c r="W469">
        <f>W468+(U468*Graph!$D$5)</f>
        <v>8811.2670558565951</v>
      </c>
      <c r="X469">
        <f>X468+(V468*Graph!$D$5)</f>
        <v>-995.1673294114787</v>
      </c>
      <c r="Y469">
        <f>Y468+(W468*Graph!$D$5)+(U468*Graph!$D$5^2)</f>
        <v>-1085.8999408926377</v>
      </c>
      <c r="Z469">
        <f>Z468+(X468*Graph!$D$5)+(V468*Graph!$D$5^2)</f>
        <v>-22265.496278421397</v>
      </c>
    </row>
    <row r="470" spans="14:26" x14ac:dyDescent="0.35">
      <c r="N470">
        <f>N469+1</f>
        <v>467</v>
      </c>
      <c r="O470">
        <f>Graph!$D$22*((Graph!$D$18-Y470)/POWER((((Graph!$D$18-$Y470)^2)+((Graph!$E$18-$Z470)^2))+(Graph!$D$23^2),(3/2)))</f>
        <v>156.71613467975357</v>
      </c>
      <c r="P470" s="84">
        <f>Graph!$D$22*((Graph!$E$18-Z470)/POWER((((Graph!$D$18-$Y470)^2)+((Graph!$E$18-$Z470)^2))+(Graph!$D$23^2),3/2))</f>
        <v>428.30308900533834</v>
      </c>
      <c r="Q470">
        <f>Graph!$D$31*((Graph!$D$27-Y470)/POWER((((Graph!$D$27-$Y470)^2)+((Graph!$E$27-$Z470)^2))+(Graph!$D$32^2),3/2))</f>
        <v>-69.571192653560487</v>
      </c>
      <c r="R470">
        <f>Graph!$D$31*((Graph!$E$27-Z470)/POWER((((Graph!$D$27-$Y470)^2)+((Graph!$E$27-$Z470)^2))+(Graph!$D$32^2),3/2))</f>
        <v>92.445276111649036</v>
      </c>
      <c r="S470">
        <f>Graph!$D$40*((Graph!$D$36-Y470)/POWER((((Graph!$D$36-$Y470)^2)+((Graph!$E$36-$Z470)^2))+(Graph!$D$41^2),3/2))</f>
        <v>-2740.1639909296632</v>
      </c>
      <c r="T470">
        <f>Graph!$D$40*((Graph!$E$36-Z470)/POWER((((Graph!$D$36-$Y470)^2)+((Graph!$E$36-$Z470)^2))+(Graph!$D$41^2),3/2))</f>
        <v>4857.3862237657522</v>
      </c>
      <c r="U470">
        <f>O470+Q470+S470</f>
        <v>-2653.0190489034703</v>
      </c>
      <c r="V470">
        <f>P470+R470+T470</f>
        <v>5378.13458888274</v>
      </c>
      <c r="W470">
        <f>W469+(U469*Graph!$D$5)</f>
        <v>9271.6861684997093</v>
      </c>
      <c r="X470">
        <f>X469+(V469*Graph!$D$5)</f>
        <v>1945.2896742610885</v>
      </c>
      <c r="Y470">
        <f>Y469+(W469*Graph!$D$5)+(U469*Graph!$D$5^2)</f>
        <v>3549.9431433572172</v>
      </c>
      <c r="Z470">
        <f>Z469+(X469*Graph!$D$5)+(V469*Graph!$D$5^2)</f>
        <v>-21292.851441290855</v>
      </c>
    </row>
    <row r="471" spans="14:26" x14ac:dyDescent="0.35">
      <c r="N471">
        <f>N470+1</f>
        <v>468</v>
      </c>
      <c r="O471">
        <f>Graph!$D$22*((Graph!$D$18-Y471)/POWER((((Graph!$D$18-$Y471)^2)+((Graph!$E$18-$Z471)^2))+(Graph!$D$23^2),(3/2)))</f>
        <v>140.18966543950231</v>
      </c>
      <c r="P471" s="84">
        <f>Graph!$D$22*((Graph!$E$18-Z471)/POWER((((Graph!$D$18-$Y471)^2)+((Graph!$E$18-$Z471)^2))+(Graph!$D$23^2),3/2))</f>
        <v>543.24399747205189</v>
      </c>
      <c r="Q471">
        <f>Graph!$D$31*((Graph!$D$27-Y471)/POWER((((Graph!$D$27-$Y471)^2)+((Graph!$E$27-$Z471)^2))+(Graph!$D$32^2),3/2))</f>
        <v>-76.562078820598046</v>
      </c>
      <c r="R471">
        <f>Graph!$D$31*((Graph!$E$27-Z471)/POWER((((Graph!$D$27-$Y471)^2)+((Graph!$E$27-$Z471)^2))+(Graph!$D$32^2),3/2))</f>
        <v>80.604422583711511</v>
      </c>
      <c r="S471">
        <f>Graph!$D$40*((Graph!$D$36-Y471)/POWER((((Graph!$D$36-$Y471)^2)+((Graph!$E$36-$Z471)^2))+(Graph!$D$41^2),3/2))</f>
        <v>-4097.8993469994293</v>
      </c>
      <c r="T471">
        <f>Graph!$D$40*((Graph!$E$36-Z471)/POWER((((Graph!$D$36-$Y471)^2)+((Graph!$E$36-$Z471)^2))+(Graph!$D$41^2),3/2))</f>
        <v>2165.7480183501757</v>
      </c>
      <c r="U471">
        <f>O471+Q471+S471</f>
        <v>-4034.2717603805249</v>
      </c>
      <c r="V471">
        <f>P471+R471+T471</f>
        <v>2789.5964384059389</v>
      </c>
      <c r="W471">
        <f>W470+(U470*Graph!$D$5)</f>
        <v>7945.1766440479742</v>
      </c>
      <c r="X471">
        <f>X470+(V470*Graph!$D$5)</f>
        <v>4634.3569687024583</v>
      </c>
      <c r="Y471">
        <f>Y470+(W470*Graph!$D$5)+(U470*Graph!$D$5^2)</f>
        <v>7522.5314653812038</v>
      </c>
      <c r="Z471">
        <f>Z470+(X470*Graph!$D$5)+(V470*Graph!$D$5^2)</f>
        <v>-18975.672956939627</v>
      </c>
    </row>
    <row r="472" spans="14:26" x14ac:dyDescent="0.35">
      <c r="N472">
        <f>N471+1</f>
        <v>469</v>
      </c>
      <c r="O472">
        <f>Graph!$D$22*((Graph!$D$18-Y472)/POWER((((Graph!$D$18-$Y472)^2)+((Graph!$E$18-$Z472)^2))+(Graph!$D$23^2),(3/2)))</f>
        <v>122.48897264918553</v>
      </c>
      <c r="P472" s="84">
        <f>Graph!$D$22*((Graph!$E$18-Z472)/POWER((((Graph!$D$18-$Y472)^2)+((Graph!$E$18-$Z472)^2))+(Graph!$D$23^2),3/2))</f>
        <v>704.54955773992981</v>
      </c>
      <c r="Q472">
        <f>Graph!$D$31*((Graph!$D$27-Y472)/POWER((((Graph!$D$27-$Y472)^2)+((Graph!$E$27-$Z472)^2))+(Graph!$D$32^2),3/2))</f>
        <v>-84.309549472092485</v>
      </c>
      <c r="R472">
        <f>Graph!$D$31*((Graph!$E$27-Z472)/POWER((((Graph!$D$27-$Y472)^2)+((Graph!$E$27-$Z472)^2))+(Graph!$D$32^2),3/2))</f>
        <v>71.794549439955077</v>
      </c>
      <c r="S472">
        <f>Graph!$D$40*((Graph!$D$36-Y472)/POWER((((Graph!$D$36-$Y472)^2)+((Graph!$E$36-$Z472)^2))+(Graph!$D$41^2),3/2))</f>
        <v>-3466.1153917736842</v>
      </c>
      <c r="T472">
        <f>Graph!$D$40*((Graph!$E$36-Z472)/POWER((((Graph!$D$36-$Y472)^2)+((Graph!$E$36-$Z472)^2))+(Graph!$D$41^2),3/2))</f>
        <v>317.67042962418276</v>
      </c>
      <c r="U472">
        <f>O472+Q472+S472</f>
        <v>-3427.935968596591</v>
      </c>
      <c r="V472">
        <f>P472+R472+T472</f>
        <v>1094.0145368040676</v>
      </c>
      <c r="W472">
        <f>W471+(U471*Graph!$D$5)</f>
        <v>5928.0407638577117</v>
      </c>
      <c r="X472">
        <f>X471+(V471*Graph!$D$5)</f>
        <v>6029.1551879054277</v>
      </c>
      <c r="Y472">
        <f>Y471+(W471*Graph!$D$5)+(U471*Graph!$D$5^2)</f>
        <v>10486.55184731006</v>
      </c>
      <c r="Z472">
        <f>Z471+(X471*Graph!$D$5)+(V471*Graph!$D$5^2)</f>
        <v>-15961.095362986913</v>
      </c>
    </row>
    <row r="473" spans="14:26" x14ac:dyDescent="0.35">
      <c r="N473">
        <f>N472+1</f>
        <v>470</v>
      </c>
      <c r="O473">
        <f>Graph!$D$22*((Graph!$D$18-Y473)/POWER((((Graph!$D$18-$Y473)^2)+((Graph!$E$18-$Z473)^2))+(Graph!$D$23^2),(3/2)))</f>
        <v>99.070759900302946</v>
      </c>
      <c r="P473" s="84">
        <f>Graph!$D$22*((Graph!$E$18-Z473)/POWER((((Graph!$D$18-$Y473)^2)+((Graph!$E$18-$Z473)^2))+(Graph!$D$23^2),3/2))</f>
        <v>933.43656899836503</v>
      </c>
      <c r="Q473">
        <f>Graph!$D$31*((Graph!$D$27-Y473)/POWER((((Graph!$D$27-$Y473)^2)+((Graph!$E$27-$Z473)^2))+(Graph!$D$32^2),3/2))</f>
        <v>-92.444158746844963</v>
      </c>
      <c r="R473">
        <f>Graph!$D$31*((Graph!$E$27-Z473)/POWER((((Graph!$D$27-$Y473)^2)+((Graph!$E$27-$Z473)^2))+(Graph!$D$32^2),3/2))</f>
        <v>64.306749619081714</v>
      </c>
      <c r="S473">
        <f>Graph!$D$40*((Graph!$D$36-Y473)/POWER((((Graph!$D$36-$Y473)^2)+((Graph!$E$36-$Z473)^2))+(Graph!$D$41^2),3/2))</f>
        <v>-2537.5199695488809</v>
      </c>
      <c r="T473">
        <f>Graph!$D$40*((Graph!$E$36-Z473)/POWER((((Graph!$D$36-$Y473)^2)+((Graph!$E$36-$Z473)^2))+(Graph!$D$41^2),3/2))</f>
        <v>-468.87138046394512</v>
      </c>
      <c r="U473">
        <f>O473+Q473+S473</f>
        <v>-2530.8933683954228</v>
      </c>
      <c r="V473">
        <f>P473+R473+T473</f>
        <v>528.87193815350167</v>
      </c>
      <c r="W473">
        <f>W472+(U472*Graph!$D$5)</f>
        <v>4214.0727795594157</v>
      </c>
      <c r="X473">
        <f>X472+(V472*Graph!$D$5)</f>
        <v>6576.162456307462</v>
      </c>
      <c r="Y473">
        <f>Y472+(W472*Graph!$D$5)+(U472*Graph!$D$5^2)</f>
        <v>12593.588237089769</v>
      </c>
      <c r="Z473">
        <f>Z472+(X472*Graph!$D$5)+(V472*Graph!$D$5^2)</f>
        <v>-12673.014134833182</v>
      </c>
    </row>
    <row r="474" spans="14:26" x14ac:dyDescent="0.35">
      <c r="N474">
        <f>N473+1</f>
        <v>471</v>
      </c>
      <c r="O474">
        <f>Graph!$D$22*((Graph!$D$18-Y474)/POWER((((Graph!$D$18-$Y474)^2)+((Graph!$E$18-$Z474)^2))+(Graph!$D$23^2),(3/2)))</f>
        <v>61.806885917239718</v>
      </c>
      <c r="P474" s="84">
        <f>Graph!$D$22*((Graph!$E$18-Z474)/POWER((((Graph!$D$18-$Y474)^2)+((Graph!$E$18-$Z474)^2))+(Graph!$D$23^2),3/2))</f>
        <v>1276.6355487327107</v>
      </c>
      <c r="Q474">
        <f>Graph!$D$31*((Graph!$D$27-Y474)/POWER((((Graph!$D$27-$Y474)^2)+((Graph!$E$27-$Z474)^2))+(Graph!$D$32^2),3/2))</f>
        <v>-100.89316395184706</v>
      </c>
      <c r="R474">
        <f>Graph!$D$31*((Graph!$E$27-Z474)/POWER((((Graph!$D$27-$Y474)^2)+((Graph!$E$27-$Z474)^2))+(Graph!$D$32^2),3/2))</f>
        <v>57.017522356919976</v>
      </c>
      <c r="S474">
        <f>Graph!$D$40*((Graph!$D$36-Y474)/POWER((((Graph!$D$36-$Y474)^2)+((Graph!$E$36-$Z474)^2))+(Graph!$D$41^2),3/2))</f>
        <v>-1798.9868350089098</v>
      </c>
      <c r="T474">
        <f>Graph!$D$40*((Graph!$E$36-Z474)/POWER((((Graph!$D$36-$Y474)^2)+((Graph!$E$36-$Z474)^2))+(Graph!$D$41^2),3/2))</f>
        <v>-734.95612336321187</v>
      </c>
      <c r="U474">
        <f>O474+Q474+S474</f>
        <v>-1838.0731130435172</v>
      </c>
      <c r="V474">
        <f>P474+R474+T474</f>
        <v>598.69694772641878</v>
      </c>
      <c r="W474">
        <f>W473+(U473*Graph!$D$5)</f>
        <v>2948.6260953617043</v>
      </c>
      <c r="X474">
        <f>X473+(V473*Graph!$D$5)</f>
        <v>6840.5984253842125</v>
      </c>
      <c r="Y474">
        <f>Y473+(W473*Graph!$D$5)+(U473*Graph!$D$5^2)</f>
        <v>14067.901284770622</v>
      </c>
      <c r="Z474">
        <f>Z473+(X473*Graph!$D$5)+(V473*Graph!$D$5^2)</f>
        <v>-9252.7149221410746</v>
      </c>
    </row>
    <row r="475" spans="14:26" x14ac:dyDescent="0.35">
      <c r="N475">
        <f>N474+1</f>
        <v>472</v>
      </c>
      <c r="O475">
        <f>Graph!$D$22*((Graph!$D$18-Y475)/POWER((((Graph!$D$18-$Y475)^2)+((Graph!$E$18-$Z475)^2))+(Graph!$D$23^2),(3/2)))</f>
        <v>-9.7081645740077587</v>
      </c>
      <c r="P475" s="84">
        <f>Graph!$D$22*((Graph!$E$18-Z475)/POWER((((Graph!$D$18-$Y475)^2)+((Graph!$E$18-$Z475)^2))+(Graph!$D$23^2),3/2))</f>
        <v>1841.0870588324851</v>
      </c>
      <c r="Q475">
        <f>Graph!$D$31*((Graph!$D$27-Y475)/POWER((((Graph!$D$27-$Y475)^2)+((Graph!$E$27-$Z475)^2))+(Graph!$D$32^2),3/2))</f>
        <v>-109.65951146669575</v>
      </c>
      <c r="R475">
        <f>Graph!$D$31*((Graph!$E$27-Z475)/POWER((((Graph!$D$27-$Y475)^2)+((Graph!$E$27-$Z475)^2))+(Graph!$D$32^2),3/2))</f>
        <v>49.020228253789483</v>
      </c>
      <c r="S475">
        <f>Graph!$D$40*((Graph!$D$36-Y475)/POWER((((Graph!$D$36-$Y475)^2)+((Graph!$E$36-$Z475)^2))+(Graph!$D$41^2),3/2))</f>
        <v>-1263.5827275969418</v>
      </c>
      <c r="T475">
        <f>Graph!$D$40*((Graph!$E$36-Z475)/POWER((((Graph!$D$36-$Y475)^2)+((Graph!$E$36-$Z475)^2))+(Graph!$D$41^2),3/2))</f>
        <v>-780.57178249715605</v>
      </c>
      <c r="U475">
        <f>O475+Q475+S475</f>
        <v>-1382.9504036376454</v>
      </c>
      <c r="V475">
        <f>P475+R475+T475</f>
        <v>1109.5355045891188</v>
      </c>
      <c r="W475">
        <f>W474+(U474*Graph!$D$5)</f>
        <v>2029.5895388399458</v>
      </c>
      <c r="X475">
        <f>X474+(V474*Graph!$D$5)</f>
        <v>7139.9468992474222</v>
      </c>
      <c r="Y475">
        <f>Y474+(W474*Graph!$D$5)+(U474*Graph!$D$5^2)</f>
        <v>15082.696054190596</v>
      </c>
      <c r="Z475">
        <f>Z474+(X474*Graph!$D$5)+(V474*Graph!$D$5^2)</f>
        <v>-5682.7414725173639</v>
      </c>
    </row>
    <row r="476" spans="14:26" x14ac:dyDescent="0.35">
      <c r="N476">
        <f>N475+1</f>
        <v>473</v>
      </c>
      <c r="O476">
        <f>Graph!$D$22*((Graph!$D$18-Y476)/POWER((((Graph!$D$18-$Y476)^2)+((Graph!$E$18-$Z476)^2))+(Graph!$D$23^2),(3/2)))</f>
        <v>-184.63770030562995</v>
      </c>
      <c r="P476" s="84">
        <f>Graph!$D$22*((Graph!$E$18-Z476)/POWER((((Graph!$D$18-$Y476)^2)+((Graph!$E$18-$Z476)^2))+(Graph!$D$23^2),3/2))</f>
        <v>2906.8822654820324</v>
      </c>
      <c r="Q476">
        <f>Graph!$D$31*((Graph!$D$27-Y476)/POWER((((Graph!$D$27-$Y476)^2)+((Graph!$E$27-$Z476)^2))+(Graph!$D$32^2),3/2))</f>
        <v>-118.67297704195268</v>
      </c>
      <c r="R476">
        <f>Graph!$D$31*((Graph!$E$27-Z476)/POWER((((Graph!$D$27-$Y476)^2)+((Graph!$E$27-$Z476)^2))+(Graph!$D$32^2),3/2))</f>
        <v>39.285913123770598</v>
      </c>
      <c r="S476">
        <f>Graph!$D$40*((Graph!$D$36-Y476)/POWER((((Graph!$D$36-$Y476)^2)+((Graph!$E$36-$Z476)^2))+(Graph!$D$41^2),3/2))</f>
        <v>-874.38962092807606</v>
      </c>
      <c r="T476">
        <f>Graph!$D$40*((Graph!$E$36-Z476)/POWER((((Graph!$D$36-$Y476)^2)+((Graph!$E$36-$Z476)^2))+(Graph!$D$41^2),3/2))</f>
        <v>-730.77601603107382</v>
      </c>
      <c r="U476">
        <f>O476+Q476+S476</f>
        <v>-1177.7002982756587</v>
      </c>
      <c r="V476">
        <f>P476+R476+T476</f>
        <v>2215.3921625747289</v>
      </c>
      <c r="W476">
        <f>W475+(U475*Graph!$D$5)</f>
        <v>1338.114337021123</v>
      </c>
      <c r="X476">
        <f>X475+(V475*Graph!$D$5)</f>
        <v>7694.7146515419818</v>
      </c>
      <c r="Y476">
        <f>Y475+(W475*Graph!$D$5)+(U475*Graph!$D$5^2)</f>
        <v>15751.753222701158</v>
      </c>
      <c r="Z476">
        <f>Z475+(X475*Graph!$D$5)+(V475*Graph!$D$5^2)</f>
        <v>-1835.3841467463731</v>
      </c>
    </row>
    <row r="477" spans="14:26" x14ac:dyDescent="0.35">
      <c r="N477">
        <f>N476+1</f>
        <v>474</v>
      </c>
      <c r="O477">
        <f>Graph!$D$22*((Graph!$D$18-Y477)/POWER((((Graph!$D$18-$Y477)^2)+((Graph!$E$18-$Z477)^2))+(Graph!$D$23^2),(3/2)))</f>
        <v>-801.05702450519334</v>
      </c>
      <c r="P477" s="84">
        <f>Graph!$D$22*((Graph!$E$18-Z477)/POWER((((Graph!$D$18-$Y477)^2)+((Graph!$E$18-$Z477)^2))+(Graph!$D$23^2),3/2))</f>
        <v>5287.0017439162493</v>
      </c>
      <c r="Q477">
        <f>Graph!$D$31*((Graph!$D$27-Y477)/POWER((((Graph!$D$27-$Y477)^2)+((Graph!$E$27-$Z477)^2))+(Graph!$D$32^2),3/2))</f>
        <v>-127.58091910822817</v>
      </c>
      <c r="R477">
        <f>Graph!$D$31*((Graph!$E$27-Z477)/POWER((((Graph!$D$27-$Y477)^2)+((Graph!$E$27-$Z477)^2))+(Graph!$D$32^2),3/2))</f>
        <v>26.253923643245486</v>
      </c>
      <c r="S477">
        <f>Graph!$D$40*((Graph!$D$36-Y477)/POWER((((Graph!$D$36-$Y477)^2)+((Graph!$E$36-$Z477)^2))+(Graph!$D$41^2),3/2))</f>
        <v>-583.81419093372131</v>
      </c>
      <c r="T477">
        <f>Graph!$D$40*((Graph!$E$36-Z477)/POWER((((Graph!$D$36-$Y477)^2)+((Graph!$E$36-$Z477)^2))+(Graph!$D$41^2),3/2))</f>
        <v>-635.92525554151689</v>
      </c>
      <c r="U477">
        <f>O477+Q477+S477</f>
        <v>-1512.4521345471428</v>
      </c>
      <c r="V477">
        <f>P477+R477+T477</f>
        <v>4677.3304120179782</v>
      </c>
      <c r="W477">
        <f>W476+(U476*Graph!$D$5)</f>
        <v>749.26418788329363</v>
      </c>
      <c r="X477">
        <f>X476+(V476*Graph!$D$5)</f>
        <v>8802.4107328293467</v>
      </c>
      <c r="Y477">
        <f>Y476+(W476*Graph!$D$5)+(U476*Graph!$D$5^2)</f>
        <v>16126.385316642803</v>
      </c>
      <c r="Z477">
        <f>Z476+(X476*Graph!$D$5)+(V476*Graph!$D$5^2)</f>
        <v>2565.8212196682998</v>
      </c>
    </row>
    <row r="478" spans="14:26" x14ac:dyDescent="0.35">
      <c r="N478">
        <f>N477+1</f>
        <v>475</v>
      </c>
      <c r="O478">
        <f>Graph!$D$22*((Graph!$D$18-Y478)/POWER((((Graph!$D$18-$Y478)^2)+((Graph!$E$18-$Z478)^2))+(Graph!$D$23^2),(3/2)))</f>
        <v>-3626.2674272969903</v>
      </c>
      <c r="P478" s="84">
        <f>Graph!$D$22*((Graph!$E$18-Z478)/POWER((((Graph!$D$18-$Y478)^2)+((Graph!$E$18-$Z478)^2))+(Graph!$D$23^2),3/2))</f>
        <v>6018.375302056952</v>
      </c>
      <c r="Q478">
        <f>Graph!$D$31*((Graph!$D$27-Y478)/POWER((((Graph!$D$27-$Y478)^2)+((Graph!$E$27-$Z478)^2))+(Graph!$D$32^2),3/2))</f>
        <v>-135.18381266456475</v>
      </c>
      <c r="R478">
        <f>Graph!$D$31*((Graph!$E$27-Z478)/POWER((((Graph!$D$27-$Y478)^2)+((Graph!$E$27-$Z478)^2))+(Graph!$D$32^2),3/2))</f>
        <v>6.9743580866994899</v>
      </c>
      <c r="S478">
        <f>Graph!$D$40*((Graph!$D$36-Y478)/POWER((((Graph!$D$36-$Y478)^2)+((Graph!$E$36-$Z478)^2))+(Graph!$D$41^2),3/2))</f>
        <v>-359.36117077951957</v>
      </c>
      <c r="T478">
        <f>Graph!$D$40*((Graph!$E$36-Z478)/POWER((((Graph!$D$36-$Y478)^2)+((Graph!$E$36-$Z478)^2))+(Graph!$D$41^2),3/2))</f>
        <v>-515.68308856645388</v>
      </c>
      <c r="U478">
        <f>O478+Q478+S478</f>
        <v>-4120.8124107410749</v>
      </c>
      <c r="V478">
        <f>P478+R478+T478</f>
        <v>5509.6665715771978</v>
      </c>
      <c r="W478">
        <f>W477+(U477*Graph!$D$5)</f>
        <v>-6.9618793902777725</v>
      </c>
      <c r="X478">
        <f>X477+(V477*Graph!$D$5)</f>
        <v>11141.075938838336</v>
      </c>
      <c r="Y478">
        <f>Y477+(W477*Graph!$D$5)+(U477*Graph!$D$5^2)</f>
        <v>16122.904376947663</v>
      </c>
      <c r="Z478">
        <f>Z477+(X477*Graph!$D$5)+(V477*Graph!$D$5^2)</f>
        <v>8136.3591890874677</v>
      </c>
    </row>
    <row r="479" spans="14:26" x14ac:dyDescent="0.35">
      <c r="N479">
        <f>N478+1</f>
        <v>476</v>
      </c>
      <c r="O479">
        <f>Graph!$D$22*((Graph!$D$18-Y479)/POWER((((Graph!$D$18-$Y479)^2)+((Graph!$E$18-$Z479)^2))+(Graph!$D$23^2),(3/2)))</f>
        <v>-128.80149409002794</v>
      </c>
      <c r="P479" s="84">
        <f>Graph!$D$22*((Graph!$E$18-Z479)/POWER((((Graph!$D$18-$Y479)^2)+((Graph!$E$18-$Z479)^2))+(Graph!$D$23^2),3/2))</f>
        <v>-7339.8874507620776</v>
      </c>
      <c r="Q479">
        <f>Graph!$D$31*((Graph!$D$27-Y479)/POWER((((Graph!$D$27-$Y479)^2)+((Graph!$E$27-$Z479)^2))+(Graph!$D$32^2),3/2))</f>
        <v>-139.34536151305207</v>
      </c>
      <c r="R479">
        <f>Graph!$D$31*((Graph!$E$27-Z479)/POWER((((Graph!$D$27-$Y479)^2)+((Graph!$E$27-$Z479)^2))+(Graph!$D$32^2),3/2))</f>
        <v>-20.19068927570547</v>
      </c>
      <c r="S479">
        <f>Graph!$D$40*((Graph!$D$36-Y479)/POWER((((Graph!$D$36-$Y479)^2)+((Graph!$E$36-$Z479)^2))+(Graph!$D$41^2),3/2))</f>
        <v>-200.55936809763938</v>
      </c>
      <c r="T479">
        <f>Graph!$D$40*((Graph!$E$36-Z479)/POWER((((Graph!$D$36-$Y479)^2)+((Graph!$E$36-$Z479)^2))+(Graph!$D$41^2),3/2))</f>
        <v>-399.86764271960004</v>
      </c>
      <c r="U479">
        <f>O479+Q479+S479</f>
        <v>-468.70622370071936</v>
      </c>
      <c r="V479">
        <f>P479+R479+T479</f>
        <v>-7759.9457827573824</v>
      </c>
      <c r="W479">
        <f>W478+(U478*Graph!$D$5)</f>
        <v>-2067.3680847608152</v>
      </c>
      <c r="X479">
        <f>X478+(V478*Graph!$D$5)</f>
        <v>13895.909224626936</v>
      </c>
      <c r="Y479">
        <f>Y478+(W478*Graph!$D$5)+(U478*Graph!$D$5^2)</f>
        <v>15089.220334567255</v>
      </c>
      <c r="Z479">
        <f>Z478+(X478*Graph!$D$5)+(V478*Graph!$D$5^2)</f>
        <v>15084.313801400935</v>
      </c>
    </row>
    <row r="480" spans="14:26" x14ac:dyDescent="0.35">
      <c r="N480">
        <f>N479+1</f>
        <v>477</v>
      </c>
      <c r="O480">
        <f>Graph!$D$22*((Graph!$D$18-Y480)/POWER((((Graph!$D$18-$Y480)^2)+((Graph!$E$18-$Z480)^2))+(Graph!$D$23^2),(3/2)))</f>
        <v>383.9339849209382</v>
      </c>
      <c r="P480" s="84">
        <f>Graph!$D$22*((Graph!$E$18-Z480)/POWER((((Graph!$D$18-$Y480)^2)+((Graph!$E$18-$Z480)^2))+(Graph!$D$23^2),3/2))</f>
        <v>-3649.7956655161506</v>
      </c>
      <c r="Q480">
        <f>Graph!$D$31*((Graph!$D$27-Y480)/POWER((((Graph!$D$27-$Y480)^2)+((Graph!$E$27-$Z480)^2))+(Graph!$D$32^2),3/2))</f>
        <v>-135.32437908950828</v>
      </c>
      <c r="R480">
        <f>Graph!$D$31*((Graph!$E$27-Z480)/POWER((((Graph!$D$27-$Y480)^2)+((Graph!$E$27-$Z480)^2))+(Graph!$D$32^2),3/2))</f>
        <v>-40.241537939148138</v>
      </c>
      <c r="S480">
        <f>Graph!$D$40*((Graph!$D$36-Y480)/POWER((((Graph!$D$36-$Y480)^2)+((Graph!$E$36-$Z480)^2))+(Graph!$D$41^2),3/2))</f>
        <v>-132.07577330451142</v>
      </c>
      <c r="T480">
        <f>Graph!$D$40*((Graph!$E$36-Z480)/POWER((((Graph!$D$36-$Y480)^2)+((Graph!$E$36-$Z480)^2))+(Graph!$D$41^2),3/2))</f>
        <v>-332.52408214784367</v>
      </c>
      <c r="U480">
        <f>O480+Q480+S480</f>
        <v>116.5338325269185</v>
      </c>
      <c r="V480">
        <f>P480+R480+T480</f>
        <v>-4022.5612856031426</v>
      </c>
      <c r="W480">
        <f>W479+(U479*Graph!$D$5)</f>
        <v>-2301.7211966111749</v>
      </c>
      <c r="X480">
        <f>X479+(V479*Graph!$D$5)</f>
        <v>10015.936333248244</v>
      </c>
      <c r="Y480">
        <f>Y479+(W479*Graph!$D$5)+(U479*Graph!$D$5^2)</f>
        <v>13938.359736261667</v>
      </c>
      <c r="Z480">
        <f>Z479+(X479*Graph!$D$5)+(V479*Graph!$D$5^2)</f>
        <v>20092.281968025058</v>
      </c>
    </row>
    <row r="481" spans="14:26" x14ac:dyDescent="0.35">
      <c r="N481">
        <f>N480+1</f>
        <v>478</v>
      </c>
      <c r="O481">
        <f>Graph!$D$22*((Graph!$D$18-Y481)/POWER((((Graph!$D$18-$Y481)^2)+((Graph!$E$18-$Z481)^2))+(Graph!$D$23^2),(3/2)))</f>
        <v>331.13848298161321</v>
      </c>
      <c r="P481" s="84">
        <f>Graph!$D$22*((Graph!$E$18-Z481)/POWER((((Graph!$D$18-$Y481)^2)+((Graph!$E$18-$Z481)^2))+(Graph!$D$23^2),3/2))</f>
        <v>-2137.6465103463356</v>
      </c>
      <c r="Q481">
        <f>Graph!$D$31*((Graph!$D$27-Y481)/POWER((((Graph!$D$27-$Y481)^2)+((Graph!$E$27-$Z481)^2))+(Graph!$D$32^2),3/2))</f>
        <v>-127.52466615766245</v>
      </c>
      <c r="R481">
        <f>Graph!$D$31*((Graph!$E$27-Z481)/POWER((((Graph!$D$27-$Y481)^2)+((Graph!$E$27-$Z481)^2))+(Graph!$D$32^2),3/2))</f>
        <v>-54.771323833856449</v>
      </c>
      <c r="S481">
        <f>Graph!$D$40*((Graph!$D$36-Y481)/POWER((((Graph!$D$36-$Y481)^2)+((Graph!$E$36-$Z481)^2))+(Graph!$D$41^2),3/2))</f>
        <v>-94.268979732837465</v>
      </c>
      <c r="T481">
        <f>Graph!$D$40*((Graph!$E$36-Z481)/POWER((((Graph!$D$36-$Y481)^2)+((Graph!$E$36-$Z481)^2))+(Graph!$D$41^2),3/2))</f>
        <v>-287.5489292931162</v>
      </c>
      <c r="U481">
        <f>O481+Q481+S481</f>
        <v>109.34483709111328</v>
      </c>
      <c r="V481">
        <f>P481+R481+T481</f>
        <v>-2479.9667634733082</v>
      </c>
      <c r="W481">
        <f>W480+(U480*Graph!$D$5)</f>
        <v>-2243.4542803477157</v>
      </c>
      <c r="X481">
        <f>X480+(V480*Graph!$D$5)</f>
        <v>8004.6556904466734</v>
      </c>
      <c r="Y481">
        <f>Y480+(W480*Graph!$D$5)+(U480*Graph!$D$5^2)</f>
        <v>12816.632596087809</v>
      </c>
      <c r="Z481">
        <f>Z480+(X480*Graph!$D$5)+(V480*Graph!$D$5^2)</f>
        <v>24094.609813248397</v>
      </c>
    </row>
    <row r="482" spans="14:26" x14ac:dyDescent="0.35">
      <c r="N482">
        <f>N481+1</f>
        <v>479</v>
      </c>
      <c r="O482">
        <f>Graph!$D$22*((Graph!$D$18-Y482)/POWER((((Graph!$D$18-$Y482)^2)+((Graph!$E$18-$Z482)^2))+(Graph!$D$23^2),(3/2)))</f>
        <v>272.32417124108827</v>
      </c>
      <c r="P482" s="84">
        <f>Graph!$D$22*((Graph!$E$18-Z482)/POWER((((Graph!$D$18-$Y482)^2)+((Graph!$E$18-$Z482)^2))+(Graph!$D$23^2),3/2))</f>
        <v>-1452.0273736788511</v>
      </c>
      <c r="Q482">
        <f>Graph!$D$31*((Graph!$D$27-Y482)/POWER((((Graph!$D$27-$Y482)^2)+((Graph!$E$27-$Z482)^2))+(Graph!$D$32^2),3/2))</f>
        <v>-118.25716406101147</v>
      </c>
      <c r="R482">
        <f>Graph!$D$31*((Graph!$E$27-Z482)/POWER((((Graph!$D$27-$Y482)^2)+((Graph!$E$27-$Z482)^2))+(Graph!$D$32^2),3/2))</f>
        <v>-65.152207349976464</v>
      </c>
      <c r="S482">
        <f>Graph!$D$40*((Graph!$D$36-Y482)/POWER((((Graph!$D$36-$Y482)^2)+((Graph!$E$36-$Z482)^2))+(Graph!$D$41^2),3/2))</f>
        <v>-70.372258716326911</v>
      </c>
      <c r="T482">
        <f>Graph!$D$40*((Graph!$E$36-Z482)/POWER((((Graph!$D$36-$Y482)^2)+((Graph!$E$36-$Z482)^2))+(Graph!$D$41^2),3/2))</f>
        <v>-255.00230386727907</v>
      </c>
      <c r="U482">
        <f>O482+Q482+S482</f>
        <v>83.694748463749903</v>
      </c>
      <c r="V482">
        <f>P482+R482+T482</f>
        <v>-1772.1818848961066</v>
      </c>
      <c r="W482">
        <f>W481+(U481*Graph!$D$5)</f>
        <v>-2188.7818618021593</v>
      </c>
      <c r="X482">
        <f>X481+(V481*Graph!$D$5)</f>
        <v>6764.672308710019</v>
      </c>
      <c r="Y482">
        <f>Y481+(W481*Graph!$D$5)+(U481*Graph!$D$5^2)</f>
        <v>11722.24166518673</v>
      </c>
      <c r="Z482">
        <f>Z481+(X481*Graph!$D$5)+(V481*Graph!$D$5^2)</f>
        <v>27476.945967603406</v>
      </c>
    </row>
    <row r="483" spans="14:26" x14ac:dyDescent="0.35">
      <c r="N483">
        <f>N482+1</f>
        <v>480</v>
      </c>
      <c r="O483">
        <f>Graph!$D$22*((Graph!$D$18-Y483)/POWER((((Graph!$D$18-$Y483)^2)+((Graph!$E$18-$Z483)^2))+(Graph!$D$23^2),(3/2)))</f>
        <v>230.35831200949056</v>
      </c>
      <c r="P483" s="84">
        <f>Graph!$D$22*((Graph!$E$18-Z483)/POWER((((Graph!$D$18-$Y483)^2)+((Graph!$E$18-$Z483)^2))+(Graph!$D$23^2),3/2))</f>
        <v>-1080.8563535711664</v>
      </c>
      <c r="Q483">
        <f>Graph!$D$31*((Graph!$D$27-Y483)/POWER((((Graph!$D$27-$Y483)^2)+((Graph!$E$27-$Z483)^2))+(Graph!$D$32^2),3/2))</f>
        <v>-108.73683593666617</v>
      </c>
      <c r="R483">
        <f>Graph!$D$31*((Graph!$E$27-Z483)/POWER((((Graph!$D$27-$Y483)^2)+((Graph!$E$27-$Z483)^2))+(Graph!$D$32^2),3/2))</f>
        <v>-72.433466494009778</v>
      </c>
      <c r="S483">
        <f>Graph!$D$40*((Graph!$D$36-Y483)/POWER((((Graph!$D$36-$Y483)^2)+((Graph!$E$36-$Z483)^2))+(Graph!$D$41^2),3/2))</f>
        <v>-53.995681369167258</v>
      </c>
      <c r="T483">
        <f>Graph!$D$40*((Graph!$E$36-Z483)/POWER((((Graph!$D$36-$Y483)^2)+((Graph!$E$36-$Z483)^2))+(Graph!$D$41^2),3/2))</f>
        <v>-230.28759424664213</v>
      </c>
      <c r="U483">
        <f>O483+Q483+S483</f>
        <v>67.625794703657135</v>
      </c>
      <c r="V483">
        <f>P483+R483+T483</f>
        <v>-1383.5774143118183</v>
      </c>
      <c r="W483">
        <f>W482+(U482*Graph!$D$5)</f>
        <v>-2146.9344875702841</v>
      </c>
      <c r="X483">
        <f>X482+(V482*Graph!$D$5)</f>
        <v>5878.5813662619657</v>
      </c>
      <c r="Y483">
        <f>Y482+(W482*Graph!$D$5)+(U482*Graph!$D$5^2)</f>
        <v>10648.774421401587</v>
      </c>
      <c r="Z483">
        <f>Z482+(X482*Graph!$D$5)+(V482*Graph!$D$5^2)</f>
        <v>30416.236650734387</v>
      </c>
    </row>
    <row r="484" spans="14:26" x14ac:dyDescent="0.35">
      <c r="N484">
        <f>N483+1</f>
        <v>481</v>
      </c>
      <c r="O484">
        <f>Graph!$D$22*((Graph!$D$18-Y484)/POWER((((Graph!$D$18-$Y484)^2)+((Graph!$E$18-$Z484)^2))+(Graph!$D$23^2),(3/2)))</f>
        <v>200.79260440912711</v>
      </c>
      <c r="P484" s="84">
        <f>Graph!$D$22*((Graph!$E$18-Z484)/POWER((((Graph!$D$18-$Y484)^2)+((Graph!$E$18-$Z484)^2))+(Graph!$D$23^2),3/2))</f>
        <v>-854.35403940381957</v>
      </c>
      <c r="Q484">
        <f>Graph!$D$31*((Graph!$D$27-Y484)/POWER((((Graph!$D$27-$Y484)^2)+((Graph!$E$27-$Z484)^2))+(Graph!$D$32^2),3/2))</f>
        <v>-99.594437766813044</v>
      </c>
      <c r="R484">
        <f>Graph!$D$31*((Graph!$E$27-Z484)/POWER((((Graph!$D$27-$Y484)^2)+((Graph!$E$27-$Z484)^2))+(Graph!$D$32^2),3/2))</f>
        <v>-77.440352683056958</v>
      </c>
      <c r="S484">
        <f>Graph!$D$40*((Graph!$D$36-Y484)/POWER((((Graph!$D$36-$Y484)^2)+((Graph!$E$36-$Z484)^2))+(Graph!$D$41^2),3/2))</f>
        <v>-42.137971619056501</v>
      </c>
      <c r="T484">
        <f>Graph!$D$40*((Graph!$E$36-Z484)/POWER((((Graph!$D$36-$Y484)^2)+((Graph!$E$36-$Z484)^2))+(Graph!$D$41^2),3/2))</f>
        <v>-210.90320032276256</v>
      </c>
      <c r="U484">
        <f>O484+Q484+S484</f>
        <v>59.060195023257563</v>
      </c>
      <c r="V484">
        <f>P484+R484+T484</f>
        <v>-1142.6975924096391</v>
      </c>
      <c r="W484">
        <f>W483+(U483*Graph!$D$5)</f>
        <v>-2113.1215902184554</v>
      </c>
      <c r="X484">
        <f>X483+(V483*Graph!$D$5)</f>
        <v>5186.7926591060568</v>
      </c>
      <c r="Y484">
        <f>Y483+(W483*Graph!$D$5)+(U483*Graph!$D$5^2)</f>
        <v>9592.2136262923595</v>
      </c>
      <c r="Z484">
        <f>Z483+(X483*Graph!$D$5)+(V483*Graph!$D$5^2)</f>
        <v>33009.632980287417</v>
      </c>
    </row>
    <row r="485" spans="14:26" x14ac:dyDescent="0.35">
      <c r="N485">
        <f>N484+1</f>
        <v>482</v>
      </c>
      <c r="O485">
        <f>Graph!$D$22*((Graph!$D$18-Y485)/POWER((((Graph!$D$18-$Y485)^2)+((Graph!$E$18-$Z485)^2))+(Graph!$D$23^2),(3/2)))</f>
        <v>179.42384602784924</v>
      </c>
      <c r="P485" s="84">
        <f>Graph!$D$22*((Graph!$E$18-Z485)/POWER((((Graph!$D$18-$Y485)^2)+((Graph!$E$18-$Z485)^2))+(Graph!$D$23^2),3/2))</f>
        <v>-704.31496257514061</v>
      </c>
      <c r="Q485">
        <f>Graph!$D$31*((Graph!$D$27-Y485)/POWER((((Graph!$D$27-$Y485)^2)+((Graph!$E$27-$Z485)^2))+(Graph!$D$32^2),3/2))</f>
        <v>-91.130368828220568</v>
      </c>
      <c r="R485">
        <f>Graph!$D$31*((Graph!$E$27-Z485)/POWER((((Graph!$D$27-$Y485)^2)+((Graph!$E$27-$Z485)^2))+(Graph!$D$32^2),3/2))</f>
        <v>-80.810722300593596</v>
      </c>
      <c r="S485">
        <f>Graph!$D$40*((Graph!$D$36-Y485)/POWER((((Graph!$D$36-$Y485)^2)+((Graph!$E$36-$Z485)^2))+(Graph!$D$41^2),3/2))</f>
        <v>-33.194471038620776</v>
      </c>
      <c r="T485">
        <f>Graph!$D$40*((Graph!$E$36-Z485)/POWER((((Graph!$D$36-$Y485)^2)+((Graph!$E$36-$Z485)^2))+(Graph!$D$41^2),3/2))</f>
        <v>-195.3422632449886</v>
      </c>
      <c r="U485">
        <f>O485+Q485+S485</f>
        <v>55.099006161007893</v>
      </c>
      <c r="V485">
        <f>P485+R485+T485</f>
        <v>-980.46794812072289</v>
      </c>
      <c r="W485">
        <f>W484+(U484*Graph!$D$5)</f>
        <v>-2083.5914927068266</v>
      </c>
      <c r="X485">
        <f>X484+(V484*Graph!$D$5)</f>
        <v>4615.4438629012375</v>
      </c>
      <c r="Y485">
        <f>Y484+(W484*Graph!$D$5)+(U484*Graph!$D$5^2)</f>
        <v>8550.4178799389465</v>
      </c>
      <c r="Z485">
        <f>Z484+(X484*Graph!$D$5)+(V484*Graph!$D$5^2)</f>
        <v>35317.354911738032</v>
      </c>
    </row>
    <row r="486" spans="14:26" x14ac:dyDescent="0.35">
      <c r="N486">
        <f>N485+1</f>
        <v>483</v>
      </c>
      <c r="O486">
        <f>Graph!$D$22*((Graph!$D$18-Y486)/POWER((((Graph!$D$18-$Y486)^2)+((Graph!$E$18-$Z486)^2))+(Graph!$D$23^2),(3/2)))</f>
        <v>163.56537662039739</v>
      </c>
      <c r="P486" s="84">
        <f>Graph!$D$22*((Graph!$E$18-Z486)/POWER((((Graph!$D$18-$Y486)^2)+((Graph!$E$18-$Z486)^2))+(Graph!$D$23^2),3/2))</f>
        <v>-598.91028942357229</v>
      </c>
      <c r="Q486">
        <f>Graph!$D$31*((Graph!$D$27-Y486)/POWER((((Graph!$D$27-$Y486)^2)+((Graph!$E$27-$Z486)^2))+(Graph!$D$32^2),3/2))</f>
        <v>-83.45899619569775</v>
      </c>
      <c r="R486">
        <f>Graph!$D$31*((Graph!$E$27-Z486)/POWER((((Graph!$D$27-$Y486)^2)+((Graph!$E$27-$Z486)^2))+(Graph!$D$32^2),3/2))</f>
        <v>-83.027069735646805</v>
      </c>
      <c r="S486">
        <f>Graph!$D$40*((Graph!$D$36-Y486)/POWER((((Graph!$D$36-$Y486)^2)+((Graph!$E$36-$Z486)^2))+(Graph!$D$41^2),3/2))</f>
        <v>-26.228310282535841</v>
      </c>
      <c r="T486">
        <f>Graph!$D$40*((Graph!$E$36-Z486)/POWER((((Graph!$D$36-$Y486)^2)+((Graph!$E$36-$Z486)^2))+(Graph!$D$41^2),3/2))</f>
        <v>-182.63299061109342</v>
      </c>
      <c r="U486">
        <f>O486+Q486+S486</f>
        <v>53.878070142163793</v>
      </c>
      <c r="V486">
        <f>P486+R486+T486</f>
        <v>-864.57034977031253</v>
      </c>
      <c r="W486">
        <f>W485+(U485*Graph!$D$5)</f>
        <v>-2056.0419896263224</v>
      </c>
      <c r="X486">
        <f>X485+(V485*Graph!$D$5)</f>
        <v>4125.2098888408764</v>
      </c>
      <c r="Y486">
        <f>Y485+(W485*Graph!$D$5)+(U485*Graph!$D$5^2)</f>
        <v>7522.396885125785</v>
      </c>
      <c r="Z486">
        <f>Z485+(X485*Graph!$D$5)+(V485*Graph!$D$5^2)</f>
        <v>37379.959856158472</v>
      </c>
    </row>
    <row r="487" spans="14:26" x14ac:dyDescent="0.35">
      <c r="N487">
        <f>N486+1</f>
        <v>484</v>
      </c>
      <c r="O487">
        <f>Graph!$D$22*((Graph!$D$18-Y487)/POWER((((Graph!$D$18-$Y487)^2)+((Graph!$E$18-$Z487)^2))+(Graph!$D$23^2),(3/2)))</f>
        <v>151.54442491399828</v>
      </c>
      <c r="P487" s="84">
        <f>Graph!$D$22*((Graph!$E$18-Z487)/POWER((((Graph!$D$18-$Y487)^2)+((Graph!$E$18-$Z487)^2))+(Graph!$D$23^2),3/2))</f>
        <v>-521.55213362185816</v>
      </c>
      <c r="Q487">
        <f>Graph!$D$31*((Graph!$D$27-Y487)/POWER((((Graph!$D$27-$Y487)^2)+((Graph!$E$27-$Z487)^2))+(Graph!$D$32^2),3/2))</f>
        <v>-76.593408076448839</v>
      </c>
      <c r="R487">
        <f>Graph!$D$31*((Graph!$E$27-Z487)/POWER((((Graph!$D$27-$Y487)^2)+((Graph!$E$27-$Z487)^2))+(Graph!$D$32^2),3/2))</f>
        <v>-84.448632046215778</v>
      </c>
      <c r="S487">
        <f>Graph!$D$40*((Graph!$D$36-Y487)/POWER((((Graph!$D$36-$Y487)^2)+((Graph!$E$36-$Z487)^2))+(Graph!$D$41^2),3/2))</f>
        <v>-20.656183844644524</v>
      </c>
      <c r="T487">
        <f>Graph!$D$40*((Graph!$E$36-Z487)/POWER((((Graph!$D$36-$Y487)^2)+((Graph!$E$36-$Z487)^2))+(Graph!$D$41^2),3/2))</f>
        <v>-172.11701819484787</v>
      </c>
      <c r="U487">
        <f>O487+Q487+S487</f>
        <v>54.294832992904922</v>
      </c>
      <c r="V487">
        <f>P487+R487+T487</f>
        <v>-778.11778386292178</v>
      </c>
      <c r="W487">
        <f>W486+(U486*Graph!$D$5)</f>
        <v>-2029.1029545552406</v>
      </c>
      <c r="X487">
        <f>X486+(V486*Graph!$D$5)</f>
        <v>3692.9247139557201</v>
      </c>
      <c r="Y487">
        <f>Y486+(W486*Graph!$D$5)+(U486*Graph!$D$5^2)</f>
        <v>6507.8454078481645</v>
      </c>
      <c r="Z487">
        <f>Z486+(X486*Graph!$D$5)+(V486*Graph!$D$5^2)</f>
        <v>39226.422213136335</v>
      </c>
    </row>
    <row r="488" spans="14:26" x14ac:dyDescent="0.35">
      <c r="N488">
        <f>N487+1</f>
        <v>485</v>
      </c>
      <c r="O488">
        <f>Graph!$D$22*((Graph!$D$18-Y488)/POWER((((Graph!$D$18-$Y488)^2)+((Graph!$E$18-$Z488)^2))+(Graph!$D$23^2),(3/2)))</f>
        <v>142.29513459618576</v>
      </c>
      <c r="P488" s="84">
        <f>Graph!$D$22*((Graph!$E$18-Z488)/POWER((((Graph!$D$18-$Y488)^2)+((Graph!$E$18-$Z488)^2))+(Graph!$D$23^2),3/2))</f>
        <v>-462.84403622839653</v>
      </c>
      <c r="Q488">
        <f>Graph!$D$31*((Graph!$D$27-Y488)/POWER((((Graph!$D$27-$Y488)^2)+((Graph!$E$27-$Z488)^2))+(Graph!$D$32^2),3/2))</f>
        <v>-70.494883376271886</v>
      </c>
      <c r="R488">
        <f>Graph!$D$31*((Graph!$E$27-Z488)/POWER((((Graph!$D$27-$Y488)^2)+((Graph!$E$27-$Z488)^2))+(Graph!$D$32^2),3/2))</f>
        <v>-85.340390445087209</v>
      </c>
      <c r="S488">
        <f>Graph!$D$40*((Graph!$D$36-Y488)/POWER((((Graph!$D$36-$Y488)^2)+((Graph!$E$36-$Z488)^2))+(Graph!$D$41^2),3/2))</f>
        <v>-16.096468573542616</v>
      </c>
      <c r="T488">
        <f>Graph!$D$40*((Graph!$E$36-Z488)/POWER((((Graph!$D$36-$Y488)^2)+((Graph!$E$36-$Z488)^2))+(Graph!$D$41^2),3/2))</f>
        <v>-163.33136116379248</v>
      </c>
      <c r="U488">
        <f>O488+Q488+S488</f>
        <v>55.703782646371259</v>
      </c>
      <c r="V488">
        <f>P488+R488+T488</f>
        <v>-711.51578783727621</v>
      </c>
      <c r="W488">
        <f>W487+(U487*Graph!$D$5)</f>
        <v>-2001.9555380587881</v>
      </c>
      <c r="X488">
        <f>X487+(V487*Graph!$D$5)</f>
        <v>3303.8658220242592</v>
      </c>
      <c r="Y488">
        <f>Y487+(W487*Graph!$D$5)+(U487*Graph!$D$5^2)</f>
        <v>5506.8676388187705</v>
      </c>
      <c r="Z488">
        <f>Z487+(X487*Graph!$D$5)+(V487*Graph!$D$5^2)</f>
        <v>40878.355124148467</v>
      </c>
    </row>
    <row r="489" spans="14:26" x14ac:dyDescent="0.35">
      <c r="N489">
        <f>N488+1</f>
        <v>486</v>
      </c>
      <c r="O489">
        <f>Graph!$D$22*((Graph!$D$18-Y489)/POWER((((Graph!$D$18-$Y489)^2)+((Graph!$E$18-$Z489)^2))+(Graph!$D$23^2),(3/2)))</f>
        <v>135.11699639740542</v>
      </c>
      <c r="P489" s="84">
        <f>Graph!$D$22*((Graph!$E$18-Z489)/POWER((((Graph!$D$18-$Y489)^2)+((Graph!$E$18-$Z489)^2))+(Graph!$D$23^2),3/2))</f>
        <v>-417.10720586977754</v>
      </c>
      <c r="Q489">
        <f>Graph!$D$31*((Graph!$D$27-Y489)/POWER((((Graph!$D$27-$Y489)^2)+((Graph!$E$27-$Z489)^2))+(Graph!$D$32^2),3/2))</f>
        <v>-65.101208823294456</v>
      </c>
      <c r="R489">
        <f>Graph!$D$31*((Graph!$E$27-Z489)/POWER((((Graph!$D$27-$Y489)^2)+((Graph!$E$27-$Z489)^2))+(Graph!$D$32^2),3/2))</f>
        <v>-85.897094653559662</v>
      </c>
      <c r="S489">
        <f>Graph!$D$40*((Graph!$D$36-Y489)/POWER((((Graph!$D$36-$Y489)^2)+((Graph!$E$36-$Z489)^2))+(Graph!$D$41^2),3/2))</f>
        <v>-12.28934739361037</v>
      </c>
      <c r="T489">
        <f>Graph!$D$40*((Graph!$E$36-Z489)/POWER((((Graph!$D$36-$Y489)^2)+((Graph!$E$36-$Z489)^2))+(Graph!$D$41^2),3/2))</f>
        <v>-155.94079668820257</v>
      </c>
      <c r="U489">
        <f>O489+Q489+S489</f>
        <v>57.726440180500589</v>
      </c>
      <c r="V489">
        <f>P489+R489+T489</f>
        <v>-658.94509721153975</v>
      </c>
      <c r="W489">
        <f>W488+(U488*Graph!$D$5)</f>
        <v>-1974.1036467356025</v>
      </c>
      <c r="X489">
        <f>X488+(V488*Graph!$D$5)</f>
        <v>2948.1079281056209</v>
      </c>
      <c r="Y489">
        <f>Y488+(W488*Graph!$D$5)+(U488*Graph!$D$5^2)</f>
        <v>4519.8158154509692</v>
      </c>
      <c r="Z489">
        <f>Z488+(X488*Graph!$D$5)+(V488*Graph!$D$5^2)</f>
        <v>42352.409088201282</v>
      </c>
    </row>
    <row r="490" spans="14:26" x14ac:dyDescent="0.35">
      <c r="N490">
        <f>N489+1</f>
        <v>487</v>
      </c>
      <c r="O490">
        <f>Graph!$D$22*((Graph!$D$18-Y490)/POWER((((Graph!$D$18-$Y490)^2)+((Graph!$E$18-$Z490)^2))+(Graph!$D$23^2),(3/2)))</f>
        <v>129.53595032399238</v>
      </c>
      <c r="P490" s="84">
        <f>Graph!$D$22*((Graph!$E$18-Z490)/POWER((((Graph!$D$18-$Y490)^2)+((Graph!$E$18-$Z490)^2))+(Graph!$D$23^2),3/2))</f>
        <v>-380.72803972263711</v>
      </c>
      <c r="Q490">
        <f>Graph!$D$31*((Graph!$D$27-Y490)/POWER((((Graph!$D$27-$Y490)^2)+((Graph!$E$27-$Z490)^2))+(Graph!$D$32^2),3/2))</f>
        <v>-60.342434686069623</v>
      </c>
      <c r="R490">
        <f>Graph!$D$31*((Graph!$E$27-Z490)/POWER((((Graph!$D$27-$Y490)^2)+((Graph!$E$27-$Z490)^2))+(Graph!$D$32^2),3/2))</f>
        <v>-86.26210032991149</v>
      </c>
      <c r="S490">
        <f>Graph!$D$40*((Graph!$D$36-Y490)/POWER((((Graph!$D$36-$Y490)^2)+((Graph!$E$36-$Z490)^2))+(Graph!$D$41^2),3/2))</f>
        <v>-9.0519712456582226</v>
      </c>
      <c r="T490">
        <f>Graph!$D$40*((Graph!$E$36-Z490)/POWER((((Graph!$D$36-$Y490)^2)+((Graph!$E$36-$Z490)^2))+(Graph!$D$41^2),3/2))</f>
        <v>-149.69692218158886</v>
      </c>
      <c r="U490">
        <f>O490+Q490+S490</f>
        <v>60.141544392264535</v>
      </c>
      <c r="V490">
        <f>P490+R490+T490</f>
        <v>-616.68706223413744</v>
      </c>
      <c r="W490">
        <f>W489+(U489*Graph!$D$5)</f>
        <v>-1945.2404266453523</v>
      </c>
      <c r="X490">
        <f>X489+(V489*Graph!$D$5)</f>
        <v>2618.6353794998508</v>
      </c>
      <c r="Y490">
        <f>Y489+(W489*Graph!$D$5)+(U489*Graph!$D$5^2)</f>
        <v>3547.1956021282931</v>
      </c>
      <c r="Z490">
        <f>Z489+(X489*Graph!$D$5)+(V489*Graph!$D$5^2)</f>
        <v>43661.726777951204</v>
      </c>
    </row>
    <row r="491" spans="14:26" x14ac:dyDescent="0.35">
      <c r="N491">
        <f>N490+1</f>
        <v>488</v>
      </c>
      <c r="O491">
        <f>Graph!$D$22*((Graph!$D$18-Y491)/POWER((((Graph!$D$18-$Y491)^2)+((Graph!$E$18-$Z491)^2))+(Graph!$D$23^2),(3/2)))</f>
        <v>125.22311607047298</v>
      </c>
      <c r="P491" s="84">
        <f>Graph!$D$22*((Graph!$E$18-Z491)/POWER((((Graph!$D$18-$Y491)^2)+((Graph!$E$18-$Z491)^2))+(Graph!$D$23^2),3/2))</f>
        <v>-351.30866667539584</v>
      </c>
      <c r="Q491">
        <f>Graph!$D$31*((Graph!$D$27-Y491)/POWER((((Graph!$D$27-$Y491)^2)+((Graph!$E$27-$Z491)^2))+(Graph!$D$32^2),3/2))</f>
        <v>-56.149283141957724</v>
      </c>
      <c r="R491">
        <f>Graph!$D$31*((Graph!$E$27-Z491)/POWER((((Graph!$D$27-$Y491)^2)+((Graph!$E$27-$Z491)^2))+(Graph!$D$32^2),3/2))</f>
        <v>-86.541661250842836</v>
      </c>
      <c r="S491">
        <f>Graph!$D$40*((Graph!$D$36-Y491)/POWER((((Graph!$D$36-$Y491)^2)+((Graph!$E$36-$Z491)^2))+(Graph!$D$41^2),3/2))</f>
        <v>-6.2519405485559956</v>
      </c>
      <c r="T491">
        <f>Graph!$D$40*((Graph!$E$36-Z491)/POWER((((Graph!$D$36-$Y491)^2)+((Graph!$E$36-$Z491)^2))+(Graph!$D$41^2),3/2))</f>
        <v>-144.41225513832165</v>
      </c>
      <c r="U491">
        <f>O491+Q491+S491</f>
        <v>62.821892379959266</v>
      </c>
      <c r="V491">
        <f>P491+R491+T491</f>
        <v>-582.26258306456032</v>
      </c>
      <c r="W491">
        <f>W490+(U490*Graph!$D$5)</f>
        <v>-1915.1696544492199</v>
      </c>
      <c r="X491">
        <f>X490+(V490*Graph!$D$5)</f>
        <v>2310.2918483827821</v>
      </c>
      <c r="Y491">
        <f>Y490+(W490*Graph!$D$5)+(U490*Graph!$D$5^2)</f>
        <v>2589.6107749036833</v>
      </c>
      <c r="Z491">
        <f>Z490+(X490*Graph!$D$5)+(V490*Graph!$D$5^2)</f>
        <v>44816.872702142602</v>
      </c>
    </row>
    <row r="492" spans="14:26" x14ac:dyDescent="0.35">
      <c r="N492">
        <f>N491+1</f>
        <v>489</v>
      </c>
      <c r="O492">
        <f>Graph!$D$22*((Graph!$D$18-Y492)/POWER((((Graph!$D$18-$Y492)^2)+((Graph!$E$18-$Z492)^2))+(Graph!$D$23^2),(3/2)))</f>
        <v>121.9458569825224</v>
      </c>
      <c r="P492" s="84">
        <f>Graph!$D$22*((Graph!$E$18-Z492)/POWER((((Graph!$D$18-$Y492)^2)+((Graph!$E$18-$Z492)^2))+(Graph!$D$23^2),3/2))</f>
        <v>-327.20188973405641</v>
      </c>
      <c r="Q492">
        <f>Graph!$D$31*((Graph!$D$27-Y492)/POWER((((Graph!$D$27-$Y492)^2)+((Graph!$E$27-$Z492)^2))+(Graph!$D$32^2),3/2))</f>
        <v>-52.457336246686459</v>
      </c>
      <c r="R492">
        <f>Graph!$D$31*((Graph!$E$27-Z492)/POWER((((Graph!$D$27-$Y492)^2)+((Graph!$E$27-$Z492)^2))+(Graph!$D$32^2),3/2))</f>
        <v>-86.815576837960862</v>
      </c>
      <c r="S492">
        <f>Graph!$D$40*((Graph!$D$36-Y492)/POWER((((Graph!$D$36-$Y492)^2)+((Graph!$E$36-$Z492)^2))+(Graph!$D$41^2),3/2))</f>
        <v>-3.7909313021155899</v>
      </c>
      <c r="T492">
        <f>Graph!$D$40*((Graph!$E$36-Z492)/POWER((((Graph!$D$36-$Y492)^2)+((Graph!$E$36-$Z492)^2))+(Graph!$D$41^2),3/2))</f>
        <v>-139.94325876991036</v>
      </c>
      <c r="U492">
        <f>O492+Q492+S492</f>
        <v>65.697589433720353</v>
      </c>
      <c r="V492">
        <f>P492+R492+T492</f>
        <v>-553.96072534192763</v>
      </c>
      <c r="W492">
        <f>W491+(U491*Graph!$D$5)</f>
        <v>-1883.7587082592404</v>
      </c>
      <c r="X492">
        <f>X491+(V491*Graph!$D$5)</f>
        <v>2019.160556850502</v>
      </c>
      <c r="Y492">
        <f>Y491+(W491*Graph!$D$5)+(U491*Graph!$D$5^2)</f>
        <v>1647.7314207740633</v>
      </c>
      <c r="Z492">
        <f>Z491+(X491*Graph!$D$5)+(V491*Graph!$D$5^2)</f>
        <v>45826.452980567854</v>
      </c>
    </row>
    <row r="493" spans="14:26" x14ac:dyDescent="0.35">
      <c r="N493">
        <f>N492+1</f>
        <v>490</v>
      </c>
      <c r="O493">
        <f>Graph!$D$22*((Graph!$D$18-Y493)/POWER((((Graph!$D$18-$Y493)^2)+((Graph!$E$18-$Z493)^2))+(Graph!$D$23^2),(3/2)))</f>
        <v>119.53742788936697</v>
      </c>
      <c r="P493" s="84">
        <f>Graph!$D$22*((Graph!$E$18-Z493)/POWER((((Graph!$D$18-$Y493)^2)+((Graph!$E$18-$Z493)^2))+(Graph!$D$23^2),3/2))</f>
        <v>-307.24295076190356</v>
      </c>
      <c r="Q493">
        <f>Graph!$D$31*((Graph!$D$27-Y493)/POWER((((Graph!$D$27-$Y493)^2)+((Graph!$E$27-$Z493)^2))+(Graph!$D$32^2),3/2))</f>
        <v>-49.208855478033335</v>
      </c>
      <c r="R493">
        <f>Graph!$D$31*((Graph!$E$27-Z493)/POWER((((Graph!$D$27-$Y493)^2)+((Graph!$E$27-$Z493)^2))+(Graph!$D$32^2),3/2))</f>
        <v>-87.145063277402386</v>
      </c>
      <c r="S493">
        <f>Graph!$D$40*((Graph!$D$36-Y493)/POWER((((Graph!$D$36-$Y493)^2)+((Graph!$E$36-$Z493)^2))+(Graph!$D$41^2),3/2))</f>
        <v>-1.5942094871024408</v>
      </c>
      <c r="T493">
        <f>Graph!$D$40*((Graph!$E$36-Z493)/POWER((((Graph!$D$36-$Y493)^2)+((Graph!$E$36-$Z493)^2))+(Graph!$D$41^2),3/2))</f>
        <v>-136.17889188885718</v>
      </c>
      <c r="U493">
        <f>O493+Q493+S493</f>
        <v>68.734362924231178</v>
      </c>
      <c r="V493">
        <f>P493+R493+T493</f>
        <v>-530.56690592816312</v>
      </c>
      <c r="W493">
        <f>W492+(U492*Graph!$D$5)</f>
        <v>-1850.9099135423803</v>
      </c>
      <c r="X493">
        <f>X492+(V492*Graph!$D$5)</f>
        <v>1742.1801941795381</v>
      </c>
      <c r="Y493">
        <f>Y492+(W492*Graph!$D$5)+(U492*Graph!$D$5^2)</f>
        <v>722.27646400287313</v>
      </c>
      <c r="Z493">
        <f>Z492+(X492*Graph!$D$5)+(V492*Graph!$D$5^2)</f>
        <v>46697.543077657625</v>
      </c>
    </row>
    <row r="494" spans="14:26" x14ac:dyDescent="0.35">
      <c r="N494">
        <f>N493+1</f>
        <v>491</v>
      </c>
      <c r="O494">
        <f>Graph!$D$22*((Graph!$D$18-Y494)/POWER((((Graph!$D$18-$Y494)^2)+((Graph!$E$18-$Z494)^2))+(Graph!$D$23^2),(3/2)))</f>
        <v>117.87763573334682</v>
      </c>
      <c r="P494" s="84">
        <f>Graph!$D$22*((Graph!$E$18-Z494)/POWER((((Graph!$D$18-$Y494)^2)+((Graph!$E$18-$Z494)^2))+(Graph!$D$23^2),3/2))</f>
        <v>-290.58788651794606</v>
      </c>
      <c r="Q494">
        <f>Graph!$D$31*((Graph!$D$27-Y494)/POWER((((Graph!$D$27-$Y494)^2)+((Graph!$E$27-$Z494)^2))+(Graph!$D$32^2),3/2))</f>
        <v>-46.353317250827473</v>
      </c>
      <c r="R494">
        <f>Graph!$D$31*((Graph!$E$27-Z494)/POWER((((Graph!$D$27-$Y494)^2)+((Graph!$E$27-$Z494)^2))+(Graph!$D$32^2),3/2))</f>
        <v>-87.578577860521904</v>
      </c>
      <c r="S494">
        <f>Graph!$D$40*((Graph!$D$36-Y494)/POWER((((Graph!$D$36-$Y494)^2)+((Graph!$E$36-$Z494)^2))+(Graph!$D$41^2),3/2))</f>
        <v>0.39630033633181161</v>
      </c>
      <c r="T494">
        <f>Graph!$D$40*((Graph!$E$36-Z494)/POWER((((Graph!$D$36-$Y494)^2)+((Graph!$E$36-$Z494)^2))+(Graph!$D$41^2),3/2))</f>
        <v>-133.03270218234786</v>
      </c>
      <c r="U494">
        <f>O494+Q494+S494</f>
        <v>71.920618818851153</v>
      </c>
      <c r="V494">
        <f>P494+R494+T494</f>
        <v>-511.1991665608158</v>
      </c>
      <c r="W494">
        <f>W493+(U493*Graph!$D$5)</f>
        <v>-1816.5427320802646</v>
      </c>
      <c r="X494">
        <f>X493+(V493*Graph!$D$5)</f>
        <v>1476.8967412154566</v>
      </c>
      <c r="Y494">
        <f>Y493+(W493*Graph!$D$5)+(U493*Graph!$D$5^2)</f>
        <v>-185.99490203725924</v>
      </c>
      <c r="Z494">
        <f>Z493+(X493*Graph!$D$5)+(V493*Graph!$D$5^2)</f>
        <v>47435.991448265355</v>
      </c>
    </row>
    <row r="495" spans="14:26" x14ac:dyDescent="0.35">
      <c r="N495">
        <f>N494+1</f>
        <v>492</v>
      </c>
      <c r="O495">
        <f>Graph!$D$22*((Graph!$D$18-Y495)/POWER((((Graph!$D$18-$Y495)^2)+((Graph!$E$18-$Z495)^2))+(Graph!$D$23^2),(3/2)))</f>
        <v>116.88023696601427</v>
      </c>
      <c r="P495" s="84">
        <f>Graph!$D$22*((Graph!$E$18-Z495)/POWER((((Graph!$D$18-$Y495)^2)+((Graph!$E$18-$Z495)^2))+(Graph!$D$23^2),3/2))</f>
        <v>-276.61241351288061</v>
      </c>
      <c r="Q495">
        <f>Graph!$D$31*((Graph!$D$27-Y495)/POWER((((Graph!$D$27-$Y495)^2)+((Graph!$E$27-$Z495)^2))+(Graph!$D$32^2),3/2))</f>
        <v>-43.84729255004472</v>
      </c>
      <c r="R495">
        <f>Graph!$D$31*((Graph!$E$27-Z495)/POWER((((Graph!$D$27-$Y495)^2)+((Graph!$E$27-$Z495)^2))+(Graph!$D$32^2),3/2))</f>
        <v>-88.156170919451796</v>
      </c>
      <c r="S495">
        <f>Graph!$D$40*((Graph!$D$36-Y495)/POWER((((Graph!$D$36-$Y495)^2)+((Graph!$E$36-$Z495)^2))+(Graph!$D$41^2),3/2))</f>
        <v>2.2267295553926729</v>
      </c>
      <c r="T495">
        <f>Graph!$D$40*((Graph!$E$36-Z495)/POWER((((Graph!$D$36-$Y495)^2)+((Graph!$E$36-$Z495)^2))+(Graph!$D$41^2),3/2))</f>
        <v>-130.43726475009436</v>
      </c>
      <c r="U495">
        <f>O495+Q495+S495</f>
        <v>75.259673971362218</v>
      </c>
      <c r="V495">
        <f>P495+R495+T495</f>
        <v>-495.20584918242679</v>
      </c>
      <c r="W495">
        <f>W494+(U494*Graph!$D$5)</f>
        <v>-1780.5824226708392</v>
      </c>
      <c r="X495">
        <f>X494+(V494*Graph!$D$5)</f>
        <v>1221.2971579350487</v>
      </c>
      <c r="Y495">
        <f>Y494+(W494*Graph!$D$5)+(U494*Graph!$D$5^2)</f>
        <v>-1076.2861133726788</v>
      </c>
      <c r="Z495">
        <f>Z494+(X494*Graph!$D$5)+(V494*Graph!$D$5^2)</f>
        <v>48046.640027232883</v>
      </c>
    </row>
    <row r="496" spans="14:26" x14ac:dyDescent="0.35">
      <c r="N496">
        <f>N495+1</f>
        <v>493</v>
      </c>
      <c r="O496">
        <f>Graph!$D$22*((Graph!$D$18-Y496)/POWER((((Graph!$D$18-$Y496)^2)+((Graph!$E$18-$Z496)^2))+(Graph!$D$23^2),(3/2)))</f>
        <v>116.4845887467432</v>
      </c>
      <c r="P496" s="84">
        <f>Graph!$D$22*((Graph!$E$18-Z496)/POWER((((Graph!$D$18-$Y496)^2)+((Graph!$E$18-$Z496)^2))+(Graph!$D$23^2),3/2))</f>
        <v>-264.84660897119835</v>
      </c>
      <c r="Q496">
        <f>Graph!$D$31*((Graph!$D$27-Y496)/POWER((((Graph!$D$27-$Y496)^2)+((Graph!$E$27-$Z496)^2))+(Graph!$D$32^2),3/2))</f>
        <v>-41.654030722322744</v>
      </c>
      <c r="R496">
        <f>Graph!$D$31*((Graph!$E$27-Z496)/POWER((((Graph!$D$27-$Y496)^2)+((Graph!$E$27-$Z496)^2))+(Graph!$D$32^2),3/2))</f>
        <v>-88.91280368939168</v>
      </c>
      <c r="S496">
        <f>Graph!$D$40*((Graph!$D$36-Y496)/POWER((((Graph!$D$36-$Y496)^2)+((Graph!$E$36-$Z496)^2))+(Graph!$D$41^2),3/2))</f>
        <v>3.9345589755331414</v>
      </c>
      <c r="T496">
        <f>Graph!$D$40*((Graph!$E$36-Z496)/POWER((((Graph!$D$36-$Y496)^2)+((Graph!$E$36-$Z496)^2))+(Graph!$D$41^2),3/2))</f>
        <v>-128.34021813507778</v>
      </c>
      <c r="U496">
        <f>O496+Q496+S496</f>
        <v>78.765116999953591</v>
      </c>
      <c r="V496">
        <f>P496+R496+T496</f>
        <v>-482.09963079566785</v>
      </c>
      <c r="W496">
        <f>W495+(U495*Graph!$D$5)</f>
        <v>-1742.9525856851581</v>
      </c>
      <c r="X496">
        <f>X495+(V495*Graph!$D$5)</f>
        <v>973.69423334383532</v>
      </c>
      <c r="Y496">
        <f>Y495+(W495*Graph!$D$5)+(U495*Graph!$D$5^2)</f>
        <v>-1947.7624062152577</v>
      </c>
      <c r="Z496">
        <f>Z495+(X495*Graph!$D$5)+(V495*Graph!$D$5^2)</f>
        <v>48533.487143904807</v>
      </c>
    </row>
    <row r="497" spans="14:26" x14ac:dyDescent="0.35">
      <c r="N497">
        <f>N496+1</f>
        <v>494</v>
      </c>
      <c r="O497">
        <f>Graph!$D$22*((Graph!$D$18-Y497)/POWER((((Graph!$D$18-$Y497)^2)+((Graph!$E$18-$Z497)^2))+(Graph!$D$23^2),(3/2)))</f>
        <v>116.65007413802512</v>
      </c>
      <c r="P497" s="84">
        <f>Graph!$D$22*((Graph!$E$18-Z497)/POWER((((Graph!$D$18-$Y497)^2)+((Graph!$E$18-$Z497)^2))+(Graph!$D$23^2),3/2))</f>
        <v>-254.93151808559998</v>
      </c>
      <c r="Q497">
        <f>Graph!$D$31*((Graph!$D$27-Y497)/POWER((((Graph!$D$27-$Y497)^2)+((Graph!$E$27-$Z497)^2))+(Graph!$D$32^2),3/2))</f>
        <v>-39.742951957706161</v>
      </c>
      <c r="R497">
        <f>Graph!$D$31*((Graph!$E$27-Z497)/POWER((((Graph!$D$27-$Y497)^2)+((Graph!$E$27-$Z497)^2))+(Graph!$D$32^2),3/2))</f>
        <v>-89.880963716948926</v>
      </c>
      <c r="S497">
        <f>Graph!$D$40*((Graph!$D$36-Y497)/POWER((((Graph!$D$36-$Y497)^2)+((Graph!$E$36-$Z497)^2))+(Graph!$D$41^2),3/2))</f>
        <v>5.5509810546888705</v>
      </c>
      <c r="T497">
        <f>Graph!$D$40*((Graph!$E$36-Z497)/POWER((((Graph!$D$36-$Y497)^2)+((Graph!$E$36-$Z497)^2))+(Graph!$D$41^2),3/2))</f>
        <v>-126.70141916738861</v>
      </c>
      <c r="U497">
        <f>O497+Q497+S497</f>
        <v>82.45810323500784</v>
      </c>
      <c r="V497">
        <f>P497+R497+T497</f>
        <v>-471.51390096993754</v>
      </c>
      <c r="W497">
        <f>W496+(U496*Graph!$D$5)</f>
        <v>-1703.5700271851813</v>
      </c>
      <c r="X497">
        <f>X496+(V496*Graph!$D$5)</f>
        <v>732.64441794600134</v>
      </c>
      <c r="Y497">
        <f>Y496+(W496*Graph!$D$5)+(U496*Graph!$D$5^2)</f>
        <v>-2799.5474198078482</v>
      </c>
      <c r="Z497">
        <f>Z496+(X496*Graph!$D$5)+(V496*Graph!$D$5^2)</f>
        <v>48899.809352877804</v>
      </c>
    </row>
    <row r="498" spans="14:26" x14ac:dyDescent="0.35">
      <c r="N498">
        <f>N497+1</f>
        <v>495</v>
      </c>
      <c r="O498">
        <f>Graph!$D$22*((Graph!$D$18-Y498)/POWER((((Graph!$D$18-$Y498)^2)+((Graph!$E$18-$Z498)^2))+(Graph!$D$23^2),(3/2)))</f>
        <v>117.35239991977448</v>
      </c>
      <c r="P498" s="84">
        <f>Graph!$D$22*((Graph!$E$18-Z498)/POWER((((Graph!$D$18-$Y498)^2)+((Graph!$E$18-$Z498)^2))+(Graph!$D$23^2),3/2))</f>
        <v>-246.58960943787221</v>
      </c>
      <c r="Q498">
        <f>Graph!$D$31*((Graph!$D$27-Y498)/POWER((((Graph!$D$27-$Y498)^2)+((Graph!$E$27-$Z498)^2))+(Graph!$D$32^2),3/2))</f>
        <v>-38.089164628291954</v>
      </c>
      <c r="R498">
        <f>Graph!$D$31*((Graph!$E$27-Z498)/POWER((((Graph!$D$27-$Y498)^2)+((Graph!$E$27-$Z498)^2))+(Graph!$D$32^2),3/2))</f>
        <v>-91.092831579792445</v>
      </c>
      <c r="S498">
        <f>Graph!$D$40*((Graph!$D$36-Y498)/POWER((((Graph!$D$36-$Y498)^2)+((Graph!$E$36-$Z498)^2))+(Graph!$D$41^2),3/2))</f>
        <v>7.1026419535980398</v>
      </c>
      <c r="T498">
        <f>Graph!$D$40*((Graph!$E$36-Z498)/POWER((((Graph!$D$36-$Y498)^2)+((Graph!$E$36-$Z498)^2))+(Graph!$D$41^2),3/2))</f>
        <v>-125.49090433885858</v>
      </c>
      <c r="U498">
        <f>O498+Q498+S498</f>
        <v>86.365877245080569</v>
      </c>
      <c r="V498">
        <f>P498+R498+T498</f>
        <v>-463.17334535652321</v>
      </c>
      <c r="W498">
        <f>W497+(U497*Graph!$D$5)</f>
        <v>-1662.3409755676773</v>
      </c>
      <c r="X498">
        <f>X497+(V497*Graph!$D$5)</f>
        <v>496.88746746103254</v>
      </c>
      <c r="Y498">
        <f>Y497+(W497*Graph!$D$5)+(U497*Graph!$D$5^2)</f>
        <v>-3630.717907591687</v>
      </c>
      <c r="Z498">
        <f>Z497+(X497*Graph!$D$5)+(V497*Graph!$D$5^2)</f>
        <v>49148.253086608325</v>
      </c>
    </row>
    <row r="499" spans="14:26" x14ac:dyDescent="0.35">
      <c r="N499">
        <f>N498+1</f>
        <v>496</v>
      </c>
      <c r="O499">
        <f>Graph!$D$22*((Graph!$D$18-Y499)/POWER((((Graph!$D$18-$Y499)^2)+((Graph!$E$18-$Z499)^2))+(Graph!$D$23^2),(3/2)))</f>
        <v>118.58120989495923</v>
      </c>
      <c r="P499" s="84">
        <f>Graph!$D$22*((Graph!$E$18-Z499)/POWER((((Graph!$D$18-$Y499)^2)+((Graph!$E$18-$Z499)^2))+(Graph!$D$23^2),3/2))</f>
        <v>-239.60421379442511</v>
      </c>
      <c r="Q499">
        <f>Graph!$D$31*((Graph!$D$27-Y499)/POWER((((Graph!$D$27-$Y499)^2)+((Graph!$E$27-$Z499)^2))+(Graph!$D$32^2),3/2))</f>
        <v>-36.673075535437555</v>
      </c>
      <c r="R499">
        <f>Graph!$D$31*((Graph!$E$27-Z499)/POWER((((Graph!$D$27-$Y499)^2)+((Graph!$E$27-$Z499)^2))+(Graph!$D$32^2),3/2))</f>
        <v>-92.582199912416073</v>
      </c>
      <c r="S499">
        <f>Graph!$D$40*((Graph!$D$36-Y499)/POWER((((Graph!$D$36-$Y499)^2)+((Graph!$E$36-$Z499)^2))+(Graph!$D$41^2),3/2))</f>
        <v>8.6129671326979249</v>
      </c>
      <c r="T499">
        <f>Graph!$D$40*((Graph!$E$36-Z499)/POWER((((Graph!$D$36-$Y499)^2)+((Graph!$E$36-$Z499)^2))+(Graph!$D$41^2),3/2))</f>
        <v>-124.68745180484021</v>
      </c>
      <c r="U499">
        <f>O499+Q499+S499</f>
        <v>90.5211014922196</v>
      </c>
      <c r="V499">
        <f>P499+R499+T499</f>
        <v>-456.8738655116814</v>
      </c>
      <c r="W499">
        <f>W498+(U498*Graph!$D$5)</f>
        <v>-1619.1580369451372</v>
      </c>
      <c r="X499">
        <f>X498+(V498*Graph!$D$5)</f>
        <v>265.30079478277094</v>
      </c>
      <c r="Y499">
        <f>Y498+(W498*Graph!$D$5)+(U498*Graph!$D$5^2)</f>
        <v>-4440.2969260642558</v>
      </c>
      <c r="Z499">
        <f>Z498+(X498*Graph!$D$5)+(V498*Graph!$D$5^2)</f>
        <v>49280.903483999711</v>
      </c>
    </row>
    <row r="500" spans="14:26" x14ac:dyDescent="0.35">
      <c r="N500">
        <f>N499+1</f>
        <v>497</v>
      </c>
      <c r="O500">
        <f>Graph!$D$22*((Graph!$D$18-Y500)/POWER((((Graph!$D$18-$Y500)^2)+((Graph!$E$18-$Z500)^2))+(Graph!$D$23^2),(3/2)))</f>
        <v>120.33866863164597</v>
      </c>
      <c r="P500" s="84">
        <f>Graph!$D$22*((Graph!$E$18-Z500)/POWER((((Graph!$D$18-$Y500)^2)+((Graph!$E$18-$Z500)^2))+(Graph!$D$23^2),3/2))</f>
        <v>-233.8049272403332</v>
      </c>
      <c r="Q500">
        <f>Graph!$D$31*((Graph!$D$27-Y500)/POWER((((Graph!$D$27-$Y500)^2)+((Graph!$E$27-$Z500)^2))+(Graph!$D$32^2),3/2))</f>
        <v>-35.480137690200131</v>
      </c>
      <c r="R500">
        <f>Graph!$D$31*((Graph!$E$27-Z500)/POWER((((Graph!$D$27-$Y500)^2)+((Graph!$E$27-$Z500)^2))+(Graph!$D$32^2),3/2))</f>
        <v>-94.386314185670003</v>
      </c>
      <c r="S500">
        <f>Graph!$D$40*((Graph!$D$36-Y500)/POWER((((Graph!$D$36-$Y500)^2)+((Graph!$E$36-$Z500)^2))+(Graph!$D$41^2),3/2))</f>
        <v>10.103208487055651</v>
      </c>
      <c r="T500">
        <f>Graph!$D$40*((Graph!$E$36-Z500)/POWER((((Graph!$D$36-$Y500)^2)+((Graph!$E$36-$Z500)^2))+(Graph!$D$41^2),3/2))</f>
        <v>-124.2776085901706</v>
      </c>
      <c r="U500">
        <f>O500+Q500+S500</f>
        <v>94.961739428501502</v>
      </c>
      <c r="V500">
        <f>P500+R500+T500</f>
        <v>-452.4688500161738</v>
      </c>
      <c r="W500">
        <f>W499+(U499*Graph!$D$5)</f>
        <v>-1573.8974861990273</v>
      </c>
      <c r="X500">
        <f>X499+(V499*Graph!$D$5)</f>
        <v>36.863862026930235</v>
      </c>
      <c r="Y500">
        <f>Y499+(W499*Graph!$D$5)+(U499*Graph!$D$5^2)</f>
        <v>-5227.245669163769</v>
      </c>
      <c r="Z500">
        <f>Z499+(X499*Graph!$D$5)+(V499*Graph!$D$5^2)</f>
        <v>49299.335415013178</v>
      </c>
    </row>
    <row r="501" spans="14:26" x14ac:dyDescent="0.35">
      <c r="N501">
        <f>N500+1</f>
        <v>498</v>
      </c>
      <c r="O501">
        <f>Graph!$D$22*((Graph!$D$18-Y501)/POWER((((Graph!$D$18-$Y501)^2)+((Graph!$E$18-$Z501)^2))+(Graph!$D$23^2),(3/2)))</f>
        <v>122.63880671042706</v>
      </c>
      <c r="P501" s="84">
        <f>Graph!$D$22*((Graph!$E$18-Z501)/POWER((((Graph!$D$18-$Y501)^2)+((Graph!$E$18-$Z501)^2))+(Graph!$D$23^2),3/2))</f>
        <v>-229.05705207949651</v>
      </c>
      <c r="Q501">
        <f>Graph!$D$31*((Graph!$D$27-Y501)/POWER((((Graph!$D$27-$Y501)^2)+((Graph!$E$27-$Z501)^2))+(Graph!$D$32^2),3/2))</f>
        <v>-34.500772928627939</v>
      </c>
      <c r="R501">
        <f>Graph!$D$31*((Graph!$E$27-Z501)/POWER((((Graph!$D$27-$Y501)^2)+((Graph!$E$27-$Z501)^2))+(Graph!$D$32^2),3/2))</f>
        <v>-96.547791757247552</v>
      </c>
      <c r="S501">
        <f>Graph!$D$40*((Graph!$D$36-Y501)/POWER((((Graph!$D$36-$Y501)^2)+((Graph!$E$36-$Z501)^2))+(Graph!$D$41^2),3/2))</f>
        <v>11.593310368433139</v>
      </c>
      <c r="T501">
        <f>Graph!$D$40*((Graph!$E$36-Z501)/POWER((((Graph!$D$36-$Y501)^2)+((Graph!$E$36-$Z501)^2))+(Graph!$D$41^2),3/2))</f>
        <v>-124.25509634194499</v>
      </c>
      <c r="U501">
        <f>O501+Q501+S501</f>
        <v>99.73134415023226</v>
      </c>
      <c r="V501">
        <f>P501+R501+T501</f>
        <v>-449.85994017868904</v>
      </c>
      <c r="W501">
        <f>W500+(U500*Graph!$D$5)</f>
        <v>-1526.4166164847766</v>
      </c>
      <c r="X501">
        <f>X500+(V500*Graph!$D$5)</f>
        <v>-189.37056298115667</v>
      </c>
      <c r="Y501">
        <f>Y500+(W500*Graph!$D$5)+(U500*Graph!$D$5^2)</f>
        <v>-5990.4539774061577</v>
      </c>
      <c r="Z501">
        <f>Z500+(X500*Graph!$D$5)+(V500*Graph!$D$5^2)</f>
        <v>49204.650133522598</v>
      </c>
    </row>
    <row r="502" spans="14:26" x14ac:dyDescent="0.35">
      <c r="N502">
        <f>N501+1</f>
        <v>499</v>
      </c>
      <c r="O502">
        <f>Graph!$D$22*((Graph!$D$18-Y502)/POWER((((Graph!$D$18-$Y502)^2)+((Graph!$E$18-$Z502)^2))+(Graph!$D$23^2),(3/2)))</f>
        <v>125.50751076491083</v>
      </c>
      <c r="P502" s="84">
        <f>Graph!$D$22*((Graph!$E$18-Z502)/POWER((((Graph!$D$18-$Y502)^2)+((Graph!$E$18-$Z502)^2))+(Graph!$D$23^2),3/2))</f>
        <v>-225.2538118121835</v>
      </c>
      <c r="Q502">
        <f>Graph!$D$31*((Graph!$D$27-Y502)/POWER((((Graph!$D$27-$Y502)^2)+((Graph!$E$27-$Z502)^2))+(Graph!$D$32^2),3/2))</f>
        <v>-33.730511356083099</v>
      </c>
      <c r="R502">
        <f>Graph!$D$31*((Graph!$E$27-Z502)/POWER((((Graph!$D$27-$Y502)^2)+((Graph!$E$27-$Z502)^2))+(Graph!$D$32^2),3/2))</f>
        <v>-99.116780652452903</v>
      </c>
      <c r="S502">
        <f>Graph!$D$40*((Graph!$D$36-Y502)/POWER((((Graph!$D$36-$Y502)^2)+((Graph!$E$36-$Z502)^2))+(Graph!$D$41^2),3/2))</f>
        <v>13.10266699818858</v>
      </c>
      <c r="T502">
        <f>Graph!$D$40*((Graph!$E$36-Z502)/POWER((((Graph!$D$36-$Y502)^2)+((Graph!$E$36-$Z502)^2))+(Graph!$D$41^2),3/2))</f>
        <v>-124.62054474819639</v>
      </c>
      <c r="U502">
        <f>O502+Q502+S502</f>
        <v>104.87966640701632</v>
      </c>
      <c r="V502">
        <f>P502+R502+T502</f>
        <v>-448.99113721283277</v>
      </c>
      <c r="W502">
        <f>W501+(U501*Graph!$D$5)</f>
        <v>-1476.5509444096604</v>
      </c>
      <c r="X502">
        <f>X501+(V501*Graph!$D$5)</f>
        <v>-414.30053307050116</v>
      </c>
      <c r="Y502">
        <f>Y501+(W501*Graph!$D$5)+(U501*Graph!$D$5^2)</f>
        <v>-6728.729449610988</v>
      </c>
      <c r="Z502">
        <f>Z501+(X501*Graph!$D$5)+(V501*Graph!$D$5^2)</f>
        <v>48997.499866987346</v>
      </c>
    </row>
    <row r="503" spans="14:26" x14ac:dyDescent="0.35">
      <c r="N503">
        <f>N502+1</f>
        <v>500</v>
      </c>
      <c r="O503">
        <f>Graph!$D$22*((Graph!$D$18-Y503)/POWER((((Graph!$D$18-$Y503)^2)+((Graph!$E$18-$Z503)^2))+(Graph!$D$23^2),(3/2)))</f>
        <v>128.98310893283622</v>
      </c>
      <c r="P503" s="84">
        <f>Graph!$D$22*((Graph!$E$18-Z503)/POWER((((Graph!$D$18-$Y503)^2)+((Graph!$E$18-$Z503)^2))+(Graph!$D$23^2),3/2))</f>
        <v>-222.31048596154372</v>
      </c>
      <c r="Q503">
        <f>Graph!$D$31*((Graph!$D$27-Y503)/POWER((((Graph!$D$27-$Y503)^2)+((Graph!$E$27-$Z503)^2))+(Graph!$D$32^2),3/2))</f>
        <v>-33.170405494555844</v>
      </c>
      <c r="R503">
        <f>Graph!$D$31*((Graph!$E$27-Z503)/POWER((((Graph!$D$27-$Y503)^2)+((Graph!$E$27-$Z503)^2))+(Graph!$D$32^2),3/2))</f>
        <v>-102.15354395430052</v>
      </c>
      <c r="S503">
        <f>Graph!$D$40*((Graph!$D$36-Y503)/POWER((((Graph!$D$36-$Y503)^2)+((Graph!$E$36-$Z503)^2))+(Graph!$D$41^2),3/2))</f>
        <v>14.650829461690824</v>
      </c>
      <c r="T503">
        <f>Graph!$D$40*((Graph!$E$36-Z503)/POWER((((Graph!$D$36-$Y503)^2)+((Graph!$E$36-$Z503)^2))+(Graph!$D$41^2),3/2))</f>
        <v>-125.38153024161223</v>
      </c>
      <c r="U503">
        <f>O503+Q503+S503</f>
        <v>110.4635328999712</v>
      </c>
      <c r="V503">
        <f>P503+R503+T503</f>
        <v>-449.84556015745642</v>
      </c>
      <c r="W503">
        <f>W502+(U502*Graph!$D$5)</f>
        <v>-1424.1111112061521</v>
      </c>
      <c r="X503">
        <f>X502+(V502*Graph!$D$5)</f>
        <v>-638.79610167691749</v>
      </c>
      <c r="Y503">
        <f>Y502+(W502*Graph!$D$5)+(U502*Graph!$D$5^2)</f>
        <v>-7440.7850052140639</v>
      </c>
      <c r="Z503">
        <f>Z502+(X502*Graph!$D$5)+(V502*Graph!$D$5^2)</f>
        <v>48678.101816148883</v>
      </c>
    </row>
    <row r="504" spans="14:26" x14ac:dyDescent="0.35">
      <c r="N504">
        <f>N503+1</f>
        <v>501</v>
      </c>
      <c r="O504">
        <f>Graph!$D$22*((Graph!$D$18-Y504)/POWER((((Graph!$D$18-$Y504)^2)+((Graph!$E$18-$Z504)^2))+(Graph!$D$23^2),(3/2)))</f>
        <v>133.11755669749053</v>
      </c>
      <c r="P504" s="84">
        <f>Graph!$D$22*((Graph!$E$18-Z504)/POWER((((Graph!$D$18-$Y504)^2)+((Graph!$E$18-$Z504)^2))+(Graph!$D$23^2),3/2))</f>
        <v>-220.1598647726619</v>
      </c>
      <c r="Q504">
        <f>Graph!$D$31*((Graph!$D$27-Y504)/POWER((((Graph!$D$27-$Y504)^2)+((Graph!$E$27-$Z504)^2))+(Graph!$D$32^2),3/2))</f>
        <v>-32.827806203844005</v>
      </c>
      <c r="R504">
        <f>Graph!$D$31*((Graph!$E$27-Z504)/POWER((((Graph!$D$27-$Y504)^2)+((Graph!$E$27-$Z504)^2))+(Graph!$D$32^2),3/2))</f>
        <v>-105.73170427497894</v>
      </c>
      <c r="S504">
        <f>Graph!$D$40*((Graph!$D$36-Y504)/POWER((((Graph!$D$36-$Y504)^2)+((Graph!$E$36-$Z504)^2))+(Graph!$D$41^2),3/2))</f>
        <v>16.258213831441619</v>
      </c>
      <c r="T504">
        <f>Graph!$D$40*((Graph!$E$36-Z504)/POWER((((Graph!$D$36-$Y504)^2)+((Graph!$E$36-$Z504)^2))+(Graph!$D$41^2),3/2))</f>
        <v>-126.55292294970256</v>
      </c>
      <c r="U504">
        <f>O504+Q504+S504</f>
        <v>116.54796432508815</v>
      </c>
      <c r="V504">
        <f>P504+R504+T504</f>
        <v>-452.44449199734339</v>
      </c>
      <c r="W504">
        <f>W503+(U503*Graph!$D$5)</f>
        <v>-1368.8793447561666</v>
      </c>
      <c r="X504">
        <f>X503+(V503*Graph!$D$5)</f>
        <v>-863.71888175564573</v>
      </c>
      <c r="Y504">
        <f>Y503+(W503*Graph!$D$5)+(U503*Graph!$D$5^2)</f>
        <v>-8125.2246775921467</v>
      </c>
      <c r="Z504">
        <f>Z503+(X503*Graph!$D$5)+(V503*Graph!$D$5^2)</f>
        <v>48246.24237527106</v>
      </c>
    </row>
    <row r="505" spans="14:26" x14ac:dyDescent="0.35">
      <c r="N505">
        <f>N504+1</f>
        <v>502</v>
      </c>
      <c r="O505">
        <f>Graph!$D$22*((Graph!$D$18-Y505)/POWER((((Graph!$D$18-$Y505)^2)+((Graph!$E$18-$Z505)^2))+(Graph!$D$23^2),(3/2)))</f>
        <v>137.97827757268959</v>
      </c>
      <c r="P505" s="84">
        <f>Graph!$D$22*((Graph!$E$18-Z505)/POWER((((Graph!$D$18-$Y505)^2)+((Graph!$E$18-$Z505)^2))+(Graph!$D$23^2),3/2))</f>
        <v>-218.74857812568567</v>
      </c>
      <c r="Q505">
        <f>Graph!$D$31*((Graph!$D$27-Y505)/POWER((((Graph!$D$27-$Y505)^2)+((Graph!$E$27-$Z505)^2))+(Graph!$D$32^2),3/2))</f>
        <v>-32.717635648662991</v>
      </c>
      <c r="R505">
        <f>Graph!$D$31*((Graph!$E$27-Z505)/POWER((((Graph!$D$27-$Y505)^2)+((Graph!$E$27-$Z505)^2))+(Graph!$D$32^2),3/2))</f>
        <v>-109.94246468381633</v>
      </c>
      <c r="S505">
        <f>Graph!$D$40*((Graph!$D$36-Y505)/POWER((((Graph!$D$36-$Y505)^2)+((Graph!$E$36-$Z505)^2))+(Graph!$D$41^2),3/2))</f>
        <v>17.94686170303688</v>
      </c>
      <c r="T505">
        <f>Graph!$D$40*((Graph!$E$36-Z505)/POWER((((Graph!$D$36-$Y505)^2)+((Graph!$E$36-$Z505)^2))+(Graph!$D$41^2),3/2))</f>
        <v>-128.15757047490138</v>
      </c>
      <c r="U505">
        <f>O505+Q505+S505</f>
        <v>123.20750362706349</v>
      </c>
      <c r="V505">
        <f>P505+R505+T505</f>
        <v>-456.84861328440337</v>
      </c>
      <c r="W505">
        <f>W504+(U504*Graph!$D$5)</f>
        <v>-1310.6053625936224</v>
      </c>
      <c r="X505">
        <f>X504+(V504*Graph!$D$5)</f>
        <v>-1089.9411277543174</v>
      </c>
      <c r="Y505">
        <f>Y504+(W504*Graph!$D$5)+(U504*Graph!$D$5^2)</f>
        <v>-8780.5273588889577</v>
      </c>
      <c r="Z505">
        <f>Z504+(X504*Graph!$D$5)+(V504*Graph!$D$5^2)</f>
        <v>47701.271811393904</v>
      </c>
    </row>
    <row r="506" spans="14:26" x14ac:dyDescent="0.35">
      <c r="N506">
        <f>N505+1</f>
        <v>503</v>
      </c>
      <c r="O506">
        <f>Graph!$D$22*((Graph!$D$18-Y506)/POWER((((Graph!$D$18-$Y506)^2)+((Graph!$E$18-$Z506)^2))+(Graph!$D$23^2),(3/2)))</f>
        <v>143.65076373863445</v>
      </c>
      <c r="P506" s="84">
        <f>Graph!$D$22*((Graph!$E$18-Z506)/POWER((((Graph!$D$18-$Y506)^2)+((Graph!$E$18-$Z506)^2))+(Graph!$D$23^2),3/2))</f>
        <v>-218.03393763929913</v>
      </c>
      <c r="Q506">
        <f>Graph!$D$31*((Graph!$D$27-Y506)/POWER((((Graph!$D$27-$Y506)^2)+((Graph!$E$27-$Z506)^2))+(Graph!$D$32^2),3/2))</f>
        <v>-32.864370823466736</v>
      </c>
      <c r="R506">
        <f>Graph!$D$31*((Graph!$E$27-Z506)/POWER((((Graph!$D$27-$Y506)^2)+((Graph!$E$27-$Z506)^2))+(Graph!$D$32^2),3/2))</f>
        <v>-114.90025371876753</v>
      </c>
      <c r="S506">
        <f>Graph!$D$40*((Graph!$D$36-Y506)/POWER((((Graph!$D$36-$Y506)^2)+((Graph!$E$36-$Z506)^2))+(Graph!$D$41^2),3/2))</f>
        <v>19.741310473805065</v>
      </c>
      <c r="T506">
        <f>Graph!$D$40*((Graph!$E$36-Z506)/POWER((((Graph!$D$36-$Y506)^2)+((Graph!$E$36-$Z506)^2))+(Graph!$D$41^2),3/2))</f>
        <v>-130.22737644782856</v>
      </c>
      <c r="U506">
        <f>O506+Q506+S506</f>
        <v>130.52770338897278</v>
      </c>
      <c r="V506">
        <f>P506+R506+T506</f>
        <v>-463.16156780589517</v>
      </c>
      <c r="W506">
        <f>W505+(U505*Graph!$D$5)</f>
        <v>-1249.0016107800907</v>
      </c>
      <c r="X506">
        <f>X505+(V505*Graph!$D$5)</f>
        <v>-1318.365434396519</v>
      </c>
      <c r="Y506">
        <f>Y505+(W505*Graph!$D$5)+(U505*Graph!$D$5^2)</f>
        <v>-9405.0281642790032</v>
      </c>
      <c r="Z506">
        <f>Z505+(X505*Graph!$D$5)+(V505*Graph!$D$5^2)</f>
        <v>47042.089094195646</v>
      </c>
    </row>
    <row r="507" spans="14:26" x14ac:dyDescent="0.35">
      <c r="N507">
        <f>N506+1</f>
        <v>504</v>
      </c>
      <c r="O507">
        <f>Graph!$D$22*((Graph!$D$18-Y507)/POWER((((Graph!$D$18-$Y507)^2)+((Graph!$E$18-$Z507)^2))+(Graph!$D$23^2),(3/2)))</f>
        <v>150.2420986385865</v>
      </c>
      <c r="P507" s="84">
        <f>Graph!$D$22*((Graph!$E$18-Z507)/POWER((((Graph!$D$18-$Y507)^2)+((Graph!$E$18-$Z507)^2))+(Graph!$D$23^2),3/2))</f>
        <v>-217.98096010116797</v>
      </c>
      <c r="Q507">
        <f>Graph!$D$31*((Graph!$D$27-Y507)/POWER((((Graph!$D$27-$Y507)^2)+((Graph!$E$27-$Z507)^2))+(Graph!$D$32^2),3/2))</f>
        <v>-33.305079586660241</v>
      </c>
      <c r="R507">
        <f>Graph!$D$31*((Graph!$E$27-Z507)/POWER((((Graph!$D$27-$Y507)^2)+((Graph!$E$27-$Z507)^2))+(Graph!$D$32^2),3/2))</f>
        <v>-120.75045009054639</v>
      </c>
      <c r="S507">
        <f>Graph!$D$40*((Graph!$D$36-Y507)/POWER((((Graph!$D$36-$Y507)^2)+((Graph!$E$36-$Z507)^2))+(Graph!$D$41^2),3/2))</f>
        <v>21.669644174355206</v>
      </c>
      <c r="T507">
        <f>Graph!$D$40*((Graph!$E$36-Z507)/POWER((((Graph!$D$36-$Y507)^2)+((Graph!$E$36-$Z507)^2))+(Graph!$D$41^2),3/2))</f>
        <v>-132.80486906738619</v>
      </c>
      <c r="U507">
        <f>O507+Q507+S507</f>
        <v>138.60666322628146</v>
      </c>
      <c r="V507">
        <f>P507+R507+T507</f>
        <v>-471.53627925910052</v>
      </c>
      <c r="W507">
        <f>W506+(U506*Graph!$D$5)</f>
        <v>-1183.7377590856042</v>
      </c>
      <c r="X507">
        <f>X506+(V506*Graph!$D$5)</f>
        <v>-1549.9462182994666</v>
      </c>
      <c r="Y507">
        <f>Y506+(W506*Graph!$D$5)+(U506*Graph!$D$5^2)</f>
        <v>-9996.8970438218057</v>
      </c>
      <c r="Z507">
        <f>Z506+(X506*Graph!$D$5)+(V506*Graph!$D$5^2)</f>
        <v>46267.115985045915</v>
      </c>
    </row>
    <row r="508" spans="14:26" x14ac:dyDescent="0.35">
      <c r="N508">
        <f>N507+1</f>
        <v>505</v>
      </c>
      <c r="O508">
        <f>Graph!$D$22*((Graph!$D$18-Y508)/POWER((((Graph!$D$18-$Y508)^2)+((Graph!$E$18-$Z508)^2))+(Graph!$D$23^2),(3/2)))</f>
        <v>157.88563116257311</v>
      </c>
      <c r="P508" s="84">
        <f>Graph!$D$22*((Graph!$E$18-Z508)/POWER((((Graph!$D$18-$Y508)^2)+((Graph!$E$18-$Z508)^2))+(Graph!$D$23^2),3/2))</f>
        <v>-218.55921603130869</v>
      </c>
      <c r="Q508">
        <f>Graph!$D$31*((Graph!$D$27-Y508)/POWER((((Graph!$D$27-$Y508)^2)+((Graph!$E$27-$Z508)^2))+(Graph!$D$32^2),3/2))</f>
        <v>-34.094066630782244</v>
      </c>
      <c r="R508">
        <f>Graph!$D$31*((Graph!$E$27-Z508)/POWER((((Graph!$D$27-$Y508)^2)+((Graph!$E$27-$Z508)^2))+(Graph!$D$32^2),3/2))</f>
        <v>-127.68017416620634</v>
      </c>
      <c r="S508">
        <f>Graph!$D$40*((Graph!$D$36-Y508)/POWER((((Graph!$D$36-$Y508)^2)+((Graph!$E$36-$Z508)^2))+(Graph!$D$41^2),3/2))</f>
        <v>23.764819211217496</v>
      </c>
      <c r="T508">
        <f>Graph!$D$40*((Graph!$E$36-Z508)/POWER((((Graph!$D$36-$Y508)^2)+((Graph!$E$36-$Z508)^2))+(Graph!$D$41^2),3/2))</f>
        <v>-135.9454057937927</v>
      </c>
      <c r="U508">
        <f>O508+Q508+S508</f>
        <v>147.55638374300835</v>
      </c>
      <c r="V508">
        <f>P508+R508+T508</f>
        <v>-482.18479599130774</v>
      </c>
      <c r="W508">
        <f>W507+(U507*Graph!$D$5)</f>
        <v>-1114.4344274724635</v>
      </c>
      <c r="X508">
        <f>X507+(V507*Graph!$D$5)</f>
        <v>-1785.7143579290168</v>
      </c>
      <c r="Y508">
        <f>Y507+(W507*Graph!$D$5)+(U507*Graph!$D$5^2)</f>
        <v>-10554.114257558038</v>
      </c>
      <c r="Z508">
        <f>Z507+(X507*Graph!$D$5)+(V507*Graph!$D$5^2)</f>
        <v>45374.258806081409</v>
      </c>
    </row>
    <row r="509" spans="14:26" x14ac:dyDescent="0.35">
      <c r="N509">
        <f>N508+1</f>
        <v>506</v>
      </c>
      <c r="O509">
        <f>Graph!$D$22*((Graph!$D$18-Y509)/POWER((((Graph!$D$18-$Y509)^2)+((Graph!$E$18-$Z509)^2))+(Graph!$D$23^2),(3/2)))</f>
        <v>166.74711288759158</v>
      </c>
      <c r="P509" s="84">
        <f>Graph!$D$22*((Graph!$E$18-Z509)/POWER((((Graph!$D$18-$Y509)^2)+((Graph!$E$18-$Z509)^2))+(Graph!$D$23^2),3/2))</f>
        <v>-219.73905928670911</v>
      </c>
      <c r="Q509">
        <f>Graph!$D$31*((Graph!$D$27-Y509)/POWER((((Graph!$D$27-$Y509)^2)+((Graph!$E$27-$Z509)^2))+(Graph!$D$32^2),3/2))</f>
        <v>-35.310057982450097</v>
      </c>
      <c r="R509">
        <f>Graph!$D$31*((Graph!$E$27-Z509)/POWER((((Graph!$D$27-$Y509)^2)+((Graph!$E$27-$Z509)^2))+(Graph!$D$32^2),3/2))</f>
        <v>-135.93366919102763</v>
      </c>
      <c r="S509">
        <f>Graph!$D$40*((Graph!$D$36-Y509)/POWER((((Graph!$D$36-$Y509)^2)+((Graph!$E$36-$Z509)^2))+(Graph!$D$41^2),3/2))</f>
        <v>26.066397891465442</v>
      </c>
      <c r="T509">
        <f>Graph!$D$40*((Graph!$E$36-Z509)/POWER((((Graph!$D$36-$Y509)^2)+((Graph!$E$36-$Z509)^2))+(Graph!$D$41^2),3/2))</f>
        <v>-139.72023369863044</v>
      </c>
      <c r="U509">
        <f>O509+Q509+S509</f>
        <v>157.50345279660692</v>
      </c>
      <c r="V509">
        <f>P509+R509+T509</f>
        <v>-495.39296217636718</v>
      </c>
      <c r="W509">
        <f>W508+(U508*Graph!$D$5)</f>
        <v>-1040.6562356009595</v>
      </c>
      <c r="X509">
        <f>X508+(V508*Graph!$D$5)</f>
        <v>-2026.8067559246706</v>
      </c>
      <c r="Y509">
        <f>Y508+(W508*Graph!$D$5)+(U508*Graph!$D$5^2)</f>
        <v>-11074.442375358518</v>
      </c>
      <c r="Z509">
        <f>Z508+(X508*Graph!$D$5)+(V508*Graph!$D$5^2)</f>
        <v>44360.855428119074</v>
      </c>
    </row>
    <row r="510" spans="14:26" x14ac:dyDescent="0.35">
      <c r="N510">
        <f>N509+1</f>
        <v>507</v>
      </c>
      <c r="O510">
        <f>Graph!$D$22*((Graph!$D$18-Y510)/POWER((((Graph!$D$18-$Y510)^2)+((Graph!$E$18-$Z510)^2))+(Graph!$D$23^2),(3/2)))</f>
        <v>177.03270674276263</v>
      </c>
      <c r="P510" s="84">
        <f>Graph!$D$22*((Graph!$E$18-Z510)/POWER((((Graph!$D$18-$Y510)^2)+((Graph!$E$18-$Z510)^2))+(Graph!$D$23^2),3/2))</f>
        <v>-221.48661664132013</v>
      </c>
      <c r="Q510">
        <f>Graph!$D$31*((Graph!$D$27-Y510)/POWER((((Graph!$D$27-$Y510)^2)+((Graph!$E$27-$Z510)^2))+(Graph!$D$32^2),3/2))</f>
        <v>-37.067511169223515</v>
      </c>
      <c r="R510">
        <f>Graph!$D$31*((Graph!$E$27-Z510)/POWER((((Graph!$D$27-$Y510)^2)+((Graph!$E$27-$Z510)^2))+(Graph!$D$32^2),3/2))</f>
        <v>-145.83467803763315</v>
      </c>
      <c r="S510">
        <f>Graph!$D$40*((Graph!$D$36-Y510)/POWER((((Graph!$D$36-$Y510)^2)+((Graph!$E$36-$Z510)^2))+(Graph!$D$41^2),3/2))</f>
        <v>28.622884749487095</v>
      </c>
      <c r="T510">
        <f>Graph!$D$40*((Graph!$E$36-Z510)/POWER((((Graph!$D$36-$Y510)^2)+((Graph!$E$36-$Z510)^2))+(Graph!$D$41^2),3/2))</f>
        <v>-144.22073454951592</v>
      </c>
      <c r="U510">
        <f>O510+Q510+S510</f>
        <v>168.58808032302622</v>
      </c>
      <c r="V510">
        <f>P510+R510+T510</f>
        <v>-511.54202922846923</v>
      </c>
      <c r="W510">
        <f>W509+(U509*Graph!$D$5)</f>
        <v>-961.90450920265596</v>
      </c>
      <c r="X510">
        <f>X509+(V509*Graph!$D$5)</f>
        <v>-2274.5032370128542</v>
      </c>
      <c r="Y510">
        <f>Y509+(W509*Graph!$D$5)+(U509*Graph!$D$5^2)</f>
        <v>-11555.394629959846</v>
      </c>
      <c r="Z510">
        <f>Z509+(X509*Graph!$D$5)+(V509*Graph!$D$5^2)</f>
        <v>43223.60380961265</v>
      </c>
    </row>
    <row r="511" spans="14:26" x14ac:dyDescent="0.35">
      <c r="N511">
        <f>N510+1</f>
        <v>508</v>
      </c>
      <c r="O511">
        <f>Graph!$D$22*((Graph!$D$18-Y511)/POWER((((Graph!$D$18-$Y511)^2)+((Graph!$E$18-$Z511)^2))+(Graph!$D$23^2),(3/2)))</f>
        <v>188.99938077859812</v>
      </c>
      <c r="P511" s="84">
        <f>Graph!$D$22*((Graph!$E$18-Z511)/POWER((((Graph!$D$18-$Y511)^2)+((Graph!$E$18-$Z511)^2))+(Graph!$D$23^2),3/2))</f>
        <v>-223.75660120303212</v>
      </c>
      <c r="Q511">
        <f>Graph!$D$31*((Graph!$D$27-Y511)/POWER((((Graph!$D$27-$Y511)^2)+((Graph!$E$27-$Z511)^2))+(Graph!$D$32^2),3/2))</f>
        <v>-39.53484531916768</v>
      </c>
      <c r="R511">
        <f>Graph!$D$31*((Graph!$E$27-Z511)/POWER((((Graph!$D$27-$Y511)^2)+((Graph!$E$27-$Z511)^2))+(Graph!$D$32^2),3/2))</f>
        <v>-157.81970766120943</v>
      </c>
      <c r="S511">
        <f>Graph!$D$40*((Graph!$D$36-Y511)/POWER((((Graph!$D$36-$Y511)^2)+((Graph!$E$36-$Z511)^2))+(Graph!$D$41^2),3/2))</f>
        <v>31.494961848916958</v>
      </c>
      <c r="T511">
        <f>Graph!$D$40*((Graph!$E$36-Z511)/POWER((((Graph!$D$36-$Y511)^2)+((Graph!$E$36-$Z511)^2))+(Graph!$D$41^2),3/2))</f>
        <v>-149.56435239098553</v>
      </c>
      <c r="U511">
        <f>O511+Q511+S511</f>
        <v>180.95949730834741</v>
      </c>
      <c r="V511">
        <f>P511+R511+T511</f>
        <v>-531.14066125522709</v>
      </c>
      <c r="W511">
        <f>W510+(U510*Graph!$D$5)</f>
        <v>-877.61046904114289</v>
      </c>
      <c r="X511">
        <f>X510+(V510*Graph!$D$5)</f>
        <v>-2530.2742516270887</v>
      </c>
      <c r="Y511">
        <f>Y510+(W510*Graph!$D$5)+(U510*Graph!$D$5^2)</f>
        <v>-11994.199864480419</v>
      </c>
      <c r="Z511">
        <f>Z510+(X510*Graph!$D$5)+(V510*Graph!$D$5^2)</f>
        <v>41958.466683799103</v>
      </c>
    </row>
    <row r="512" spans="14:26" x14ac:dyDescent="0.35">
      <c r="N512">
        <f>N511+1</f>
        <v>509</v>
      </c>
      <c r="O512">
        <f>Graph!$D$22*((Graph!$D$18-Y512)/POWER((((Graph!$D$18-$Y512)^2)+((Graph!$E$18-$Z512)^2))+(Graph!$D$23^2),(3/2)))</f>
        <v>202.96828848213025</v>
      </c>
      <c r="P512" s="84">
        <f>Graph!$D$22*((Graph!$E$18-Z512)/POWER((((Graph!$D$18-$Y512)^2)+((Graph!$E$18-$Z512)^2))+(Graph!$D$23^2),3/2))</f>
        <v>-226.481472277065</v>
      </c>
      <c r="Q512">
        <f>Graph!$D$31*((Graph!$D$27-Y512)/POWER((((Graph!$D$27-$Y512)^2)+((Graph!$E$27-$Z512)^2))+(Graph!$D$32^2),3/2))</f>
        <v>-42.96467928225173</v>
      </c>
      <c r="R512">
        <f>Graph!$D$31*((Graph!$E$27-Z512)/POWER((((Graph!$D$27-$Y512)^2)+((Graph!$E$27-$Z512)^2))+(Graph!$D$32^2),3/2))</f>
        <v>-172.48863537132698</v>
      </c>
      <c r="S512">
        <f>Graph!$D$40*((Graph!$D$36-Y512)/POWER((((Graph!$D$36-$Y512)^2)+((Graph!$E$36-$Z512)^2))+(Graph!$D$41^2),3/2))</f>
        <v>34.760087180512784</v>
      </c>
      <c r="T512">
        <f>Graph!$D$40*((Graph!$E$36-Z512)/POWER((((Graph!$D$36-$Y512)^2)+((Graph!$E$36-$Z512)^2))+(Graph!$D$41^2),3/2))</f>
        <v>-155.90296811884085</v>
      </c>
      <c r="U512">
        <f>O512+Q512+S512</f>
        <v>194.76369638039131</v>
      </c>
      <c r="V512">
        <f>P512+R512+T512</f>
        <v>-554.87307576723276</v>
      </c>
      <c r="W512">
        <f>W511+(U511*Graph!$D$5)</f>
        <v>-787.13072038696919</v>
      </c>
      <c r="X512">
        <f>X511+(V511*Graph!$D$5)</f>
        <v>-2795.8445822547023</v>
      </c>
      <c r="Y512">
        <f>Y511+(W511*Graph!$D$5)+(U511*Graph!$D$5^2)</f>
        <v>-12387.765224673904</v>
      </c>
      <c r="Z512">
        <f>Z511+(X511*Graph!$D$5)+(V511*Graph!$D$5^2)</f>
        <v>40560.544392671749</v>
      </c>
    </row>
    <row r="513" spans="14:26" x14ac:dyDescent="0.35">
      <c r="N513">
        <f>N512+1</f>
        <v>510</v>
      </c>
      <c r="O513">
        <f>Graph!$D$22*((Graph!$D$18-Y513)/POWER((((Graph!$D$18-$Y513)^2)+((Graph!$E$18-$Z513)^2))+(Graph!$D$23^2),(3/2)))</f>
        <v>219.34173361395108</v>
      </c>
      <c r="P513" s="84">
        <f>Graph!$D$22*((Graph!$E$18-Z513)/POWER((((Graph!$D$18-$Y513)^2)+((Graph!$E$18-$Z513)^2))+(Graph!$D$23^2),3/2))</f>
        <v>-229.55454153513369</v>
      </c>
      <c r="Q513">
        <f>Graph!$D$31*((Graph!$D$27-Y513)/POWER((((Graph!$D$27-$Y513)^2)+((Graph!$E$27-$Z513)^2))+(Graph!$D$32^2),3/2))</f>
        <v>-47.745702556334287</v>
      </c>
      <c r="R513">
        <f>Graph!$D$31*((Graph!$E$27-Z513)/POWER((((Graph!$D$27-$Y513)^2)+((Graph!$E$27-$Z513)^2))+(Graph!$D$32^2),3/2))</f>
        <v>-190.68363404729109</v>
      </c>
      <c r="S513">
        <f>Graph!$D$40*((Graph!$D$36-Y513)/POWER((((Graph!$D$36-$Y513)^2)+((Graph!$E$36-$Z513)^2))+(Graph!$D$41^2),3/2))</f>
        <v>38.519206827720645</v>
      </c>
      <c r="T513">
        <f>Graph!$D$40*((Graph!$E$36-Z513)/POWER((((Graph!$D$36-$Y513)^2)+((Graph!$E$36-$Z513)^2))+(Graph!$D$41^2),3/2))</f>
        <v>-163.43491850948126</v>
      </c>
      <c r="U513">
        <f>O513+Q513+S513</f>
        <v>210.11523788533742</v>
      </c>
      <c r="V513">
        <f>P513+R513+T513</f>
        <v>-583.67309409190602</v>
      </c>
      <c r="W513">
        <f>W512+(U512*Graph!$D$5)</f>
        <v>-689.7488721967735</v>
      </c>
      <c r="X513">
        <f>X512+(V512*Graph!$D$5)</f>
        <v>-3073.2811201383188</v>
      </c>
      <c r="Y513">
        <f>Y512+(W512*Graph!$D$5)+(U512*Graph!$D$5^2)</f>
        <v>-12732.639660772291</v>
      </c>
      <c r="Z513">
        <f>Z512+(X512*Graph!$D$5)+(V512*Graph!$D$5^2)</f>
        <v>39023.903832602584</v>
      </c>
    </row>
    <row r="514" spans="14:26" x14ac:dyDescent="0.35">
      <c r="N514">
        <f>N513+1</f>
        <v>511</v>
      </c>
      <c r="O514">
        <f>Graph!$D$22*((Graph!$D$18-Y514)/POWER((((Graph!$D$18-$Y514)^2)+((Graph!$E$18-$Z514)^2))+(Graph!$D$23^2),(3/2)))</f>
        <v>238.62403366384615</v>
      </c>
      <c r="P514" s="84">
        <f>Graph!$D$22*((Graph!$E$18-Z514)/POWER((((Graph!$D$18-$Y514)^2)+((Graph!$E$18-$Z514)^2))+(Graph!$D$23^2),3/2))</f>
        <v>-232.80304922736826</v>
      </c>
      <c r="Q514">
        <f>Graph!$D$31*((Graph!$D$27-Y514)/POWER((((Graph!$D$27-$Y514)^2)+((Graph!$E$27-$Z514)^2))+(Graph!$D$32^2),3/2))</f>
        <v>-54.495186243087041</v>
      </c>
      <c r="R514">
        <f>Graph!$D$31*((Graph!$E$27-Z514)/POWER((((Graph!$D$27-$Y514)^2)+((Graph!$E$27-$Z514)^2))+(Graph!$D$32^2),3/2))</f>
        <v>-213.61556200962195</v>
      </c>
      <c r="S514">
        <f>Graph!$D$40*((Graph!$D$36-Y514)/POWER((((Graph!$D$36-$Y514)^2)+((Graph!$E$36-$Z514)^2))+(Graph!$D$41^2),3/2))</f>
        <v>42.90683695343715</v>
      </c>
      <c r="T514">
        <f>Graph!$D$40*((Graph!$E$36-Z514)/POWER((((Graph!$D$36-$Y514)^2)+((Graph!$E$36-$Z514)^2))+(Graph!$D$41^2),3/2))</f>
        <v>-172.42257908489017</v>
      </c>
      <c r="U514">
        <f>O514+Q514+S514</f>
        <v>227.03568437419625</v>
      </c>
      <c r="V514">
        <f>P514+R514+T514</f>
        <v>-618.84119032188039</v>
      </c>
      <c r="W514">
        <f>W513+(U513*Graph!$D$5)</f>
        <v>-584.69125325410482</v>
      </c>
      <c r="X514">
        <f>X513+(V513*Graph!$D$5)</f>
        <v>-3365.1176671842718</v>
      </c>
      <c r="Y514">
        <f>Y513+(W513*Graph!$D$5)+(U513*Graph!$D$5^2)</f>
        <v>-13024.985287399344</v>
      </c>
      <c r="Z514">
        <f>Z513+(X513*Graph!$D$5)+(V513*Graph!$D$5^2)</f>
        <v>37341.344999010449</v>
      </c>
    </row>
    <row r="515" spans="14:26" x14ac:dyDescent="0.35">
      <c r="N515">
        <f>N514+1</f>
        <v>512</v>
      </c>
      <c r="O515">
        <f>Graph!$D$22*((Graph!$D$18-Y515)/POWER((((Graph!$D$18-$Y515)^2)+((Graph!$E$18-$Z515)^2))+(Graph!$D$23^2),(3/2)))</f>
        <v>261.44556418561456</v>
      </c>
      <c r="P515" s="84">
        <f>Graph!$D$22*((Graph!$E$18-Z515)/POWER((((Graph!$D$18-$Y515)^2)+((Graph!$E$18-$Z515)^2))+(Graph!$D$23^2),3/2))</f>
        <v>-235.94453452559407</v>
      </c>
      <c r="Q515">
        <f>Graph!$D$31*((Graph!$D$27-Y515)/POWER((((Graph!$D$27-$Y515)^2)+((Graph!$E$27-$Z515)^2))+(Graph!$D$32^2),3/2))</f>
        <v>-64.231540252862644</v>
      </c>
      <c r="R515">
        <f>Graph!$D$31*((Graph!$E$27-Z515)/POWER((((Graph!$D$27-$Y515)^2)+((Graph!$E$27-$Z515)^2))+(Graph!$D$32^2),3/2))</f>
        <v>-243.07197495088047</v>
      </c>
      <c r="S515">
        <f>Graph!$D$40*((Graph!$D$36-Y515)/POWER((((Graph!$D$36-$Y515)^2)+((Graph!$E$36-$Z515)^2))+(Graph!$D$41^2),3/2))</f>
        <v>48.106698293039912</v>
      </c>
      <c r="T515">
        <f>Graph!$D$40*((Graph!$E$36-Z515)/POWER((((Graph!$D$36-$Y515)^2)+((Graph!$E$36-$Z515)^2))+(Graph!$D$41^2),3/2))</f>
        <v>-183.21866821715588</v>
      </c>
      <c r="U515">
        <f>O515+Q515+S515</f>
        <v>245.32072222579183</v>
      </c>
      <c r="V515">
        <f>P515+R515+T515</f>
        <v>-662.23517769363048</v>
      </c>
      <c r="W515">
        <f>W514+(U514*Graph!$D$5)</f>
        <v>-471.17341106700667</v>
      </c>
      <c r="X515">
        <f>X514+(V514*Graph!$D$5)</f>
        <v>-3674.5382623452119</v>
      </c>
      <c r="Y515">
        <f>Y514+(W514*Graph!$D$5)+(U514*Graph!$D$5^2)</f>
        <v>-13260.571992932848</v>
      </c>
      <c r="Z515">
        <f>Z514+(X514*Graph!$D$5)+(V514*Graph!$D$5^2)</f>
        <v>35504.075867837841</v>
      </c>
    </row>
    <row r="516" spans="14:26" x14ac:dyDescent="0.35">
      <c r="N516">
        <f>N515+1</f>
        <v>513</v>
      </c>
      <c r="O516">
        <f>Graph!$D$22*((Graph!$D$18-Y516)/POWER((((Graph!$D$18-$Y516)^2)+((Graph!$E$18-$Z516)^2))+(Graph!$D$23^2),(3/2)))</f>
        <v>288.58634425432814</v>
      </c>
      <c r="P516" s="84">
        <f>Graph!$D$22*((Graph!$E$18-Z516)/POWER((((Graph!$D$18-$Y516)^2)+((Graph!$E$18-$Z516)^2))+(Graph!$D$23^2),3/2))</f>
        <v>-238.51521470559723</v>
      </c>
      <c r="Q516">
        <f>Graph!$D$31*((Graph!$D$27-Y516)/POWER((((Graph!$D$27-$Y516)^2)+((Graph!$E$27-$Z516)^2))+(Graph!$D$32^2),3/2))</f>
        <v>-78.713224162168999</v>
      </c>
      <c r="R516">
        <f>Graph!$D$31*((Graph!$E$27-Z516)/POWER((((Graph!$D$27-$Y516)^2)+((Graph!$E$27-$Z516)^2))+(Graph!$D$32^2),3/2))</f>
        <v>-281.76857259781286</v>
      </c>
      <c r="S516">
        <f>Graph!$D$40*((Graph!$D$36-Y516)/POWER((((Graph!$D$36-$Y516)^2)+((Graph!$E$36-$Z516)^2))+(Graph!$D$41^2),3/2))</f>
        <v>54.376863090585672</v>
      </c>
      <c r="T516">
        <f>Graph!$D$40*((Graph!$E$36-Z516)/POWER((((Graph!$D$36-$Y516)^2)+((Graph!$E$36-$Z516)^2))+(Graph!$D$41^2),3/2))</f>
        <v>-196.30661571615903</v>
      </c>
      <c r="U516">
        <f>O516+Q516+S516</f>
        <v>264.24998318274481</v>
      </c>
      <c r="V516">
        <f>P516+R516+T516</f>
        <v>-716.59040301956918</v>
      </c>
      <c r="W516">
        <f>W515+(U515*Graph!$D$5)</f>
        <v>-348.51304995411078</v>
      </c>
      <c r="X516">
        <f>X515+(V515*Graph!$D$5)</f>
        <v>-4005.6558511920271</v>
      </c>
      <c r="Y516">
        <f>Y515+(W515*Graph!$D$5)+(U515*Graph!$D$5^2)</f>
        <v>-13434.828517909904</v>
      </c>
      <c r="Z516">
        <f>Z515+(X515*Graph!$D$5)+(V515*Graph!$D$5^2)</f>
        <v>33501.247942241826</v>
      </c>
    </row>
    <row r="517" spans="14:26" x14ac:dyDescent="0.35">
      <c r="N517">
        <f>N516+1</f>
        <v>514</v>
      </c>
      <c r="O517">
        <f>Graph!$D$22*((Graph!$D$18-Y517)/POWER((((Graph!$D$18-$Y517)^2)+((Graph!$E$18-$Z517)^2))+(Graph!$D$23^2),(3/2)))</f>
        <v>320.98791473770206</v>
      </c>
      <c r="P517" s="84">
        <f>Graph!$D$22*((Graph!$E$18-Z517)/POWER((((Graph!$D$18-$Y517)^2)+((Graph!$E$18-$Z517)^2))+(Graph!$D$23^2),3/2))</f>
        <v>-239.75137129263868</v>
      </c>
      <c r="Q517">
        <f>Graph!$D$31*((Graph!$D$27-Y517)/POWER((((Graph!$D$27-$Y517)^2)+((Graph!$E$27-$Z517)^2))+(Graph!$D$32^2),3/2))</f>
        <v>-101.14504086211117</v>
      </c>
      <c r="R517">
        <f>Graph!$D$31*((Graph!$E$27-Z517)/POWER((((Graph!$D$27-$Y517)^2)+((Graph!$E$27-$Z517)^2))+(Graph!$D$32^2),3/2))</f>
        <v>-333.95481018512515</v>
      </c>
      <c r="S517">
        <f>Graph!$D$40*((Graph!$D$36-Y517)/POWER((((Graph!$D$36-$Y517)^2)+((Graph!$E$36-$Z517)^2))+(Graph!$D$41^2),3/2))</f>
        <v>62.091965146125773</v>
      </c>
      <c r="T517">
        <f>Graph!$D$40*((Graph!$E$36-Z517)/POWER((((Graph!$D$36-$Y517)^2)+((Graph!$E$36-$Z517)^2))+(Graph!$D$41^2),3/2))</f>
        <v>-212.36431073203181</v>
      </c>
      <c r="U517">
        <f>O517+Q517+S517</f>
        <v>281.9348390217167</v>
      </c>
      <c r="V517">
        <f>P517+R517+T517</f>
        <v>-786.0704922097957</v>
      </c>
      <c r="W517">
        <f>W516+(U516*Graph!$D$5)</f>
        <v>-216.38805836273838</v>
      </c>
      <c r="X517">
        <f>X516+(V516*Graph!$D$5)</f>
        <v>-4363.9510527018119</v>
      </c>
      <c r="Y517">
        <f>Y516+(W516*Graph!$D$5)+(U516*Graph!$D$5^2)</f>
        <v>-13543.022547091274</v>
      </c>
      <c r="Z517">
        <f>Z516+(X516*Graph!$D$5)+(V516*Graph!$D$5^2)</f>
        <v>31319.272415890919</v>
      </c>
    </row>
    <row r="518" spans="14:26" x14ac:dyDescent="0.35">
      <c r="N518">
        <f>N517+1</f>
        <v>515</v>
      </c>
      <c r="O518">
        <f>Graph!$D$22*((Graph!$D$18-Y518)/POWER((((Graph!$D$18-$Y518)^2)+((Graph!$E$18-$Z518)^2))+(Graph!$D$23^2),(3/2)))</f>
        <v>359.72306349841051</v>
      </c>
      <c r="P518" s="84">
        <f>Graph!$D$22*((Graph!$E$18-Z518)/POWER((((Graph!$D$18-$Y518)^2)+((Graph!$E$18-$Z518)^2))+(Graph!$D$23^2),3/2))</f>
        <v>-238.39259737003218</v>
      </c>
      <c r="Q518">
        <f>Graph!$D$31*((Graph!$D$27-Y518)/POWER((((Graph!$D$27-$Y518)^2)+((Graph!$E$27-$Z518)^2))+(Graph!$D$32^2),3/2))</f>
        <v>-137.75273581548058</v>
      </c>
      <c r="R518">
        <f>Graph!$D$31*((Graph!$E$27-Z518)/POWER((((Graph!$D$27-$Y518)^2)+((Graph!$E$27-$Z518)^2))+(Graph!$D$32^2),3/2))</f>
        <v>-406.45514638681141</v>
      </c>
      <c r="S518">
        <f>Graph!$D$40*((Graph!$D$36-Y518)/POWER((((Graph!$D$36-$Y518)^2)+((Graph!$E$36-$Z518)^2))+(Graph!$D$41^2),3/2))</f>
        <v>71.81772583585429</v>
      </c>
      <c r="T518">
        <f>Graph!$D$40*((Graph!$E$36-Z518)/POWER((((Graph!$D$36-$Y518)^2)+((Graph!$E$36-$Z518)^2))+(Graph!$D$41^2),3/2))</f>
        <v>-232.3679339982248</v>
      </c>
      <c r="U518">
        <f>O518+Q518+S518</f>
        <v>293.78805351878424</v>
      </c>
      <c r="V518">
        <f>P518+R518+T518</f>
        <v>-877.21567775506833</v>
      </c>
      <c r="W518">
        <f>W517+(U517*Graph!$D$5)</f>
        <v>-75.420638851880028</v>
      </c>
      <c r="X518">
        <f>X517+(V517*Graph!$D$5)</f>
        <v>-4756.9862988067098</v>
      </c>
      <c r="Y518">
        <f>Y517+(W517*Graph!$D$5)+(U517*Graph!$D$5^2)</f>
        <v>-13580.732866517214</v>
      </c>
      <c r="Z518">
        <f>Z517+(X517*Graph!$D$5)+(V517*Graph!$D$5^2)</f>
        <v>28940.779266487563</v>
      </c>
    </row>
    <row r="519" spans="14:26" x14ac:dyDescent="0.35">
      <c r="N519">
        <f>N518+1</f>
        <v>516</v>
      </c>
      <c r="O519">
        <f>Graph!$D$22*((Graph!$D$18-Y519)/POWER((((Graph!$D$18-$Y519)^2)+((Graph!$E$18-$Z519)^2))+(Graph!$D$23^2),(3/2)))</f>
        <v>405.84501826503356</v>
      </c>
      <c r="P519" s="84">
        <f>Graph!$D$22*((Graph!$E$18-Z519)/POWER((((Graph!$D$18-$Y519)^2)+((Graph!$E$18-$Z519)^2))+(Graph!$D$23^2),3/2))</f>
        <v>-232.36009100900455</v>
      </c>
      <c r="Q519">
        <f>Graph!$D$31*((Graph!$D$27-Y519)/POWER((((Graph!$D$27-$Y519)^2)+((Graph!$E$27-$Z519)^2))+(Graph!$D$32^2),3/2))</f>
        <v>-201.56314072184864</v>
      </c>
      <c r="R519">
        <f>Graph!$D$31*((Graph!$E$27-Z519)/POWER((((Graph!$D$27-$Y519)^2)+((Graph!$E$27-$Z519)^2))+(Graph!$D$32^2),3/2))</f>
        <v>-510.32391437432631</v>
      </c>
      <c r="S519">
        <f>Graph!$D$40*((Graph!$D$36-Y519)/POWER((((Graph!$D$36-$Y519)^2)+((Graph!$E$36-$Z519)^2))+(Graph!$D$41^2),3/2))</f>
        <v>84.450731535683857</v>
      </c>
      <c r="T519">
        <f>Graph!$D$40*((Graph!$E$36-Z519)/POWER((((Graph!$D$36-$Y519)^2)+((Graph!$E$36-$Z519)^2))+(Graph!$D$41^2),3/2))</f>
        <v>-257.76641395662642</v>
      </c>
      <c r="U519">
        <f>O519+Q519+S519</f>
        <v>288.73260907886879</v>
      </c>
      <c r="V519">
        <f>P519+R519+T519</f>
        <v>-1000.4504193399573</v>
      </c>
      <c r="W519">
        <f>W518+(U518*Graph!$D$5)</f>
        <v>71.473387907512091</v>
      </c>
      <c r="X519">
        <f>X518+(V518*Graph!$D$5)</f>
        <v>-5195.5941376842438</v>
      </c>
      <c r="Y519">
        <f>Y518+(W518*Graph!$D$5)+(U518*Graph!$D$5^2)</f>
        <v>-13544.996172563457</v>
      </c>
      <c r="Z519">
        <f>Z518+(X518*Graph!$D$5)+(V518*Graph!$D$5^2)</f>
        <v>26342.98219764544</v>
      </c>
    </row>
    <row r="520" spans="14:26" x14ac:dyDescent="0.35">
      <c r="N520">
        <f>N519+1</f>
        <v>517</v>
      </c>
      <c r="O520">
        <f>Graph!$D$22*((Graph!$D$18-Y520)/POWER((((Graph!$D$18-$Y520)^2)+((Graph!$E$18-$Z520)^2))+(Graph!$D$23^2),(3/2)))</f>
        <v>459.91897391031478</v>
      </c>
      <c r="P520" s="84">
        <f>Graph!$D$22*((Graph!$E$18-Z520)/POWER((((Graph!$D$18-$Y520)^2)+((Graph!$E$18-$Z520)^2))+(Graph!$D$23^2),3/2))</f>
        <v>-218.25872100360274</v>
      </c>
      <c r="Q520">
        <f>Graph!$D$31*((Graph!$D$27-Y520)/POWER((((Graph!$D$27-$Y520)^2)+((Graph!$E$27-$Z520)^2))+(Graph!$D$32^2),3/2))</f>
        <v>-322.15297951791001</v>
      </c>
      <c r="R520">
        <f>Graph!$D$31*((Graph!$E$27-Z520)/POWER((((Graph!$D$27-$Y520)^2)+((Graph!$E$27-$Z520)^2))+(Graph!$D$32^2),3/2))</f>
        <v>-662.43004468497395</v>
      </c>
      <c r="S520">
        <f>Graph!$D$40*((Graph!$D$36-Y520)/POWER((((Graph!$D$36-$Y520)^2)+((Graph!$E$36-$Z520)^2))+(Graph!$D$41^2),3/2))</f>
        <v>101.50009412499766</v>
      </c>
      <c r="T520">
        <f>Graph!$D$40*((Graph!$E$36-Z520)/POWER((((Graph!$D$36-$Y520)^2)+((Graph!$E$36-$Z520)^2))+(Graph!$D$41^2),3/2))</f>
        <v>-290.78152044669241</v>
      </c>
      <c r="U520">
        <f>O520+Q520+S520</f>
        <v>239.26608851740241</v>
      </c>
      <c r="V520">
        <f>P520+R520+T520</f>
        <v>-1171.4702861352691</v>
      </c>
      <c r="W520">
        <f>W519+(U519*Graph!$D$5)</f>
        <v>215.83969244694649</v>
      </c>
      <c r="X520">
        <f>X519+(V519*Graph!$D$5)</f>
        <v>-5695.8193473542224</v>
      </c>
      <c r="Y520">
        <f>Y519+(W519*Graph!$D$5)+(U519*Graph!$D$5^2)</f>
        <v>-13437.076326339982</v>
      </c>
      <c r="Z520">
        <f>Z519+(X519*Graph!$D$5)+(V519*Graph!$D$5^2)</f>
        <v>23495.072523968327</v>
      </c>
    </row>
    <row r="521" spans="14:26" x14ac:dyDescent="0.35">
      <c r="N521">
        <f>N520+1</f>
        <v>518</v>
      </c>
      <c r="O521">
        <f>Graph!$D$22*((Graph!$D$18-Y521)/POWER((((Graph!$D$18-$Y521)^2)+((Graph!$E$18-$Z521)^2))+(Graph!$D$23^2),(3/2)))</f>
        <v>520.75447798527364</v>
      </c>
      <c r="P521" s="84">
        <f>Graph!$D$22*((Graph!$E$18-Z521)/POWER((((Graph!$D$18-$Y521)^2)+((Graph!$E$18-$Z521)^2))+(Graph!$D$23^2),3/2))</f>
        <v>-190.73829246838272</v>
      </c>
      <c r="Q521">
        <f>Graph!$D$31*((Graph!$D$27-Y521)/POWER((((Graph!$D$27-$Y521)^2)+((Graph!$E$27-$Z521)^2))+(Graph!$D$32^2),3/2))</f>
        <v>-571.55760789797796</v>
      </c>
      <c r="R521">
        <f>Graph!$D$31*((Graph!$E$27-Z521)/POWER((((Graph!$D$27-$Y521)^2)+((Graph!$E$27-$Z521)^2))+(Graph!$D$32^2),3/2))</f>
        <v>-879.27130534824528</v>
      </c>
      <c r="S521">
        <f>Graph!$D$40*((Graph!$D$36-Y521)/POWER((((Graph!$D$36-$Y521)^2)+((Graph!$E$36-$Z521)^2))+(Graph!$D$41^2),3/2))</f>
        <v>125.70313707184758</v>
      </c>
      <c r="T521">
        <f>Graph!$D$40*((Graph!$E$36-Z521)/POWER((((Graph!$D$36-$Y521)^2)+((Graph!$E$36-$Z521)^2))+(Graph!$D$41^2),3/2))</f>
        <v>-334.91837872683101</v>
      </c>
      <c r="U521">
        <f>O521+Q521+S521</f>
        <v>74.900007159143257</v>
      </c>
      <c r="V521">
        <f>P521+R521+T521</f>
        <v>-1404.927976543459</v>
      </c>
      <c r="W521">
        <f>W520+(U520*Graph!$D$5)</f>
        <v>335.47273670564766</v>
      </c>
      <c r="X521">
        <f>X520+(V520*Graph!$D$5)</f>
        <v>-6281.5544904218568</v>
      </c>
      <c r="Y521">
        <f>Y520+(W520*Graph!$D$5)+(U520*Graph!$D$5^2)</f>
        <v>-13269.339957987158</v>
      </c>
      <c r="Z521">
        <f>Z520+(X520*Graph!$D$5)+(V520*Graph!$D$5^2)</f>
        <v>20354.2952787574</v>
      </c>
    </row>
    <row r="522" spans="14:26" x14ac:dyDescent="0.35">
      <c r="N522">
        <f>N521+1</f>
        <v>519</v>
      </c>
      <c r="O522">
        <f>Graph!$D$22*((Graph!$D$18-Y522)/POWER((((Graph!$D$18-$Y522)^2)+((Graph!$E$18-$Z522)^2))+(Graph!$D$23^2),(3/2)))</f>
        <v>582.28150109115404</v>
      </c>
      <c r="P522" s="84">
        <f>Graph!$D$22*((Graph!$E$18-Z522)/POWER((((Graph!$D$18-$Y522)^2)+((Graph!$E$18-$Z522)^2))+(Graph!$D$23^2),3/2))</f>
        <v>-142.28535025160923</v>
      </c>
      <c r="Q522">
        <f>Graph!$D$31*((Graph!$D$27-Y522)/POWER((((Graph!$D$27-$Y522)^2)+((Graph!$E$27-$Z522)^2))+(Graph!$D$32^2),3/2))</f>
        <v>-1119.4422539360228</v>
      </c>
      <c r="R522">
        <f>Graph!$D$31*((Graph!$E$27-Z522)/POWER((((Graph!$D$27-$Y522)^2)+((Graph!$E$27-$Z522)^2))+(Graph!$D$32^2),3/2))</f>
        <v>-1110.5678928249051</v>
      </c>
      <c r="S522">
        <f>Graph!$D$40*((Graph!$D$36-Y522)/POWER((((Graph!$D$36-$Y522)^2)+((Graph!$E$36-$Z522)^2))+(Graph!$D$41^2),3/2))</f>
        <v>162.47566919555769</v>
      </c>
      <c r="T522">
        <f>Graph!$D$40*((Graph!$E$36-Z522)/POWER((((Graph!$D$36-$Y522)^2)+((Graph!$E$36-$Z522)^2))+(Graph!$D$41^2),3/2))</f>
        <v>-395.69626910421539</v>
      </c>
      <c r="U522">
        <f>O522+Q522+S522</f>
        <v>-374.68508364931108</v>
      </c>
      <c r="V522">
        <f>P522+R522+T522</f>
        <v>-1648.5495121807298</v>
      </c>
      <c r="W522">
        <f>W521+(U521*Graph!$D$5)</f>
        <v>372.92274028521928</v>
      </c>
      <c r="X522">
        <f>X521+(V521*Graph!$D$5)</f>
        <v>-6984.0184786935861</v>
      </c>
      <c r="Y522">
        <f>Y521+(W521*Graph!$D$5)+(U521*Graph!$D$5^2)</f>
        <v>-13082.878587844549</v>
      </c>
      <c r="Z522">
        <f>Z521+(X521*Graph!$D$5)+(V521*Graph!$D$5^2)</f>
        <v>16862.286039410606</v>
      </c>
    </row>
    <row r="523" spans="14:26" x14ac:dyDescent="0.35">
      <c r="N523">
        <f>N522+1</f>
        <v>520</v>
      </c>
      <c r="O523">
        <f>Graph!$D$22*((Graph!$D$18-Y523)/POWER((((Graph!$D$18-$Y523)^2)+((Graph!$E$18-$Z523)^2))+(Graph!$D$23^2),(3/2)))</f>
        <v>627.35567440783393</v>
      </c>
      <c r="P523" s="84">
        <f>Graph!$D$22*((Graph!$E$18-Z523)/POWER((((Graph!$D$18-$Y523)^2)+((Graph!$E$18-$Z523)^2))+(Graph!$D$23^2),3/2))</f>
        <v>-66.302239553397541</v>
      </c>
      <c r="Q523">
        <f>Graph!$D$31*((Graph!$D$27-Y523)/POWER((((Graph!$D$27-$Y523)^2)+((Graph!$E$27-$Z523)^2))+(Graph!$D$32^2),3/2))</f>
        <v>-2143.1953603367829</v>
      </c>
      <c r="R523">
        <f>Graph!$D$31*((Graph!$E$27-Z523)/POWER((((Graph!$D$27-$Y523)^2)+((Graph!$E$27-$Z523)^2))+(Graph!$D$32^2),3/2))</f>
        <v>-904.41522324529058</v>
      </c>
      <c r="S523">
        <f>Graph!$D$40*((Graph!$D$36-Y523)/POWER((((Graph!$D$36-$Y523)^2)+((Graph!$E$36-$Z523)^2))+(Graph!$D$41^2),3/2))</f>
        <v>223.27321828342892</v>
      </c>
      <c r="T523">
        <f>Graph!$D$40*((Graph!$E$36-Z523)/POWER((((Graph!$D$36-$Y523)^2)+((Graph!$E$36-$Z523)^2))+(Graph!$D$41^2),3/2))</f>
        <v>-480.5435907108905</v>
      </c>
      <c r="U523">
        <f>O523+Q523+S523</f>
        <v>-1292.5664676455201</v>
      </c>
      <c r="V523">
        <f>P523+R523+T523</f>
        <v>-1451.2610535095787</v>
      </c>
      <c r="W523">
        <f>W522+(U522*Graph!$D$5)</f>
        <v>185.58019846056374</v>
      </c>
      <c r="X523">
        <f>X522+(V522*Graph!$D$5)</f>
        <v>-7808.2932347839505</v>
      </c>
      <c r="Y523">
        <f>Y522+(W522*Graph!$D$5)+(U522*Graph!$D$5^2)</f>
        <v>-12990.088488614267</v>
      </c>
      <c r="Z523">
        <f>Z522+(X522*Graph!$D$5)+(V522*Graph!$D$5^2)</f>
        <v>12958.13942201863</v>
      </c>
    </row>
    <row r="524" spans="14:26" x14ac:dyDescent="0.35">
      <c r="N524">
        <f>N523+1</f>
        <v>521</v>
      </c>
      <c r="O524">
        <f>Graph!$D$22*((Graph!$D$18-Y524)/POWER((((Graph!$D$18-$Y524)^2)+((Graph!$E$18-$Z524)^2))+(Graph!$D$23^2),(3/2)))</f>
        <v>625.7178636185206</v>
      </c>
      <c r="P524" s="84">
        <f>Graph!$D$22*((Graph!$E$18-Z524)/POWER((((Graph!$D$18-$Y524)^2)+((Graph!$E$18-$Z524)^2))+(Graph!$D$23^2),3/2))</f>
        <v>29.019873274929882</v>
      </c>
      <c r="Q524">
        <f>Graph!$D$31*((Graph!$D$27-Y524)/POWER((((Graph!$D$27-$Y524)^2)+((Graph!$E$27-$Z524)^2))+(Graph!$D$32^2),3/2))</f>
        <v>-2624.6856408724957</v>
      </c>
      <c r="R524">
        <f>Graph!$D$31*((Graph!$E$27-Z524)/POWER((((Graph!$D$27-$Y524)^2)+((Graph!$E$27-$Z524)^2))+(Graph!$D$32^2),3/2))</f>
        <v>506.70655870357479</v>
      </c>
      <c r="S524">
        <f>Graph!$D$40*((Graph!$D$36-Y524)/POWER((((Graph!$D$36-$Y524)^2)+((Graph!$E$36-$Z524)^2))+(Graph!$D$41^2),3/2))</f>
        <v>329.70315034398106</v>
      </c>
      <c r="T524">
        <f>Graph!$D$40*((Graph!$E$36-Z524)/POWER((((Graph!$D$36-$Y524)^2)+((Graph!$E$36-$Z524)^2))+(Graph!$D$41^2),3/2))</f>
        <v>-590.83176255774765</v>
      </c>
      <c r="U524">
        <f>O524+Q524+S524</f>
        <v>-1669.2646269099941</v>
      </c>
      <c r="V524">
        <f>P524+R524+T524</f>
        <v>-55.105330579242946</v>
      </c>
      <c r="W524">
        <f>W523+(U523*Graph!$D$5)</f>
        <v>-460.70303536219632</v>
      </c>
      <c r="X524">
        <f>X523+(V523*Graph!$D$5)</f>
        <v>-8533.9237615387392</v>
      </c>
      <c r="Y524">
        <f>Y523+(W523*Graph!$D$5)+(U523*Graph!$D$5^2)</f>
        <v>-13220.440006295365</v>
      </c>
      <c r="Z524">
        <f>Z523+(X523*Graph!$D$5)+(V523*Graph!$D$5^2)</f>
        <v>8691.1775412492589</v>
      </c>
    </row>
    <row r="525" spans="14:26" x14ac:dyDescent="0.35">
      <c r="N525">
        <f>N524+1</f>
        <v>522</v>
      </c>
      <c r="O525">
        <f>Graph!$D$22*((Graph!$D$18-Y525)/POWER((((Graph!$D$18-$Y525)^2)+((Graph!$E$18-$Z525)^2))+(Graph!$D$23^2),(3/2)))</f>
        <v>569.66147134095286</v>
      </c>
      <c r="P525" s="84">
        <f>Graph!$D$22*((Graph!$E$18-Z525)/POWER((((Graph!$D$18-$Y525)^2)+((Graph!$E$18-$Z525)^2))+(Graph!$D$23^2),3/2))</f>
        <v>110.30017595449637</v>
      </c>
      <c r="Q525">
        <f>Graph!$D$31*((Graph!$D$27-Y525)/POWER((((Graph!$D$27-$Y525)^2)+((Graph!$E$27-$Z525)^2))+(Graph!$D$32^2),3/2))</f>
        <v>-1508.0296001021352</v>
      </c>
      <c r="R525">
        <f>Graph!$D$31*((Graph!$E$27-Z525)/POWER((((Graph!$D$27-$Y525)^2)+((Graph!$E$27-$Z525)^2))+(Graph!$D$32^2),3/2))</f>
        <v>1374.6527998650813</v>
      </c>
      <c r="S525">
        <f>Graph!$D$40*((Graph!$D$36-Y525)/POWER((((Graph!$D$36-$Y525)^2)+((Graph!$E$36-$Z525)^2))+(Graph!$D$41^2),3/2))</f>
        <v>501.46189850909241</v>
      </c>
      <c r="T525">
        <f>Graph!$D$40*((Graph!$E$36-Z525)/POWER((((Graph!$D$36-$Y525)^2)+((Graph!$E$36-$Z525)^2))+(Graph!$D$41^2),3/2))</f>
        <v>-701.86906392247181</v>
      </c>
      <c r="U525">
        <f>O525+Q525+S525</f>
        <v>-436.90623025208993</v>
      </c>
      <c r="V525">
        <f>P525+R525+T525</f>
        <v>783.08391189710585</v>
      </c>
      <c r="W525">
        <f>W524+(U524*Graph!$D$5)</f>
        <v>-1295.3353488171933</v>
      </c>
      <c r="X525">
        <f>X524+(V524*Graph!$D$5)</f>
        <v>-8561.4764268283616</v>
      </c>
      <c r="Y525">
        <f>Y524+(W524*Graph!$D$5)+(U524*Graph!$D$5^2)</f>
        <v>-13868.107680703961</v>
      </c>
      <c r="Z525">
        <f>Z524+(X524*Graph!$D$5)+(V524*Graph!$D$5^2)</f>
        <v>4410.4393278350781</v>
      </c>
    </row>
    <row r="526" spans="14:26" x14ac:dyDescent="0.35">
      <c r="N526">
        <f>N525+1</f>
        <v>523</v>
      </c>
      <c r="O526">
        <f>Graph!$D$22*((Graph!$D$18-Y526)/POWER((((Graph!$D$18-$Y526)^2)+((Graph!$E$18-$Z526)^2))+(Graph!$D$23^2),(3/2)))</f>
        <v>493.30198040561174</v>
      </c>
      <c r="P526" s="84">
        <f>Graph!$D$22*((Graph!$E$18-Z526)/POWER((((Graph!$D$18-$Y526)^2)+((Graph!$E$18-$Z526)^2))+(Graph!$D$23^2),3/2))</f>
        <v>161.095813272128</v>
      </c>
      <c r="Q526">
        <f>Graph!$D$31*((Graph!$D$27-Y526)/POWER((((Graph!$D$27-$Y526)^2)+((Graph!$E$27-$Z526)^2))+(Graph!$D$32^2),3/2))</f>
        <v>-617.22042422135883</v>
      </c>
      <c r="R526">
        <f>Graph!$D$31*((Graph!$E$27-Z526)/POWER((((Graph!$D$27-$Y526)^2)+((Graph!$E$27-$Z526)^2))+(Graph!$D$32^2),3/2))</f>
        <v>1110.9429477482183</v>
      </c>
      <c r="S526">
        <f>Graph!$D$40*((Graph!$D$36-Y526)/POWER((((Graph!$D$36-$Y526)^2)+((Graph!$E$36-$Z526)^2))+(Graph!$D$41^2),3/2))</f>
        <v>742.60163662177035</v>
      </c>
      <c r="T526">
        <f>Graph!$D$40*((Graph!$E$36-Z526)/POWER((((Graph!$D$36-$Y526)^2)+((Graph!$E$36-$Z526)^2))+(Graph!$D$41^2),3/2))</f>
        <v>-778.16883209773687</v>
      </c>
      <c r="U526">
        <f>O526+Q526+S526</f>
        <v>618.68319280602327</v>
      </c>
      <c r="V526">
        <f>P526+R526+T526</f>
        <v>493.86992892260946</v>
      </c>
      <c r="W526">
        <f>W525+(U525*Graph!$D$5)</f>
        <v>-1513.7884639432382</v>
      </c>
      <c r="X526">
        <f>X525+(V525*Graph!$D$5)</f>
        <v>-8169.9344708798089</v>
      </c>
      <c r="Y526">
        <f>Y525+(W525*Graph!$D$5)+(U525*Graph!$D$5^2)</f>
        <v>-14625.00191267558</v>
      </c>
      <c r="Z526">
        <f>Z525+(X525*Graph!$D$5)+(V525*Graph!$D$5^2)</f>
        <v>325.47209239517372</v>
      </c>
    </row>
    <row r="527" spans="14:26" x14ac:dyDescent="0.35">
      <c r="N527">
        <f>N526+1</f>
        <v>524</v>
      </c>
      <c r="O527">
        <f>Graph!$D$22*((Graph!$D$18-Y527)/POWER((((Graph!$D$18-$Y527)^2)+((Graph!$E$18-$Z527)^2))+(Graph!$D$23^2),(3/2)))</f>
        <v>419.64735815366078</v>
      </c>
      <c r="P527" s="84">
        <f>Graph!$D$22*((Graph!$E$18-Z527)/POWER((((Graph!$D$18-$Y527)^2)+((Graph!$E$18-$Z527)^2))+(Graph!$D$23^2),3/2))</f>
        <v>189.31023003220295</v>
      </c>
      <c r="Q527">
        <f>Graph!$D$31*((Graph!$D$27-Y527)/POWER((((Graph!$D$27-$Y527)^2)+((Graph!$E$27-$Z527)^2))+(Graph!$D$32^2),3/2))</f>
        <v>-260.95273099020005</v>
      </c>
      <c r="R527">
        <f>Graph!$D$31*((Graph!$E$27-Z527)/POWER((((Graph!$D$27-$Y527)^2)+((Graph!$E$27-$Z527)^2))+(Graph!$D$32^2),3/2))</f>
        <v>745.55346024925302</v>
      </c>
      <c r="S527">
        <f>Graph!$D$40*((Graph!$D$36-Y527)/POWER((((Graph!$D$36-$Y527)^2)+((Graph!$E$36-$Z527)^2))+(Graph!$D$41^2),3/2))</f>
        <v>1051.2947647235208</v>
      </c>
      <c r="T527">
        <f>Graph!$D$40*((Graph!$E$36-Z527)/POWER((((Graph!$D$36-$Y527)^2)+((Graph!$E$36-$Z527)^2))+(Graph!$D$41^2),3/2))</f>
        <v>-784.57396898231877</v>
      </c>
      <c r="U527">
        <f>O527+Q527+S527</f>
        <v>1209.9893918869816</v>
      </c>
      <c r="V527">
        <f>P527+R527+T527</f>
        <v>150.28972129913723</v>
      </c>
      <c r="W527">
        <f>W526+(U526*Graph!$D$5)</f>
        <v>-1204.4468675402265</v>
      </c>
      <c r="X527">
        <f>X526+(V526*Graph!$D$5)</f>
        <v>-7922.9995064185041</v>
      </c>
      <c r="Y527">
        <f>Y526+(W526*Graph!$D$5)+(U526*Graph!$D$5^2)</f>
        <v>-15227.225346445694</v>
      </c>
      <c r="Z527">
        <f>Z526+(X526*Graph!$D$5)+(V526*Graph!$D$5^2)</f>
        <v>-3636.0276608140784</v>
      </c>
    </row>
    <row r="528" spans="14:26" x14ac:dyDescent="0.35">
      <c r="N528">
        <f>N527+1</f>
        <v>525</v>
      </c>
      <c r="O528">
        <f>Graph!$D$22*((Graph!$D$18-Y528)/POWER((((Graph!$D$18-$Y528)^2)+((Graph!$E$18-$Z528)^2))+(Graph!$D$23^2),(3/2)))</f>
        <v>355.15603230211525</v>
      </c>
      <c r="P528" s="84">
        <f>Graph!$D$22*((Graph!$E$18-Z528)/POWER((((Graph!$D$18-$Y528)^2)+((Graph!$E$18-$Z528)^2))+(Graph!$D$23^2),3/2))</f>
        <v>204.29566814938516</v>
      </c>
      <c r="Q528">
        <f>Graph!$D$31*((Graph!$D$27-Y528)/POWER((((Graph!$D$27-$Y528)^2)+((Graph!$E$27-$Z528)^2))+(Graph!$D$32^2),3/2))</f>
        <v>-127.79383862753983</v>
      </c>
      <c r="R528">
        <f>Graph!$D$31*((Graph!$E$27-Z528)/POWER((((Graph!$D$27-$Y528)^2)+((Graph!$E$27-$Z528)^2))+(Graph!$D$32^2),3/2))</f>
        <v>501.68336415346465</v>
      </c>
      <c r="S528">
        <f>Graph!$D$40*((Graph!$D$36-Y528)/POWER((((Graph!$D$36-$Y528)^2)+((Graph!$E$36-$Z528)^2))+(Graph!$D$41^2),3/2))</f>
        <v>1410.6976518207075</v>
      </c>
      <c r="T528">
        <f>Graph!$D$40*((Graph!$E$36-Z528)/POWER((((Graph!$D$36-$Y528)^2)+((Graph!$E$36-$Z528)^2))+(Graph!$D$41^2),3/2))</f>
        <v>-675.96360301230845</v>
      </c>
      <c r="U528">
        <f>O528+Q528+S528</f>
        <v>1638.0598454952828</v>
      </c>
      <c r="V528">
        <f>P528+R528+T528</f>
        <v>30.01542929054142</v>
      </c>
      <c r="W528">
        <f>W527+(U527*Graph!$D$5)</f>
        <v>-599.45217159673575</v>
      </c>
      <c r="X528">
        <f>X527+(V527*Graph!$D$5)</f>
        <v>-7847.8546457689354</v>
      </c>
      <c r="Y528">
        <f>Y527+(W527*Graph!$D$5)+(U527*Graph!$D$5^2)</f>
        <v>-15526.951432244063</v>
      </c>
      <c r="Z528">
        <f>Z527+(X527*Graph!$D$5)+(V527*Graph!$D$5^2)</f>
        <v>-7559.9549836985461</v>
      </c>
    </row>
    <row r="529" spans="14:26" x14ac:dyDescent="0.35">
      <c r="N529">
        <f>N528+1</f>
        <v>526</v>
      </c>
      <c r="O529">
        <f>Graph!$D$22*((Graph!$D$18-Y529)/POWER((((Graph!$D$18-$Y529)^2)+((Graph!$E$18-$Z529)^2))+(Graph!$D$23^2),(3/2)))</f>
        <v>300.3477143209758</v>
      </c>
      <c r="P529" s="84">
        <f>Graph!$D$22*((Graph!$E$18-Z529)/POWER((((Graph!$D$18-$Y529)^2)+((Graph!$E$18-$Z529)^2))+(Graph!$D$23^2),3/2))</f>
        <v>212.06386911041599</v>
      </c>
      <c r="Q529">
        <f>Graph!$D$31*((Graph!$D$27-Y529)/POWER((((Graph!$D$27-$Y529)^2)+((Graph!$E$27-$Z529)^2))+(Graph!$D$32^2),3/2))</f>
        <v>-74.850477269160095</v>
      </c>
      <c r="R529">
        <f>Graph!$D$31*((Graph!$E$27-Z529)/POWER((((Graph!$D$27-$Y529)^2)+((Graph!$E$27-$Z529)^2))+(Graph!$D$32^2),3/2))</f>
        <v>350.76897158536241</v>
      </c>
      <c r="S529">
        <f>Graph!$D$40*((Graph!$D$36-Y529)/POWER((((Graph!$D$36-$Y529)^2)+((Graph!$E$36-$Z529)^2))+(Graph!$D$41^2),3/2))</f>
        <v>1769.1139128081186</v>
      </c>
      <c r="T529">
        <f>Graph!$D$40*((Graph!$E$36-Z529)/POWER((((Graph!$D$36-$Y529)^2)+((Graph!$E$36-$Z529)^2))+(Graph!$D$41^2),3/2))</f>
        <v>-404.33431806734336</v>
      </c>
      <c r="U529">
        <f>O529+Q529+S529</f>
        <v>1994.6111498599344</v>
      </c>
      <c r="V529">
        <f>P529+R529+T529</f>
        <v>158.49852262843501</v>
      </c>
      <c r="W529">
        <f>W528+(U528*Graph!$D$5)</f>
        <v>219.57775115090567</v>
      </c>
      <c r="X529">
        <f>X528+(V528*Graph!$D$5)</f>
        <v>-7832.8469311236649</v>
      </c>
      <c r="Y529">
        <f>Y528+(W528*Graph!$D$5)+(U528*Graph!$D$5^2)</f>
        <v>-15417.162556668609</v>
      </c>
      <c r="Z529">
        <f>Z528+(X528*Graph!$D$5)+(V528*Graph!$D$5^2)</f>
        <v>-11476.378449260379</v>
      </c>
    </row>
    <row r="530" spans="14:26" x14ac:dyDescent="0.35">
      <c r="N530">
        <f>N529+1</f>
        <v>527</v>
      </c>
      <c r="O530">
        <f>Graph!$D$22*((Graph!$D$18-Y530)/POWER((((Graph!$D$18-$Y530)^2)+((Graph!$E$18-$Z530)^2))+(Graph!$D$23^2),(3/2)))</f>
        <v>254.2048333977946</v>
      </c>
      <c r="P530" s="84">
        <f>Graph!$D$22*((Graph!$E$18-Z530)/POWER((((Graph!$D$18-$Y530)^2)+((Graph!$E$18-$Z530)^2))+(Graph!$D$23^2),3/2))</f>
        <v>216.20854617091547</v>
      </c>
      <c r="Q530">
        <f>Graph!$D$31*((Graph!$D$27-Y530)/POWER((((Graph!$D$27-$Y530)^2)+((Graph!$E$27-$Z530)^2))+(Graph!$D$32^2),3/2))</f>
        <v>-52.348810735322743</v>
      </c>
      <c r="R530">
        <f>Graph!$D$31*((Graph!$E$27-Z530)/POWER((((Graph!$D$27-$Y530)^2)+((Graph!$E$27-$Z530)^2))+(Graph!$D$32^2),3/2))</f>
        <v>255.66120641805097</v>
      </c>
      <c r="S530">
        <f>Graph!$D$40*((Graph!$D$36-Y530)/POWER((((Graph!$D$36-$Y530)^2)+((Graph!$E$36-$Z530)^2))+(Graph!$D$41^2),3/2))</f>
        <v>2029.0988351042329</v>
      </c>
      <c r="T530">
        <f>Graph!$D$40*((Graph!$E$36-Z530)/POWER((((Graph!$D$36-$Y530)^2)+((Graph!$E$36-$Z530)^2))+(Graph!$D$41^2),3/2))</f>
        <v>48.392539844075081</v>
      </c>
      <c r="U530">
        <f>O530+Q530+S530</f>
        <v>2230.9548577667047</v>
      </c>
      <c r="V530">
        <f>P530+R530+T530</f>
        <v>520.26229243304147</v>
      </c>
      <c r="W530">
        <f>W529+(U529*Graph!$D$5)</f>
        <v>1216.8833260808728</v>
      </c>
      <c r="X530">
        <f>X529+(V529*Graph!$D$5)</f>
        <v>-7753.5976698094473</v>
      </c>
      <c r="Y530">
        <f>Y529+(W529*Graph!$D$5)+(U529*Graph!$D$5^2)</f>
        <v>-14808.720893628173</v>
      </c>
      <c r="Z530">
        <f>Z529+(X529*Graph!$D$5)+(V529*Graph!$D$5^2)</f>
        <v>-15353.177284165104</v>
      </c>
    </row>
    <row r="531" spans="14:26" x14ac:dyDescent="0.35">
      <c r="N531">
        <f>N530+1</f>
        <v>528</v>
      </c>
      <c r="O531">
        <f>Graph!$D$22*((Graph!$D$18-Y531)/POWER((((Graph!$D$18-$Y531)^2)+((Graph!$E$18-$Z531)^2))+(Graph!$D$23^2),(3/2)))</f>
        <v>215.44313137919855</v>
      </c>
      <c r="P531" s="84">
        <f>Graph!$D$22*((Graph!$E$18-Z531)/POWER((((Graph!$D$18-$Y531)^2)+((Graph!$E$18-$Z531)^2))+(Graph!$D$23^2),3/2))</f>
        <v>218.88337200194999</v>
      </c>
      <c r="Q531">
        <f>Graph!$D$31*((Graph!$D$27-Y531)/POWER((((Graph!$D$27-$Y531)^2)+((Graph!$E$27-$Z531)^2))+(Graph!$D$32^2),3/2))</f>
        <v>-42.324789720930994</v>
      </c>
      <c r="R531">
        <f>Graph!$D$31*((Graph!$E$27-Z531)/POWER((((Graph!$D$27-$Y531)^2)+((Graph!$E$27-$Z531)^2))+(Graph!$D$32^2),3/2))</f>
        <v>193.7326691398892</v>
      </c>
      <c r="S531">
        <f>Graph!$D$40*((Graph!$D$36-Y531)/POWER((((Graph!$D$36-$Y531)^2)+((Graph!$E$36-$Z531)^2))+(Graph!$D$41^2),3/2))</f>
        <v>2075.8541929861763</v>
      </c>
      <c r="T531">
        <f>Graph!$D$40*((Graph!$E$36-Z531)/POWER((((Graph!$D$36-$Y531)^2)+((Graph!$E$36-$Z531)^2))+(Graph!$D$41^2),3/2))</f>
        <v>623.84395982771241</v>
      </c>
      <c r="U531">
        <f>O531+Q531+S531</f>
        <v>2248.9725346444438</v>
      </c>
      <c r="V531">
        <f>P531+R531+T531</f>
        <v>1036.4600009695516</v>
      </c>
      <c r="W531">
        <f>W530+(U530*Graph!$D$5)</f>
        <v>2332.3607549642252</v>
      </c>
      <c r="X531">
        <f>X530+(V530*Graph!$D$5)</f>
        <v>-7493.4665235929269</v>
      </c>
      <c r="Y531">
        <f>Y530+(W530*Graph!$D$5)+(U530*Graph!$D$5^2)</f>
        <v>-13642.540516146062</v>
      </c>
      <c r="Z531">
        <f>Z530+(X530*Graph!$D$5)+(V530*Graph!$D$5^2)</f>
        <v>-19099.910545961568</v>
      </c>
    </row>
    <row r="532" spans="14:26" x14ac:dyDescent="0.35">
      <c r="N532">
        <f>N531+1</f>
        <v>529</v>
      </c>
      <c r="O532">
        <f>Graph!$D$22*((Graph!$D$18-Y532)/POWER((((Graph!$D$18-$Y532)^2)+((Graph!$E$18-$Z532)^2))+(Graph!$D$23^2),(3/2)))</f>
        <v>182.80461750829275</v>
      </c>
      <c r="P532" s="84">
        <f>Graph!$D$22*((Graph!$E$18-Z532)/POWER((((Graph!$D$18-$Y532)^2)+((Graph!$E$18-$Z532)^2))+(Graph!$D$23^2),3/2))</f>
        <v>221.33925991668403</v>
      </c>
      <c r="Q532">
        <f>Graph!$D$31*((Graph!$D$27-Y532)/POWER((((Graph!$D$27-$Y532)^2)+((Graph!$E$27-$Z532)^2))+(Graph!$D$32^2),3/2))</f>
        <v>-37.748856734882878</v>
      </c>
      <c r="R532">
        <f>Graph!$D$31*((Graph!$E$27-Z532)/POWER((((Graph!$D$27-$Y532)^2)+((Graph!$E$27-$Z532)^2))+(Graph!$D$32^2),3/2))</f>
        <v>152.13452347256089</v>
      </c>
      <c r="S532">
        <f>Graph!$D$40*((Graph!$D$36-Y532)/POWER((((Graph!$D$36-$Y532)^2)+((Graph!$E$36-$Z532)^2))+(Graph!$D$41^2),3/2))</f>
        <v>1854.331104459369</v>
      </c>
      <c r="T532">
        <f>Graph!$D$40*((Graph!$E$36-Z532)/POWER((((Graph!$D$36-$Y532)^2)+((Graph!$E$36-$Z532)^2))+(Graph!$D$41^2),3/2))</f>
        <v>1180.93440477794</v>
      </c>
      <c r="U532">
        <f>O532+Q532+S532</f>
        <v>1999.386865232779</v>
      </c>
      <c r="V532">
        <f>P532+R532+T532</f>
        <v>1554.408188167185</v>
      </c>
      <c r="W532">
        <f>W531+(U531*Graph!$D$5)</f>
        <v>3456.8470222864471</v>
      </c>
      <c r="X532">
        <f>X531+(V531*Graph!$D$5)</f>
        <v>-6975.2365231081512</v>
      </c>
      <c r="Y532">
        <f>Y531+(W531*Graph!$D$5)+(U531*Graph!$D$5^2)</f>
        <v>-11914.117005002838</v>
      </c>
      <c r="Z532">
        <f>Z531+(X531*Graph!$D$5)+(V531*Graph!$D$5^2)</f>
        <v>-22587.528807515642</v>
      </c>
    </row>
    <row r="533" spans="14:26" x14ac:dyDescent="0.35">
      <c r="N533">
        <f>N532+1</f>
        <v>530</v>
      </c>
      <c r="O533">
        <f>Graph!$D$22*((Graph!$D$18-Y533)/POWER((((Graph!$D$18-$Y533)^2)+((Graph!$E$18-$Z533)^2))+(Graph!$D$23^2),(3/2)))</f>
        <v>155.09801180463589</v>
      </c>
      <c r="P533" s="84">
        <f>Graph!$D$22*((Graph!$E$18-Z533)/POWER((((Graph!$D$18-$Y533)^2)+((Graph!$E$18-$Z533)^2))+(Graph!$D$23^2),3/2))</f>
        <v>224.21398913187949</v>
      </c>
      <c r="Q533">
        <f>Graph!$D$31*((Graph!$D$27-Y533)/POWER((((Graph!$D$27-$Y533)^2)+((Graph!$E$27-$Z533)^2))+(Graph!$D$32^2),3/2))</f>
        <v>-35.660876073138972</v>
      </c>
      <c r="R533">
        <f>Graph!$D$31*((Graph!$E$27-Z533)/POWER((((Graph!$D$27-$Y533)^2)+((Graph!$E$27-$Z533)^2))+(Graph!$D$32^2),3/2))</f>
        <v>123.3851613469548</v>
      </c>
      <c r="S533">
        <f>Graph!$D$40*((Graph!$D$36-Y533)/POWER((((Graph!$D$36-$Y533)^2)+((Graph!$E$36-$Z533)^2))+(Graph!$D$41^2),3/2))</f>
        <v>1425.7795072630615</v>
      </c>
      <c r="T533">
        <f>Graph!$D$40*((Graph!$E$36-Z533)/POWER((((Graph!$D$36-$Y533)^2)+((Graph!$E$36-$Z533)^2))+(Graph!$D$41^2),3/2))</f>
        <v>1573.0846508087461</v>
      </c>
      <c r="U533">
        <f>O533+Q533+S533</f>
        <v>1545.2166429945585</v>
      </c>
      <c r="V533">
        <f>P533+R533+T533</f>
        <v>1920.6838012875805</v>
      </c>
      <c r="W533">
        <f>W532+(U532*Graph!$D$5)</f>
        <v>4456.5404549028362</v>
      </c>
      <c r="X533">
        <f>X532+(V532*Graph!$D$5)</f>
        <v>-6198.032429024559</v>
      </c>
      <c r="Y533">
        <f>Y532+(W532*Graph!$D$5)+(U532*Graph!$D$5^2)</f>
        <v>-9685.8467775514182</v>
      </c>
      <c r="Z533">
        <f>Z532+(X532*Graph!$D$5)+(V532*Graph!$D$5^2)</f>
        <v>-25686.54502202792</v>
      </c>
    </row>
    <row r="534" spans="14:26" x14ac:dyDescent="0.35">
      <c r="N534">
        <f>N533+1</f>
        <v>531</v>
      </c>
      <c r="O534">
        <f>Graph!$D$22*((Graph!$D$18-Y534)/POWER((((Graph!$D$18-$Y534)^2)+((Graph!$E$18-$Z534)^2))+(Graph!$D$23^2),(3/2)))</f>
        <v>131.22336388561257</v>
      </c>
      <c r="P534" s="84">
        <f>Graph!$D$22*((Graph!$E$18-Z534)/POWER((((Graph!$D$18-$Y534)^2)+((Graph!$E$18-$Z534)^2))+(Graph!$D$23^2),3/2))</f>
        <v>227.74229231722853</v>
      </c>
      <c r="Q534">
        <f>Graph!$D$31*((Graph!$D$27-Y534)/POWER((((Graph!$D$27-$Y534)^2)+((Graph!$E$27-$Z534)^2))+(Graph!$D$32^2),3/2))</f>
        <v>-34.747603108309519</v>
      </c>
      <c r="R534">
        <f>Graph!$D$31*((Graph!$E$27-Z534)/POWER((((Graph!$D$27-$Y534)^2)+((Graph!$E$27-$Z534)^2))+(Graph!$D$32^2),3/2))</f>
        <v>102.95061808542741</v>
      </c>
      <c r="S534">
        <f>Graph!$D$40*((Graph!$D$36-Y534)/POWER((((Graph!$D$36-$Y534)^2)+((Graph!$E$36-$Z534)^2))+(Graph!$D$41^2),3/2))</f>
        <v>925.34042637638538</v>
      </c>
      <c r="T534">
        <f>Graph!$D$40*((Graph!$E$36-Z534)/POWER((((Graph!$D$36-$Y534)^2)+((Graph!$E$36-$Z534)^2))+(Graph!$D$41^2),3/2))</f>
        <v>1741.1315591652417</v>
      </c>
      <c r="U534">
        <f>O534+Q534+S534</f>
        <v>1021.8161871536885</v>
      </c>
      <c r="V534">
        <f>P534+R534+T534</f>
        <v>2071.8244695678977</v>
      </c>
      <c r="W534">
        <f>W533+(U533*Graph!$D$5)</f>
        <v>5229.1487764001158</v>
      </c>
      <c r="X534">
        <f>X533+(V533*Graph!$D$5)</f>
        <v>-5237.6905283807682</v>
      </c>
      <c r="Y534">
        <f>Y533+(W533*Graph!$D$5)+(U533*Graph!$D$5^2)</f>
        <v>-7071.2723893513612</v>
      </c>
      <c r="Z534">
        <f>Z533+(X533*Graph!$D$5)+(V533*Graph!$D$5^2)</f>
        <v>-28305.390286218302</v>
      </c>
    </row>
    <row r="535" spans="14:26" x14ac:dyDescent="0.35">
      <c r="N535">
        <f>N534+1</f>
        <v>532</v>
      </c>
      <c r="O535">
        <f>Graph!$D$22*((Graph!$D$18-Y535)/POWER((((Graph!$D$18-$Y535)^2)+((Graph!$E$18-$Z535)^2))+(Graph!$D$23^2),(3/2)))</f>
        <v>110.21853370478161</v>
      </c>
      <c r="P535" s="84">
        <f>Graph!$D$22*((Graph!$E$18-Z535)/POWER((((Graph!$D$18-$Y535)^2)+((Graph!$E$18-$Z535)^2))+(Graph!$D$23^2),3/2))</f>
        <v>231.93918488603197</v>
      </c>
      <c r="Q535">
        <f>Graph!$D$31*((Graph!$D$27-Y535)/POWER((((Graph!$D$27-$Y535)^2)+((Graph!$E$27-$Z535)^2))+(Graph!$D$32^2),3/2))</f>
        <v>-34.408638903047098</v>
      </c>
      <c r="R535">
        <f>Graph!$D$31*((Graph!$E$27-Z535)/POWER((((Graph!$D$27-$Y535)^2)+((Graph!$E$27-$Z535)^2))+(Graph!$D$32^2),3/2))</f>
        <v>88.00218665381783</v>
      </c>
      <c r="S535">
        <f>Graph!$D$40*((Graph!$D$36-Y535)/POWER((((Graph!$D$36-$Y535)^2)+((Graph!$E$36-$Z535)^2))+(Graph!$D$41^2),3/2))</f>
        <v>469.49439280638262</v>
      </c>
      <c r="T535">
        <f>Graph!$D$40*((Graph!$E$36-Z535)/POWER((((Graph!$D$36-$Y535)^2)+((Graph!$E$36-$Z535)^2))+(Graph!$D$41^2),3/2))</f>
        <v>1721.6714588302336</v>
      </c>
      <c r="U535">
        <f>O535+Q535+S535</f>
        <v>545.30428760811719</v>
      </c>
      <c r="V535">
        <f>P535+R535+T535</f>
        <v>2041.6128303700834</v>
      </c>
      <c r="W535">
        <f>W534+(U534*Graph!$D$5)</f>
        <v>5740.0568699769601</v>
      </c>
      <c r="X535">
        <f>X534+(V534*Graph!$D$5)</f>
        <v>-4201.7782935968189</v>
      </c>
      <c r="Y535">
        <f>Y534+(W534*Graph!$D$5)+(U534*Graph!$D$5^2)</f>
        <v>-4201.2439543628816</v>
      </c>
      <c r="Z535">
        <f>Z534+(X534*Graph!$D$5)+(V534*Graph!$D$5^2)</f>
        <v>-30406.279433016713</v>
      </c>
    </row>
    <row r="536" spans="14:26" x14ac:dyDescent="0.35">
      <c r="N536">
        <f>N535+1</f>
        <v>533</v>
      </c>
      <c r="O536">
        <f>Graph!$D$22*((Graph!$D$18-Y536)/POWER((((Graph!$D$18-$Y536)^2)+((Graph!$E$18-$Z536)^2))+(Graph!$D$23^2),(3/2)))</f>
        <v>91.290849267125964</v>
      </c>
      <c r="P536" s="84">
        <f>Graph!$D$22*((Graph!$E$18-Z536)/POWER((((Graph!$D$18-$Y536)^2)+((Graph!$E$18-$Z536)^2))+(Graph!$D$23^2),3/2))</f>
        <v>236.73643402986059</v>
      </c>
      <c r="Q536">
        <f>Graph!$D$31*((Graph!$D$27-Y536)/POWER((((Graph!$D$27-$Y536)^2)+((Graph!$E$27-$Z536)^2))+(Graph!$D$32^2),3/2))</f>
        <v>-34.365159887801518</v>
      </c>
      <c r="R536">
        <f>Graph!$D$31*((Graph!$E$27-Z536)/POWER((((Graph!$D$27-$Y536)^2)+((Graph!$E$27-$Z536)^2))+(Graph!$D$32^2),3/2))</f>
        <v>76.746454255379504</v>
      </c>
      <c r="S536">
        <f>Graph!$D$40*((Graph!$D$36-Y536)/POWER((((Graph!$D$36-$Y536)^2)+((Graph!$E$36-$Z536)^2))+(Graph!$D$41^2),3/2))</f>
        <v>111.73870375215273</v>
      </c>
      <c r="T536">
        <f>Graph!$D$40*((Graph!$E$36-Z536)/POWER((((Graph!$D$36-$Y536)^2)+((Graph!$E$36-$Z536)^2))+(Graph!$D$41^2),3/2))</f>
        <v>1589.4328422509079</v>
      </c>
      <c r="U536">
        <f>O536+Q536+S536</f>
        <v>168.66439313147717</v>
      </c>
      <c r="V536">
        <f>P536+R536+T536</f>
        <v>1902.915730536148</v>
      </c>
      <c r="W536">
        <f>W535+(U535*Graph!$D$5)</f>
        <v>6012.7090137810192</v>
      </c>
      <c r="X536">
        <f>X535+(V535*Graph!$D$5)</f>
        <v>-3180.9718784117772</v>
      </c>
      <c r="Y536">
        <f>Y535+(W535*Graph!$D$5)+(U535*Graph!$D$5^2)</f>
        <v>-1194.8894474723722</v>
      </c>
      <c r="Z536">
        <f>Z535+(X535*Graph!$D$5)+(V535*Graph!$D$5^2)</f>
        <v>-31996.765372222602</v>
      </c>
    </row>
    <row r="537" spans="14:26" x14ac:dyDescent="0.35">
      <c r="N537">
        <f>N536+1</f>
        <v>534</v>
      </c>
      <c r="O537">
        <f>Graph!$D$22*((Graph!$D$18-Y537)/POWER((((Graph!$D$18-$Y537)^2)+((Graph!$E$18-$Z537)^2))+(Graph!$D$23^2),(3/2)))</f>
        <v>73.813095706385326</v>
      </c>
      <c r="P537" s="84">
        <f>Graph!$D$22*((Graph!$E$18-Z537)/POWER((((Graph!$D$18-$Y537)^2)+((Graph!$E$18-$Z537)^2))+(Graph!$D$23^2),3/2))</f>
        <v>242.05885028534126</v>
      </c>
      <c r="Q537">
        <f>Graph!$D$31*((Graph!$D$27-Y537)/POWER((((Graph!$D$27-$Y537)^2)+((Graph!$E$27-$Z537)^2))+(Graph!$D$32^2),3/2))</f>
        <v>-34.486463256367436</v>
      </c>
      <c r="R537">
        <f>Graph!$D$31*((Graph!$E$27-Z537)/POWER((((Graph!$D$27-$Y537)^2)+((Graph!$E$27-$Z537)^2))+(Graph!$D$32^2),3/2))</f>
        <v>68.032809820643294</v>
      </c>
      <c r="S537">
        <f>Graph!$D$40*((Graph!$D$36-Y537)/POWER((((Graph!$D$36-$Y537)^2)+((Graph!$E$36-$Z537)^2))+(Graph!$D$41^2),3/2))</f>
        <v>-144.2115042092687</v>
      </c>
      <c r="T537">
        <f>Graph!$D$40*((Graph!$E$36-Z537)/POWER((((Graph!$D$36-$Y537)^2)+((Graph!$E$36-$Z537)^2))+(Graph!$D$41^2),3/2))</f>
        <v>1409.0666716053775</v>
      </c>
      <c r="U537">
        <f>O537+Q537+S537</f>
        <v>-104.88487175925081</v>
      </c>
      <c r="V537">
        <f>P537+R537+T537</f>
        <v>1719.1583317113621</v>
      </c>
      <c r="W537">
        <f>W536+(U536*Graph!$D$5)</f>
        <v>6097.0412103467579</v>
      </c>
      <c r="X537">
        <f>X536+(V536*Graph!$D$5)</f>
        <v>-2229.5140131437033</v>
      </c>
      <c r="Y537">
        <f>Y536+(W536*Graph!$D$5)+(U536*Graph!$D$5^2)</f>
        <v>1853.6311577010067</v>
      </c>
      <c r="Z537">
        <f>Z536+(X536*Graph!$D$5)+(V536*Graph!$D$5^2)</f>
        <v>-33111.522378794449</v>
      </c>
    </row>
    <row r="538" spans="14:26" x14ac:dyDescent="0.35">
      <c r="N538">
        <f>N537+1</f>
        <v>535</v>
      </c>
      <c r="O538">
        <f>Graph!$D$22*((Graph!$D$18-Y538)/POWER((((Graph!$D$18-$Y538)^2)+((Graph!$E$18-$Z538)^2))+(Graph!$D$23^2),(3/2)))</f>
        <v>57.294552863898524</v>
      </c>
      <c r="P538" s="84">
        <f>Graph!$D$22*((Graph!$E$18-Z538)/POWER((((Graph!$D$18-$Y538)^2)+((Graph!$E$18-$Z538)^2))+(Graph!$D$23^2),3/2))</f>
        <v>247.85490769065322</v>
      </c>
      <c r="Q538">
        <f>Graph!$D$31*((Graph!$D$27-Y538)/POWER((((Graph!$D$27-$Y538)^2)+((Graph!$E$27-$Z538)^2))+(Graph!$D$32^2),3/2))</f>
        <v>-34.711040650538003</v>
      </c>
      <c r="R538">
        <f>Graph!$D$31*((Graph!$E$27-Z538)/POWER((((Graph!$D$27-$Y538)^2)+((Graph!$E$27-$Z538)^2))+(Graph!$D$32^2),3/2))</f>
        <v>61.11215558900463</v>
      </c>
      <c r="S538">
        <f>Graph!$D$40*((Graph!$D$36-Y538)/POWER((((Graph!$D$36-$Y538)^2)+((Graph!$E$36-$Z538)^2))+(Graph!$D$41^2),3/2))</f>
        <v>-316.65256257272313</v>
      </c>
      <c r="T538">
        <f>Graph!$D$40*((Graph!$E$36-Z538)/POWER((((Graph!$D$36-$Y538)^2)+((Graph!$E$36-$Z538)^2))+(Graph!$D$41^2),3/2))</f>
        <v>1220.6811824867907</v>
      </c>
      <c r="U538">
        <f>O538+Q538+S538</f>
        <v>-294.06905035936262</v>
      </c>
      <c r="V538">
        <f>P538+R538+T538</f>
        <v>1529.6482457664486</v>
      </c>
      <c r="W538">
        <f>W537+(U537*Graph!$D$5)</f>
        <v>6044.5987744671329</v>
      </c>
      <c r="X538">
        <f>X537+(V537*Graph!$D$5)</f>
        <v>-1369.9348472880224</v>
      </c>
      <c r="Y538">
        <f>Y537+(W537*Graph!$D$5)+(U537*Graph!$D$5^2)</f>
        <v>4875.9305449345729</v>
      </c>
      <c r="Z538">
        <f>Z537+(X537*Graph!$D$5)+(V537*Graph!$D$5^2)</f>
        <v>-33796.48980243846</v>
      </c>
    </row>
    <row r="539" spans="14:26" x14ac:dyDescent="0.35">
      <c r="N539">
        <f>N538+1</f>
        <v>536</v>
      </c>
      <c r="O539">
        <f>Graph!$D$22*((Graph!$D$18-Y539)/POWER((((Graph!$D$18-$Y539)^2)+((Graph!$E$18-$Z539)^2))+(Graph!$D$23^2),(3/2)))</f>
        <v>41.344770929789711</v>
      </c>
      <c r="P539" s="84">
        <f>Graph!$D$22*((Graph!$E$18-Z539)/POWER((((Graph!$D$18-$Y539)^2)+((Graph!$E$18-$Z539)^2))+(Graph!$D$23^2),3/2))</f>
        <v>254.10340193963651</v>
      </c>
      <c r="Q539">
        <f>Graph!$D$31*((Graph!$D$27-Y539)/POWER((((Graph!$D$27-$Y539)^2)+((Graph!$E$27-$Z539)^2))+(Graph!$D$32^2),3/2))</f>
        <v>-35.010270004295698</v>
      </c>
      <c r="R539">
        <f>Graph!$D$31*((Graph!$E$27-Z539)/POWER((((Graph!$D$27-$Y539)^2)+((Graph!$E$27-$Z539)^2))+(Graph!$D$32^2),3/2))</f>
        <v>55.487346679188768</v>
      </c>
      <c r="S539">
        <f>Graph!$D$40*((Graph!$D$36-Y539)/POWER((((Graph!$D$36-$Y539)^2)+((Graph!$E$36-$Z539)^2))+(Graph!$D$41^2),3/2))</f>
        <v>-427.76249804282287</v>
      </c>
      <c r="T539">
        <f>Graph!$D$40*((Graph!$E$36-Z539)/POWER((((Graph!$D$36-$Y539)^2)+((Graph!$E$36-$Z539)^2))+(Graph!$D$41^2),3/2))</f>
        <v>1044.1093002204479</v>
      </c>
      <c r="U539">
        <f>O539+Q539+S539</f>
        <v>-421.42799711732886</v>
      </c>
      <c r="V539">
        <f>P539+R539+T539</f>
        <v>1353.7000488392732</v>
      </c>
      <c r="W539">
        <f>W538+(U538*Graph!$D$5)</f>
        <v>5897.5642492874513</v>
      </c>
      <c r="X539">
        <f>X538+(V538*Graph!$D$5)</f>
        <v>-605.11072440479813</v>
      </c>
      <c r="Y539">
        <f>Y538+(W538*Graph!$D$5)+(U538*Graph!$D$5^2)</f>
        <v>7824.712669578299</v>
      </c>
      <c r="Z539">
        <f>Z538+(X538*Graph!$D$5)+(V538*Graph!$D$5^2)</f>
        <v>-34099.045164640862</v>
      </c>
    </row>
    <row r="540" spans="14:26" x14ac:dyDescent="0.35">
      <c r="N540">
        <f>N539+1</f>
        <v>537</v>
      </c>
      <c r="O540">
        <f>Graph!$D$22*((Graph!$D$18-Y540)/POWER((((Graph!$D$18-$Y540)^2)+((Graph!$E$18-$Z540)^2))+(Graph!$D$23^2),(3/2)))</f>
        <v>25.640394394017466</v>
      </c>
      <c r="P540" s="84">
        <f>Graph!$D$22*((Graph!$E$18-Z540)/POWER((((Graph!$D$18-$Y540)^2)+((Graph!$E$18-$Z540)^2))+(Graph!$D$23^2),3/2))</f>
        <v>260.81097342593529</v>
      </c>
      <c r="Q540">
        <f>Graph!$D$31*((Graph!$D$27-Y540)/POWER((((Graph!$D$27-$Y540)^2)+((Graph!$E$27-$Z540)^2))+(Graph!$D$32^2),3/2))</f>
        <v>-35.371542768965831</v>
      </c>
      <c r="R540">
        <f>Graph!$D$31*((Graph!$E$27-Z540)/POWER((((Graph!$D$27-$Y540)^2)+((Graph!$E$27-$Z540)^2))+(Graph!$D$32^2),3/2))</f>
        <v>50.820904342921075</v>
      </c>
      <c r="S540">
        <f>Graph!$D$40*((Graph!$D$36-Y540)/POWER((((Graph!$D$36-$Y540)^2)+((Graph!$E$36-$Z540)^2))+(Graph!$D$41^2),3/2))</f>
        <v>-496.3113916644196</v>
      </c>
      <c r="T540">
        <f>Graph!$D$40*((Graph!$E$36-Z540)/POWER((((Graph!$D$36-$Y540)^2)+((Graph!$E$36-$Z540)^2))+(Graph!$D$41^2),3/2))</f>
        <v>886.87185627617214</v>
      </c>
      <c r="U540">
        <f>O540+Q540+S540</f>
        <v>-506.04254003936796</v>
      </c>
      <c r="V540">
        <f>P540+R540+T540</f>
        <v>1198.5037340450285</v>
      </c>
      <c r="W540">
        <f>W539+(U539*Graph!$D$5)</f>
        <v>5686.8502507287867</v>
      </c>
      <c r="X540">
        <f>X539+(V539*Graph!$D$5)</f>
        <v>71.739300014838477</v>
      </c>
      <c r="Y540">
        <f>Y539+(W539*Graph!$D$5)+(U539*Graph!$D$5^2)</f>
        <v>10668.137794942691</v>
      </c>
      <c r="Z540">
        <f>Z539+(X539*Graph!$D$5)+(V539*Graph!$D$5^2)</f>
        <v>-34063.175514633447</v>
      </c>
    </row>
    <row r="541" spans="14:26" x14ac:dyDescent="0.35">
      <c r="N541">
        <f>N540+1</f>
        <v>538</v>
      </c>
      <c r="O541">
        <f>Graph!$D$22*((Graph!$D$18-Y541)/POWER((((Graph!$D$18-$Y541)^2)+((Graph!$E$18-$Z541)^2))+(Graph!$D$23^2),(3/2)))</f>
        <v>9.8980394047547531</v>
      </c>
      <c r="P541" s="84">
        <f>Graph!$D$22*((Graph!$E$18-Z541)/POWER((((Graph!$D$18-$Y541)^2)+((Graph!$E$18-$Z541)^2))+(Graph!$D$23^2),3/2))</f>
        <v>268.00762346435556</v>
      </c>
      <c r="Q541">
        <f>Graph!$D$31*((Graph!$D$27-Y541)/POWER((((Graph!$D$27-$Y541)^2)+((Graph!$E$27-$Z541)^2))+(Graph!$D$32^2),3/2))</f>
        <v>-35.790316244108269</v>
      </c>
      <c r="R541">
        <f>Graph!$D$31*((Graph!$E$27-Z541)/POWER((((Graph!$D$27-$Y541)^2)+((Graph!$E$27-$Z541)^2))+(Graph!$D$32^2),3/2))</f>
        <v>46.878090229769725</v>
      </c>
      <c r="S541">
        <f>Graph!$D$40*((Graph!$D$36-Y541)/POWER((((Graph!$D$36-$Y541)^2)+((Graph!$E$36-$Z541)^2))+(Graph!$D$41^2),3/2))</f>
        <v>-536.18355372219355</v>
      </c>
      <c r="T541">
        <f>Graph!$D$40*((Graph!$E$36-Z541)/POWER((((Graph!$D$36-$Y541)^2)+((Graph!$E$36-$Z541)^2))+(Graph!$D$41^2),3/2))</f>
        <v>750.20057930344706</v>
      </c>
      <c r="U541">
        <f>O541+Q541+S541</f>
        <v>-562.07583056154704</v>
      </c>
      <c r="V541">
        <f>P541+R541+T541</f>
        <v>1065.0862929975724</v>
      </c>
      <c r="W541">
        <f>W540+(U540*Graph!$D$5)</f>
        <v>5433.8289807091023</v>
      </c>
      <c r="X541">
        <f>X540+(V540*Graph!$D$5)</f>
        <v>670.99116703735274</v>
      </c>
      <c r="Y541">
        <f>Y540+(W540*Graph!$D$5)+(U540*Graph!$D$5^2)</f>
        <v>13385.052285297244</v>
      </c>
      <c r="Z541">
        <f>Z540+(X540*Graph!$D$5)+(V540*Graph!$D$5^2)</f>
        <v>-33727.67993111477</v>
      </c>
    </row>
    <row r="542" spans="14:26" x14ac:dyDescent="0.35">
      <c r="N542">
        <f>N541+1</f>
        <v>539</v>
      </c>
      <c r="O542">
        <f>Graph!$D$22*((Graph!$D$18-Y542)/POWER((((Graph!$D$18-$Y542)^2)+((Graph!$E$18-$Z542)^2))+(Graph!$D$23^2),(3/2)))</f>
        <v>-6.1474031309363051</v>
      </c>
      <c r="P542" s="84">
        <f>Graph!$D$22*((Graph!$E$18-Z542)/POWER((((Graph!$D$18-$Y542)^2)+((Graph!$E$18-$Z542)^2))+(Graph!$D$23^2),3/2))</f>
        <v>275.74286013966372</v>
      </c>
      <c r="Q542">
        <f>Graph!$D$31*((Graph!$D$27-Y542)/POWER((((Graph!$D$27-$Y542)^2)+((Graph!$E$27-$Z542)^2))+(Graph!$D$32^2),3/2))</f>
        <v>-36.266317637363159</v>
      </c>
      <c r="R542">
        <f>Graph!$D$31*((Graph!$E$27-Z542)/POWER((((Graph!$D$27-$Y542)^2)+((Graph!$E$27-$Z542)^2))+(Graph!$D$32^2),3/2))</f>
        <v>43.491520669318852</v>
      </c>
      <c r="S542">
        <f>Graph!$D$40*((Graph!$D$36-Y542)/POWER((((Graph!$D$36-$Y542)^2)+((Graph!$E$36-$Z542)^2))+(Graph!$D$41^2),3/2))</f>
        <v>-557.02729619884099</v>
      </c>
      <c r="T542">
        <f>Graph!$D$40*((Graph!$E$36-Z542)/POWER((((Graph!$D$36-$Y542)^2)+((Graph!$E$36-$Z542)^2))+(Graph!$D$41^2),3/2))</f>
        <v>632.56343026959087</v>
      </c>
      <c r="U542">
        <f>O542+Q542+S542</f>
        <v>-599.4410169671404</v>
      </c>
      <c r="V542">
        <f>P542+R542+T542</f>
        <v>951.79781107857343</v>
      </c>
      <c r="W542">
        <f>W541+(U541*Graph!$D$5)</f>
        <v>5152.7910654283287</v>
      </c>
      <c r="X542">
        <f>X541+(V541*Graph!$D$5)</f>
        <v>1203.5343135361391</v>
      </c>
      <c r="Y542">
        <f>Y541+(W541*Graph!$D$5)+(U541*Graph!$D$5^2)</f>
        <v>15961.447818011409</v>
      </c>
      <c r="Z542">
        <f>Z541+(X541*Graph!$D$5)+(V541*Graph!$D$5^2)</f>
        <v>-33125.912774346696</v>
      </c>
    </row>
    <row r="543" spans="14:26" x14ac:dyDescent="0.35">
      <c r="N543">
        <f>N542+1</f>
        <v>540</v>
      </c>
      <c r="O543">
        <f>Graph!$D$22*((Graph!$D$18-Y543)/POWER((((Graph!$D$18-$Y543)^2)+((Graph!$E$18-$Z543)^2))+(Graph!$D$23^2),(3/2)))</f>
        <v>-22.760828172804544</v>
      </c>
      <c r="P543" s="84">
        <f>Graph!$D$22*((Graph!$E$18-Z543)/POWER((((Graph!$D$18-$Y543)^2)+((Graph!$E$18-$Z543)^2))+(Graph!$D$23^2),3/2))</f>
        <v>284.08313075340334</v>
      </c>
      <c r="Q543">
        <f>Graph!$D$31*((Graph!$D$27-Y543)/POWER((((Graph!$D$27-$Y543)^2)+((Graph!$E$27-$Z543)^2))+(Graph!$D$32^2),3/2))</f>
        <v>-36.801719263894398</v>
      </c>
      <c r="R543">
        <f>Graph!$D$31*((Graph!$E$27-Z543)/POWER((((Graph!$D$27-$Y543)^2)+((Graph!$E$27-$Z543)^2))+(Graph!$D$32^2),3/2))</f>
        <v>40.538850819120299</v>
      </c>
      <c r="S543">
        <f>Graph!$D$40*((Graph!$D$36-Y543)/POWER((((Graph!$D$36-$Y543)^2)+((Graph!$E$36-$Z543)^2))+(Graph!$D$41^2),3/2))</f>
        <v>-565.34574638914273</v>
      </c>
      <c r="T543">
        <f>Graph!$D$40*((Graph!$E$36-Z543)/POWER((((Graph!$D$36-$Y543)^2)+((Graph!$E$36-$Z543)^2))+(Graph!$D$41^2),3/2))</f>
        <v>531.47087539425877</v>
      </c>
      <c r="U543">
        <f>O543+Q543+S543</f>
        <v>-624.90829382584172</v>
      </c>
      <c r="V543">
        <f>P543+R543+T543</f>
        <v>856.09285696678239</v>
      </c>
      <c r="W543">
        <f>W542+(U542*Graph!$D$5)</f>
        <v>4853.0705569447582</v>
      </c>
      <c r="X543">
        <f>X542+(V542*Graph!$D$5)</f>
        <v>1679.4332190754258</v>
      </c>
      <c r="Y543">
        <f>Y542+(W542*Graph!$D$5)+(U542*Graph!$D$5^2)</f>
        <v>18387.983096483786</v>
      </c>
      <c r="Z543">
        <f>Z542+(X542*Graph!$D$5)+(V542*Graph!$D$5^2)</f>
        <v>-32286.196164808982</v>
      </c>
    </row>
    <row r="544" spans="14:26" x14ac:dyDescent="0.35">
      <c r="N544">
        <f>N543+1</f>
        <v>541</v>
      </c>
      <c r="O544">
        <f>Graph!$D$22*((Graph!$D$18-Y544)/POWER((((Graph!$D$18-$Y544)^2)+((Graph!$E$18-$Z544)^2))+(Graph!$D$23^2),(3/2)))</f>
        <v>-40.223276803549027</v>
      </c>
      <c r="P544" s="84">
        <f>Graph!$D$22*((Graph!$E$18-Z544)/POWER((((Graph!$D$18-$Y544)^2)+((Graph!$E$18-$Z544)^2))+(Graph!$D$23^2),3/2))</f>
        <v>293.11048447716064</v>
      </c>
      <c r="Q544">
        <f>Graph!$D$31*((Graph!$D$27-Y544)/POWER((((Graph!$D$27-$Y544)^2)+((Graph!$E$27-$Z544)^2))+(Graph!$D$32^2),3/2))</f>
        <v>-37.400276057202461</v>
      </c>
      <c r="R544">
        <f>Graph!$D$31*((Graph!$E$27-Z544)/POWER((((Graph!$D$27-$Y544)^2)+((Graph!$E$27-$Z544)^2))+(Graph!$D$32^2),3/2))</f>
        <v>37.928432314964809</v>
      </c>
      <c r="S544">
        <f>Graph!$D$40*((Graph!$D$36-Y544)/POWER((((Graph!$D$36-$Y544)^2)+((Graph!$E$36-$Z544)^2))+(Graph!$D$41^2),3/2))</f>
        <v>-565.45658083479395</v>
      </c>
      <c r="T544">
        <f>Graph!$D$40*((Graph!$E$36-Z544)/POWER((((Graph!$D$36-$Y544)^2)+((Graph!$E$36-$Z544)^2))+(Graph!$D$41^2),3/2))</f>
        <v>444.31309091291166</v>
      </c>
      <c r="U544">
        <f>O544+Q544+S544</f>
        <v>-643.08013369554544</v>
      </c>
      <c r="V544">
        <f>P544+R544+T544</f>
        <v>775.35200770503707</v>
      </c>
      <c r="W544">
        <f>W543+(U543*Graph!$D$5)</f>
        <v>4540.6164100318374</v>
      </c>
      <c r="X544">
        <f>X543+(V543*Graph!$D$5)</f>
        <v>2107.4796475588169</v>
      </c>
      <c r="Y544">
        <f>Y543+(W543*Graph!$D$5)+(U543*Graph!$D$5^2)</f>
        <v>20658.291301499707</v>
      </c>
      <c r="Z544">
        <f>Z543+(X543*Graph!$D$5)+(V543*Graph!$D$5^2)</f>
        <v>-31232.45634102957</v>
      </c>
    </row>
    <row r="545" spans="14:26" x14ac:dyDescent="0.35">
      <c r="N545">
        <f>N544+1</f>
        <v>542</v>
      </c>
      <c r="O545">
        <f>Graph!$D$22*((Graph!$D$18-Y545)/POWER((((Graph!$D$18-$Y545)^2)+((Graph!$E$18-$Z545)^2))+(Graph!$D$23^2),(3/2)))</f>
        <v>-58.848447356948995</v>
      </c>
      <c r="P545" s="84">
        <f>Graph!$D$22*((Graph!$E$18-Z545)/POWER((((Graph!$D$18-$Y545)^2)+((Graph!$E$18-$Z545)^2))+(Graph!$D$23^2),3/2))</f>
        <v>302.92220324019081</v>
      </c>
      <c r="Q545">
        <f>Graph!$D$31*((Graph!$D$27-Y545)/POWER((((Graph!$D$27-$Y545)^2)+((Graph!$E$27-$Z545)^2))+(Graph!$D$32^2),3/2))</f>
        <v>-38.066951325808972</v>
      </c>
      <c r="R545">
        <f>Graph!$D$31*((Graph!$E$27-Z545)/POWER((((Graph!$D$27-$Y545)^2)+((Graph!$E$27-$Z545)^2))+(Graph!$D$32^2),3/2))</f>
        <v>35.589891817373662</v>
      </c>
      <c r="S545">
        <f>Graph!$D$40*((Graph!$D$36-Y545)/POWER((((Graph!$D$36-$Y545)^2)+((Graph!$E$36-$Z545)^2))+(Graph!$D$41^2),3/2))</f>
        <v>-560.2033980020949</v>
      </c>
      <c r="T545">
        <f>Graph!$D$40*((Graph!$E$36-Z545)/POWER((((Graph!$D$36-$Y545)^2)+((Graph!$E$36-$Z545)^2))+(Graph!$D$41^2),3/2))</f>
        <v>368.70356363368808</v>
      </c>
      <c r="U545">
        <f>O545+Q545+S545</f>
        <v>-657.1187966848529</v>
      </c>
      <c r="V545">
        <f>P545+R545+T545</f>
        <v>707.21565869125254</v>
      </c>
      <c r="W545">
        <f>W544+(U544*Graph!$D$5)</f>
        <v>4219.0763431840651</v>
      </c>
      <c r="X545">
        <f>X544+(V544*Graph!$D$5)</f>
        <v>2495.1556514113354</v>
      </c>
      <c r="Y545">
        <f>Y544+(W544*Graph!$D$5)+(U544*Graph!$D$5^2)</f>
        <v>22767.829473091737</v>
      </c>
      <c r="Z545">
        <f>Z544+(X544*Graph!$D$5)+(V544*Graph!$D$5^2)</f>
        <v>-29984.878515323904</v>
      </c>
    </row>
    <row r="546" spans="14:26" x14ac:dyDescent="0.35">
      <c r="N546">
        <f>N545+1</f>
        <v>543</v>
      </c>
      <c r="O546">
        <f>Graph!$D$22*((Graph!$D$18-Y546)/POWER((((Graph!$D$18-$Y546)^2)+((Graph!$E$18-$Z546)^2))+(Graph!$D$23^2),(3/2)))</f>
        <v>-79.001220965922144</v>
      </c>
      <c r="P546" s="84">
        <f>Graph!$D$22*((Graph!$E$18-Z546)/POWER((((Graph!$D$18-$Y546)^2)+((Graph!$E$18-$Z546)^2))+(Graph!$D$23^2),3/2))</f>
        <v>313.63108656712956</v>
      </c>
      <c r="Q546">
        <f>Graph!$D$31*((Graph!$D$27-Y546)/POWER((((Graph!$D$27-$Y546)^2)+((Graph!$E$27-$Z546)^2))+(Graph!$D$32^2),3/2))</f>
        <v>-38.807805593856067</v>
      </c>
      <c r="R546">
        <f>Graph!$D$31*((Graph!$E$27-Z546)/POWER((((Graph!$D$27-$Y546)^2)+((Graph!$E$27-$Z546)^2))+(Graph!$D$32^2),3/2))</f>
        <v>33.467790555377661</v>
      </c>
      <c r="S546">
        <f>Graph!$D$40*((Graph!$D$36-Y546)/POWER((((Graph!$D$36-$Y546)^2)+((Graph!$E$36-$Z546)^2))+(Graph!$D$41^2),3/2))</f>
        <v>-551.44703354347848</v>
      </c>
      <c r="T546">
        <f>Graph!$D$40*((Graph!$E$36-Z546)/POWER((((Graph!$D$36-$Y546)^2)+((Graph!$E$36-$Z546)^2))+(Graph!$D$41^2),3/2))</f>
        <v>302.58848009632931</v>
      </c>
      <c r="U546">
        <f>O546+Q546+S546</f>
        <v>-669.25606010325669</v>
      </c>
      <c r="V546">
        <f>P546+R546+T546</f>
        <v>649.6873572188365</v>
      </c>
      <c r="W546">
        <f>W545+(U545*Graph!$D$5)</f>
        <v>3890.5169448416386</v>
      </c>
      <c r="X546">
        <f>X545+(V545*Graph!$D$5)</f>
        <v>2848.7634807569616</v>
      </c>
      <c r="Y546">
        <f>Y545+(W545*Graph!$D$5)+(U545*Graph!$D$5^2)</f>
        <v>24713.087945512558</v>
      </c>
      <c r="Z546">
        <f>Z545+(X545*Graph!$D$5)+(V545*Graph!$D$5^2)</f>
        <v>-28560.496774945426</v>
      </c>
    </row>
    <row r="547" spans="14:26" x14ac:dyDescent="0.35">
      <c r="N547">
        <f>N546+1</f>
        <v>544</v>
      </c>
      <c r="O547">
        <f>Graph!$D$22*((Graph!$D$18-Y547)/POWER((((Graph!$D$18-$Y547)^2)+((Graph!$E$18-$Z547)^2))+(Graph!$D$23^2),(3/2)))</f>
        <v>-101.12031440561042</v>
      </c>
      <c r="P547" s="84">
        <f>Graph!$D$22*((Graph!$E$18-Z547)/POWER((((Graph!$D$18-$Y547)^2)+((Graph!$E$18-$Z547)^2))+(Graph!$D$23^2),3/2))</f>
        <v>325.36602017547824</v>
      </c>
      <c r="Q547">
        <f>Graph!$D$31*((Graph!$D$27-Y547)/POWER((((Graph!$D$27-$Y547)^2)+((Graph!$E$27-$Z547)^2))+(Graph!$D$32^2),3/2))</f>
        <v>-39.630042808094849</v>
      </c>
      <c r="R547">
        <f>Graph!$D$31*((Graph!$E$27-Z547)/POWER((((Graph!$D$27-$Y547)^2)+((Graph!$E$27-$Z547)^2))+(Graph!$D$32^2),3/2))</f>
        <v>31.517240387416511</v>
      </c>
      <c r="S547">
        <f>Graph!$D$40*((Graph!$D$36-Y547)/POWER((((Graph!$D$36-$Y547)^2)+((Graph!$E$36-$Z547)^2))+(Graph!$D$41^2),3/2))</f>
        <v>-540.39424664204387</v>
      </c>
      <c r="T547">
        <f>Graph!$D$40*((Graph!$E$36-Z547)/POWER((((Graph!$D$36-$Y547)^2)+((Graph!$E$36-$Z547)^2))+(Graph!$D$41^2),3/2))</f>
        <v>244.25302930309815</v>
      </c>
      <c r="U547">
        <f>O547+Q547+S547</f>
        <v>-681.1446038557491</v>
      </c>
      <c r="V547">
        <f>P547+R547+T547</f>
        <v>601.13628986599292</v>
      </c>
      <c r="W547">
        <f>W546+(U546*Graph!$D$5)</f>
        <v>3555.8889147900104</v>
      </c>
      <c r="X547">
        <f>X546+(V546*Graph!$D$5)</f>
        <v>3173.6071593663801</v>
      </c>
      <c r="Y547">
        <f>Y546+(W546*Graph!$D$5)+(U546*Graph!$D$5^2)</f>
        <v>26491.032402907564</v>
      </c>
      <c r="Z547">
        <f>Z546+(X546*Graph!$D$5)+(V546*Graph!$D$5^2)</f>
        <v>-26973.693195262236</v>
      </c>
    </row>
    <row r="548" spans="14:26" x14ac:dyDescent="0.35">
      <c r="N548">
        <f>N547+1</f>
        <v>545</v>
      </c>
      <c r="O548">
        <f>Graph!$D$22*((Graph!$D$18-Y548)/POWER((((Graph!$D$18-$Y548)^2)+((Graph!$E$18-$Z548)^2))+(Graph!$D$23^2),(3/2)))</f>
        <v>-125.74776360079051</v>
      </c>
      <c r="P548" s="84">
        <f>Graph!$D$22*((Graph!$E$18-Z548)/POWER((((Graph!$D$18-$Y548)^2)+((Graph!$E$18-$Z548)^2))+(Graph!$D$23^2),3/2))</f>
        <v>338.27230845069278</v>
      </c>
      <c r="Q548">
        <f>Graph!$D$31*((Graph!$D$27-Y548)/POWER((((Graph!$D$27-$Y548)^2)+((Graph!$E$27-$Z548)^2))+(Graph!$D$32^2),3/2))</f>
        <v>-40.542168469508226</v>
      </c>
      <c r="R548">
        <f>Graph!$D$31*((Graph!$E$27-Z548)/POWER((((Graph!$D$27-$Y548)^2)+((Graph!$E$27-$Z548)^2))+(Graph!$D$32^2),3/2))</f>
        <v>29.700775159460044</v>
      </c>
      <c r="S548">
        <f>Graph!$D$40*((Graph!$D$36-Y548)/POWER((((Graph!$D$36-$Y548)^2)+((Graph!$E$36-$Z548)^2))+(Graph!$D$41^2),3/2))</f>
        <v>-527.81465687061041</v>
      </c>
      <c r="T548">
        <f>Graph!$D$40*((Graph!$E$36-Z548)/POWER((((Graph!$D$36-$Y548)^2)+((Graph!$E$36-$Z548)^2))+(Graph!$D$41^2),3/2))</f>
        <v>192.28762286998787</v>
      </c>
      <c r="U548">
        <f>O548+Q548+S548</f>
        <v>-694.10458894090914</v>
      </c>
      <c r="V548">
        <f>P548+R548+T548</f>
        <v>560.2607064801407</v>
      </c>
      <c r="W548">
        <f>W547+(U547*Graph!$D$5)</f>
        <v>3215.316612862136</v>
      </c>
      <c r="X548">
        <f>X547+(V547*Graph!$D$5)</f>
        <v>3474.1753042993764</v>
      </c>
      <c r="Y548">
        <f>Y547+(W547*Graph!$D$5)+(U547*Graph!$D$5^2)</f>
        <v>28098.690709338633</v>
      </c>
      <c r="Z548">
        <f>Z547+(X547*Graph!$D$5)+(V547*Graph!$D$5^2)</f>
        <v>-25236.60554311255</v>
      </c>
    </row>
    <row r="549" spans="14:26" x14ac:dyDescent="0.35">
      <c r="N549">
        <f>N548+1</f>
        <v>546</v>
      </c>
      <c r="O549">
        <f>Graph!$D$22*((Graph!$D$18-Y549)/POWER((((Graph!$D$18-$Y549)^2)+((Graph!$E$18-$Z549)^2))+(Graph!$D$23^2),(3/2)))</f>
        <v>-153.56902369678801</v>
      </c>
      <c r="P549" s="84">
        <f>Graph!$D$22*((Graph!$E$18-Z549)/POWER((((Graph!$D$18-$Y549)^2)+((Graph!$E$18-$Z549)^2))+(Graph!$D$23^2),3/2))</f>
        <v>352.5109079456775</v>
      </c>
      <c r="Q549">
        <f>Graph!$D$31*((Graph!$D$27-Y549)/POWER((((Graph!$D$27-$Y549)^2)+((Graph!$E$27-$Z549)^2))+(Graph!$D$32^2),3/2))</f>
        <v>-41.554247756926543</v>
      </c>
      <c r="R549">
        <f>Graph!$D$31*((Graph!$E$27-Z549)/POWER((((Graph!$D$27-$Y549)^2)+((Graph!$E$27-$Z549)^2))+(Graph!$D$32^2),3/2))</f>
        <v>27.986027907322693</v>
      </c>
      <c r="S549">
        <f>Graph!$D$40*((Graph!$D$36-Y549)/POWER((((Graph!$D$36-$Y549)^2)+((Graph!$E$36-$Z549)^2))+(Graph!$D$41^2),3/2))</f>
        <v>-514.18335332680999</v>
      </c>
      <c r="T549">
        <f>Graph!$D$40*((Graph!$E$36-Z549)/POWER((((Graph!$D$36-$Y549)^2)+((Graph!$E$36-$Z549)^2))+(Graph!$D$41^2),3/2))</f>
        <v>145.5428574427703</v>
      </c>
      <c r="U549">
        <f>O549+Q549+S549</f>
        <v>-709.30662478052454</v>
      </c>
      <c r="V549">
        <f>P549+R549+T549</f>
        <v>526.03979329577055</v>
      </c>
      <c r="W549">
        <f>W548+(U548*Graph!$D$5)</f>
        <v>2868.2643183916816</v>
      </c>
      <c r="X549">
        <f>X548+(V548*Graph!$D$5)</f>
        <v>3754.3056575394467</v>
      </c>
      <c r="Y549">
        <f>Y548+(W548*Graph!$D$5)+(U548*Graph!$D$5^2)</f>
        <v>29532.822868534473</v>
      </c>
      <c r="Z549">
        <f>Z548+(X548*Graph!$D$5)+(V548*Graph!$D$5^2)</f>
        <v>-23359.452714342828</v>
      </c>
    </row>
    <row r="550" spans="14:26" x14ac:dyDescent="0.35">
      <c r="N550">
        <f>N549+1</f>
        <v>547</v>
      </c>
      <c r="O550">
        <f>Graph!$D$22*((Graph!$D$18-Y550)/POWER((((Graph!$D$18-$Y550)^2)+((Graph!$E$18-$Z550)^2))+(Graph!$D$23^2),(3/2)))</f>
        <v>-185.46931114852708</v>
      </c>
      <c r="P550" s="84">
        <f>Graph!$D$22*((Graph!$E$18-Z550)/POWER((((Graph!$D$18-$Y550)^2)+((Graph!$E$18-$Z550)^2))+(Graph!$D$23^2),3/2))</f>
        <v>368.25498845217209</v>
      </c>
      <c r="Q550">
        <f>Graph!$D$31*((Graph!$D$27-Y550)/POWER((((Graph!$D$27-$Y550)^2)+((Graph!$E$27-$Z550)^2))+(Graph!$D$32^2),3/2))</f>
        <v>-42.67827425125077</v>
      </c>
      <c r="R550">
        <f>Graph!$D$31*((Graph!$E$27-Z550)/POWER((((Graph!$D$27-$Y550)^2)+((Graph!$E$27-$Z550)^2))+(Graph!$D$32^2),3/2))</f>
        <v>26.343914177666001</v>
      </c>
      <c r="S550">
        <f>Graph!$D$40*((Graph!$D$36-Y550)/POWER((((Graph!$D$36-$Y550)^2)+((Graph!$E$36-$Z550)^2))+(Graph!$D$41^2),3/2))</f>
        <v>-499.77474860857797</v>
      </c>
      <c r="T550">
        <f>Graph!$D$40*((Graph!$E$36-Z550)/POWER((((Graph!$D$36-$Y550)^2)+((Graph!$E$36-$Z550)^2))+(Graph!$D$41^2),3/2))</f>
        <v>103.08550678347572</v>
      </c>
      <c r="U550">
        <f>O550+Q550+S550</f>
        <v>-727.92233400835585</v>
      </c>
      <c r="V550">
        <f>P550+R550+T550</f>
        <v>497.6844094133138</v>
      </c>
      <c r="W550">
        <f>W549+(U549*Graph!$D$5)</f>
        <v>2513.6110060014194</v>
      </c>
      <c r="X550">
        <f>X549+(V549*Graph!$D$5)</f>
        <v>4017.3255541873318</v>
      </c>
      <c r="Y550">
        <f>Y549+(W549*Graph!$D$5)+(U549*Graph!$D$5^2)</f>
        <v>30789.628371535182</v>
      </c>
      <c r="Z550">
        <f>Z549+(X549*Graph!$D$5)+(V549*Graph!$D$5^2)</f>
        <v>-21350.789937249163</v>
      </c>
    </row>
    <row r="551" spans="14:26" x14ac:dyDescent="0.35">
      <c r="N551">
        <f>N550+1</f>
        <v>548</v>
      </c>
      <c r="O551">
        <f>Graph!$D$22*((Graph!$D$18-Y551)/POWER((((Graph!$D$18-$Y551)^2)+((Graph!$E$18-$Z551)^2))+(Graph!$D$23^2),(3/2)))</f>
        <v>-222.61488158395017</v>
      </c>
      <c r="P551" s="84">
        <f>Graph!$D$22*((Graph!$E$18-Z551)/POWER((((Graph!$D$18-$Y551)^2)+((Graph!$E$18-$Z551)^2))+(Graph!$D$23^2),3/2))</f>
        <v>385.68082000442814</v>
      </c>
      <c r="Q551">
        <f>Graph!$D$31*((Graph!$D$27-Y551)/POWER((((Graph!$D$27-$Y551)^2)+((Graph!$E$27-$Z551)^2))+(Graph!$D$32^2),3/2))</f>
        <v>-43.928680262316803</v>
      </c>
      <c r="R551">
        <f>Graph!$D$31*((Graph!$E$27-Z551)/POWER((((Graph!$D$27-$Y551)^2)+((Graph!$E$27-$Z551)^2))+(Graph!$D$32^2),3/2))</f>
        <v>24.747108780059886</v>
      </c>
      <c r="S551">
        <f>Graph!$D$40*((Graph!$D$36-Y551)/POWER((((Graph!$D$36-$Y551)^2)+((Graph!$E$36-$Z551)^2))+(Graph!$D$41^2),3/2))</f>
        <v>-484.7245963281697</v>
      </c>
      <c r="T551">
        <f>Graph!$D$40*((Graph!$E$36-Z551)/POWER((((Graph!$D$36-$Y551)^2)+((Graph!$E$36-$Z551)^2))+(Graph!$D$41^2),3/2))</f>
        <v>64.160079811389863</v>
      </c>
      <c r="U551">
        <f>O551+Q551+S551</f>
        <v>-751.26815817443662</v>
      </c>
      <c r="V551">
        <f>P551+R551+T551</f>
        <v>474.58800859587791</v>
      </c>
      <c r="W551">
        <f>W550+(U550*Graph!$D$5)</f>
        <v>2149.6498389972412</v>
      </c>
      <c r="X551">
        <f>X550+(V550*Graph!$D$5)</f>
        <v>4266.1677588939883</v>
      </c>
      <c r="Y551">
        <f>Y550+(W550*Graph!$D$5)+(U550*Graph!$D$5^2)</f>
        <v>31864.453291033802</v>
      </c>
      <c r="Z551">
        <f>Z550+(X550*Graph!$D$5)+(V550*Graph!$D$5^2)</f>
        <v>-19217.70605780217</v>
      </c>
    </row>
    <row r="552" spans="14:26" x14ac:dyDescent="0.35">
      <c r="N552">
        <f>N551+1</f>
        <v>549</v>
      </c>
      <c r="O552">
        <f>Graph!$D$22*((Graph!$D$18-Y552)/POWER((((Graph!$D$18-$Y552)^2)+((Graph!$E$18-$Z552)^2))+(Graph!$D$23^2),(3/2)))</f>
        <v>-266.57307186354296</v>
      </c>
      <c r="P552" s="84">
        <f>Graph!$D$22*((Graph!$E$18-Z552)/POWER((((Graph!$D$18-$Y552)^2)+((Graph!$E$18-$Z552)^2))+(Graph!$D$23^2),3/2))</f>
        <v>404.9471065663783</v>
      </c>
      <c r="Q552">
        <f>Graph!$D$31*((Graph!$D$27-Y552)/POWER((((Graph!$D$27-$Y552)^2)+((Graph!$E$27-$Z552)^2))+(Graph!$D$32^2),3/2))</f>
        <v>-45.323044622178578</v>
      </c>
      <c r="R552">
        <f>Graph!$D$31*((Graph!$E$27-Z552)/POWER((((Graph!$D$27-$Y552)^2)+((Graph!$E$27-$Z552)^2))+(Graph!$D$32^2),3/2))</f>
        <v>23.168649153246651</v>
      </c>
      <c r="S552">
        <f>Graph!$D$40*((Graph!$D$36-Y552)/POWER((((Graph!$D$36-$Y552)^2)+((Graph!$E$36-$Z552)^2))+(Graph!$D$41^2),3/2))</f>
        <v>-469.07122271622842</v>
      </c>
      <c r="T552">
        <f>Graph!$D$40*((Graph!$E$36-Z552)/POWER((((Graph!$D$36-$Y552)^2)+((Graph!$E$36-$Z552)^2))+(Graph!$D$41^2),3/2))</f>
        <v>28.156984353103187</v>
      </c>
      <c r="U552">
        <f>O552+Q552+S552</f>
        <v>-780.96733920194993</v>
      </c>
      <c r="V552">
        <f>P552+R552+T552</f>
        <v>456.27274007272814</v>
      </c>
      <c r="W552">
        <f>W551+(U551*Graph!$D$5)</f>
        <v>1774.015759910023</v>
      </c>
      <c r="X552">
        <f>X551+(V551*Graph!$D$5)</f>
        <v>4503.4617631919273</v>
      </c>
      <c r="Y552">
        <f>Y551+(W551*Graph!$D$5)+(U551*Graph!$D$5^2)</f>
        <v>32751.461170988812</v>
      </c>
      <c r="Z552">
        <f>Z551+(X551*Graph!$D$5)+(V551*Graph!$D$5^2)</f>
        <v>-16965.975176206208</v>
      </c>
    </row>
    <row r="553" spans="14:26" x14ac:dyDescent="0.35">
      <c r="N553">
        <f>N552+1</f>
        <v>550</v>
      </c>
      <c r="O553">
        <f>Graph!$D$22*((Graph!$D$18-Y553)/POWER((((Graph!$D$18-$Y553)^2)+((Graph!$E$18-$Z553)^2))+(Graph!$D$23^2),(3/2)))</f>
        <v>-319.49362372077968</v>
      </c>
      <c r="P553" s="84">
        <f>Graph!$D$22*((Graph!$E$18-Z553)/POWER((((Graph!$D$18-$Y553)^2)+((Graph!$E$18-$Z553)^2))+(Graph!$D$23^2),3/2))</f>
        <v>426.15098308518486</v>
      </c>
      <c r="Q553">
        <f>Graph!$D$31*((Graph!$D$27-Y553)/POWER((((Graph!$D$27-$Y553)^2)+((Graph!$E$27-$Z553)^2))+(Graph!$D$32^2),3/2))</f>
        <v>-46.8830906615378</v>
      </c>
      <c r="R553">
        <f>Graph!$D$31*((Graph!$E$27-Z553)/POWER((((Graph!$D$27-$Y553)^2)+((Graph!$E$27-$Z553)^2))+(Graph!$D$32^2),3/2))</f>
        <v>21.580513507751256</v>
      </c>
      <c r="S553">
        <f>Graph!$D$40*((Graph!$D$36-Y553)/POWER((((Graph!$D$36-$Y553)^2)+((Graph!$E$36-$Z553)^2))+(Graph!$D$41^2),3/2))</f>
        <v>-452.78317535100689</v>
      </c>
      <c r="T553">
        <f>Graph!$D$40*((Graph!$E$36-Z553)/POWER((((Graph!$D$36-$Y553)^2)+((Graph!$E$36-$Z553)^2))+(Graph!$D$41^2),3/2))</f>
        <v>-5.4131597261855502</v>
      </c>
      <c r="U553">
        <f>O553+Q553+S553</f>
        <v>-819.15988973332435</v>
      </c>
      <c r="V553">
        <f>P553+R553+T553</f>
        <v>442.3183368667506</v>
      </c>
      <c r="W553">
        <f>W552+(U552*Graph!$D$5)</f>
        <v>1383.532090309048</v>
      </c>
      <c r="X553">
        <f>X552+(V552*Graph!$D$5)</f>
        <v>4731.5981332282918</v>
      </c>
      <c r="Y553">
        <f>Y552+(W552*Graph!$D$5)+(U552*Graph!$D$5^2)</f>
        <v>33443.227216143336</v>
      </c>
      <c r="Z553">
        <f>Z552+(X552*Graph!$D$5)+(V552*Graph!$D$5^2)</f>
        <v>-14600.176109592061</v>
      </c>
    </row>
    <row r="554" spans="14:26" x14ac:dyDescent="0.35">
      <c r="N554">
        <f>N553+1</f>
        <v>551</v>
      </c>
      <c r="O554">
        <f>Graph!$D$22*((Graph!$D$18-Y554)/POWER((((Graph!$D$18-$Y554)^2)+((Graph!$E$18-$Z554)^2))+(Graph!$D$23^2),(3/2)))</f>
        <v>-384.38868067651538</v>
      </c>
      <c r="P554" s="84">
        <f>Graph!$D$22*((Graph!$E$18-Z554)/POWER((((Graph!$D$18-$Y554)^2)+((Graph!$E$18-$Z554)^2))+(Graph!$D$23^2),3/2))</f>
        <v>449.23644965451223</v>
      </c>
      <c r="Q554">
        <f>Graph!$D$31*((Graph!$D$27-Y554)/POWER((((Graph!$D$27-$Y554)^2)+((Graph!$E$27-$Z554)^2))+(Graph!$D$32^2),3/2))</f>
        <v>-48.636127714049664</v>
      </c>
      <c r="R554">
        <f>Graph!$D$31*((Graph!$E$27-Z554)/POWER((((Graph!$D$27-$Y554)^2)+((Graph!$E$27-$Z554)^2))+(Graph!$D$32^2),3/2))</f>
        <v>19.95200783799481</v>
      </c>
      <c r="S554">
        <f>Graph!$D$40*((Graph!$D$36-Y554)/POWER((((Graph!$D$36-$Y554)^2)+((Graph!$E$36-$Z554)^2))+(Graph!$D$41^2),3/2))</f>
        <v>-435.77800621202783</v>
      </c>
      <c r="T554">
        <f>Graph!$D$40*((Graph!$E$36-Z554)/POWER((((Graph!$D$36-$Y554)^2)+((Graph!$E$36-$Z554)^2))+(Graph!$D$41^2),3/2))</f>
        <v>-36.940120818384436</v>
      </c>
      <c r="U554">
        <f>O554+Q554+S554</f>
        <v>-868.80281460259289</v>
      </c>
      <c r="V554">
        <f>P554+R554+T554</f>
        <v>432.24833667412258</v>
      </c>
      <c r="W554">
        <f>W553+(U553*Graph!$D$5)</f>
        <v>973.95214544238593</v>
      </c>
      <c r="X554">
        <f>X553+(V553*Graph!$D$5)</f>
        <v>4952.757301661667</v>
      </c>
      <c r="Y554">
        <f>Y553+(W553*Graph!$D$5)+(U553*Graph!$D$5^2)</f>
        <v>33930.203288864526</v>
      </c>
      <c r="Z554">
        <f>Z553+(X553*Graph!$D$5)+(V553*Graph!$D$5^2)</f>
        <v>-12123.797458761226</v>
      </c>
    </row>
    <row r="555" spans="14:26" x14ac:dyDescent="0.35">
      <c r="N555">
        <f>N554+1</f>
        <v>552</v>
      </c>
      <c r="O555">
        <f>Graph!$D$22*((Graph!$D$18-Y555)/POWER((((Graph!$D$18-$Y555)^2)+((Graph!$E$18-$Z555)^2))+(Graph!$D$23^2),(3/2)))</f>
        <v>-465.57444168948336</v>
      </c>
      <c r="P555" s="84">
        <f>Graph!$D$22*((Graph!$E$18-Z555)/POWER((((Graph!$D$18-$Y555)^2)+((Graph!$E$18-$Z555)^2))+(Graph!$D$23^2),3/2))</f>
        <v>473.80391716620034</v>
      </c>
      <c r="Q555">
        <f>Graph!$D$31*((Graph!$D$27-Y555)/POWER((((Graph!$D$27-$Y555)^2)+((Graph!$E$27-$Z555)^2))+(Graph!$D$32^2),3/2))</f>
        <v>-50.617195567121051</v>
      </c>
      <c r="R555">
        <f>Graph!$D$31*((Graph!$E$27-Z555)/POWER((((Graph!$D$27-$Y555)^2)+((Graph!$E$27-$Z555)^2))+(Graph!$D$32^2),3/2))</f>
        <v>18.247745940719089</v>
      </c>
      <c r="S555">
        <f>Graph!$D$40*((Graph!$D$36-Y555)/POWER((((Graph!$D$36-$Y555)^2)+((Graph!$E$36-$Z555)^2))+(Graph!$D$41^2),3/2))</f>
        <v>-417.93530722682726</v>
      </c>
      <c r="T555">
        <f>Graph!$D$40*((Graph!$E$36-Z555)/POWER((((Graph!$D$36-$Y555)^2)+((Graph!$E$36-$Z555)^2))+(Graph!$D$41^2),3/2))</f>
        <v>-66.730907879709463</v>
      </c>
      <c r="U555">
        <f>O555+Q555+S555</f>
        <v>-934.12694448343166</v>
      </c>
      <c r="V555">
        <f>P555+R555+T555</f>
        <v>425.32075522720993</v>
      </c>
      <c r="W555">
        <f>W554+(U554*Graph!$D$5)</f>
        <v>539.55073814108948</v>
      </c>
      <c r="X555">
        <f>X554+(V554*Graph!$D$5)</f>
        <v>5168.8814699987288</v>
      </c>
      <c r="Y555">
        <f>Y554+(W554*Graph!$D$5)+(U554*Graph!$D$5^2)</f>
        <v>34199.978657935069</v>
      </c>
      <c r="Z555">
        <f>Z554+(X554*Graph!$D$5)+(V554*Graph!$D$5^2)</f>
        <v>-9539.3567237618627</v>
      </c>
    </row>
    <row r="556" spans="14:26" x14ac:dyDescent="0.35">
      <c r="N556">
        <f>N555+1</f>
        <v>553</v>
      </c>
      <c r="O556">
        <f>Graph!$D$22*((Graph!$D$18-Y556)/POWER((((Graph!$D$18-$Y556)^2)+((Graph!$E$18-$Z556)^2))+(Graph!$D$23^2),(3/2)))</f>
        <v>-569.38089630760066</v>
      </c>
      <c r="P556" s="84">
        <f>Graph!$D$22*((Graph!$E$18-Z556)/POWER((((Graph!$D$18-$Y556)^2)+((Graph!$E$18-$Z556)^2))+(Graph!$D$23^2),3/2))</f>
        <v>498.70825670589886</v>
      </c>
      <c r="Q556">
        <f>Graph!$D$31*((Graph!$D$27-Y556)/POWER((((Graph!$D$27-$Y556)^2)+((Graph!$E$27-$Z556)^2))+(Graph!$D$32^2),3/2))</f>
        <v>-52.87236597493041</v>
      </c>
      <c r="R556">
        <f>Graph!$D$31*((Graph!$E$27-Z556)/POWER((((Graph!$D$27-$Y556)^2)+((Graph!$E$27-$Z556)^2))+(Graph!$D$32^2),3/2))</f>
        <v>16.424901236622269</v>
      </c>
      <c r="S556">
        <f>Graph!$D$40*((Graph!$D$36-Y556)/POWER((((Graph!$D$36-$Y556)^2)+((Graph!$E$36-$Z556)^2))+(Graph!$D$41^2),3/2))</f>
        <v>-399.10608691647894</v>
      </c>
      <c r="T556">
        <f>Graph!$D$40*((Graph!$E$36-Z556)/POWER((((Graph!$D$36-$Y556)^2)+((Graph!$E$36-$Z556)^2))+(Graph!$D$41^2),3/2))</f>
        <v>-95.024474270961662</v>
      </c>
      <c r="U556">
        <f>O556+Q556+S556</f>
        <v>-1021.35934919901</v>
      </c>
      <c r="V556">
        <f>P556+R556+T556</f>
        <v>420.1086836715595</v>
      </c>
      <c r="W556">
        <f>W555+(U555*Graph!$D$5)</f>
        <v>72.487265899373654</v>
      </c>
      <c r="X556">
        <f>X555+(V555*Graph!$D$5)</f>
        <v>5381.5418476123341</v>
      </c>
      <c r="Y556">
        <f>Y555+(W555*Graph!$D$5)+(U555*Graph!$D$5^2)</f>
        <v>34236.222290884754</v>
      </c>
      <c r="Z556">
        <f>Z555+(X555*Graph!$D$5)+(V555*Graph!$D$5^2)</f>
        <v>-6848.5857999556956</v>
      </c>
    </row>
    <row r="557" spans="14:26" x14ac:dyDescent="0.35">
      <c r="N557">
        <f>N556+1</f>
        <v>554</v>
      </c>
      <c r="O557">
        <f>Graph!$D$22*((Graph!$D$18-Y557)/POWER((((Graph!$D$18-$Y557)^2)+((Graph!$E$18-$Z557)^2))+(Graph!$D$23^2),(3/2)))</f>
        <v>-705.30521025386849</v>
      </c>
      <c r="P557" s="84">
        <f>Graph!$D$22*((Graph!$E$18-Z557)/POWER((((Graph!$D$18-$Y557)^2)+((Graph!$E$18-$Z557)^2))+(Graph!$D$23^2),3/2))</f>
        <v>521.18834055106493</v>
      </c>
      <c r="Q557">
        <f>Graph!$D$31*((Graph!$D$27-Y557)/POWER((((Graph!$D$27-$Y557)^2)+((Graph!$E$27-$Z557)^2))+(Graph!$D$32^2),3/2))</f>
        <v>-55.464029602577703</v>
      </c>
      <c r="R557">
        <f>Graph!$D$31*((Graph!$E$27-Z557)/POWER((((Graph!$D$27-$Y557)^2)+((Graph!$E$27-$Z557)^2))+(Graph!$D$32^2),3/2))</f>
        <v>14.429205878762984</v>
      </c>
      <c r="S557">
        <f>Graph!$D$40*((Graph!$D$36-Y557)/POWER((((Graph!$D$36-$Y557)^2)+((Graph!$E$36-$Z557)^2))+(Graph!$D$41^2),3/2))</f>
        <v>-379.11991775205189</v>
      </c>
      <c r="T557">
        <f>Graph!$D$40*((Graph!$E$36-Z557)/POWER((((Graph!$D$36-$Y557)^2)+((Graph!$E$36-$Z557)^2))+(Graph!$D$41^2),3/2))</f>
        <v>-122.00637450233303</v>
      </c>
      <c r="U557">
        <f>O557+Q557+S557</f>
        <v>-1139.8891576084982</v>
      </c>
      <c r="V557">
        <f>P557+R557+T557</f>
        <v>413.61117192749492</v>
      </c>
      <c r="W557">
        <f>W556+(U556*Graph!$D$5)</f>
        <v>-438.19240870013135</v>
      </c>
      <c r="X557">
        <f>X556+(V556*Graph!$D$5)</f>
        <v>5591.5961894481143</v>
      </c>
      <c r="Y557">
        <f>Y556+(W556*Graph!$D$5)+(U556*Graph!$D$5^2)</f>
        <v>34017.126086534685</v>
      </c>
      <c r="Z557">
        <f>Z556+(X556*Graph!$D$5)+(V556*Graph!$D$5^2)</f>
        <v>-4052.7877052316385</v>
      </c>
    </row>
    <row r="558" spans="14:26" x14ac:dyDescent="0.35">
      <c r="N558">
        <f>N557+1</f>
        <v>555</v>
      </c>
      <c r="O558">
        <f>Graph!$D$22*((Graph!$D$18-Y558)/POWER((((Graph!$D$18-$Y558)^2)+((Graph!$E$18-$Z558)^2))+(Graph!$D$23^2),(3/2)))</f>
        <v>-887.86990645470087</v>
      </c>
      <c r="P558" s="84">
        <f>Graph!$D$22*((Graph!$E$18-Z558)/POWER((((Graph!$D$18-$Y558)^2)+((Graph!$E$18-$Z558)^2))+(Graph!$D$23^2),3/2))</f>
        <v>534.91618198020899</v>
      </c>
      <c r="Q558">
        <f>Graph!$D$31*((Graph!$D$27-Y558)/POWER((((Graph!$D$27-$Y558)^2)+((Graph!$E$27-$Z558)^2))+(Graph!$D$32^2),3/2))</f>
        <v>-58.479751969804106</v>
      </c>
      <c r="R558">
        <f>Graph!$D$31*((Graph!$E$27-Z558)/POWER((((Graph!$D$27-$Y558)^2)+((Graph!$E$27-$Z558)^2))+(Graph!$D$32^2),3/2))</f>
        <v>12.188781953482557</v>
      </c>
      <c r="S558">
        <f>Graph!$D$40*((Graph!$D$36-Y558)/POWER((((Graph!$D$36-$Y558)^2)+((Graph!$E$36-$Z558)^2))+(Graph!$D$41^2),3/2))</f>
        <v>-357.79089595096713</v>
      </c>
      <c r="T558">
        <f>Graph!$D$40*((Graph!$E$36-Z558)/POWER((((Graph!$D$36-$Y558)^2)+((Graph!$E$36-$Z558)^2))+(Graph!$D$41^2),3/2))</f>
        <v>-147.826576687282</v>
      </c>
      <c r="U558">
        <f>O558+Q558+S558</f>
        <v>-1304.140554375472</v>
      </c>
      <c r="V558">
        <f>P558+R558+T558</f>
        <v>399.27838724640958</v>
      </c>
      <c r="W558">
        <f>W557+(U557*Graph!$D$5)</f>
        <v>-1008.1369875043804</v>
      </c>
      <c r="X558">
        <f>X557+(V557*Graph!$D$5)</f>
        <v>5798.4017754118613</v>
      </c>
      <c r="Y558">
        <f>Y557+(W557*Graph!$D$5)+(U557*Graph!$D$5^2)</f>
        <v>33513.057592782498</v>
      </c>
      <c r="Z558">
        <f>Z557+(X557*Graph!$D$5)+(V557*Graph!$D$5^2)</f>
        <v>-1153.5868175257076</v>
      </c>
    </row>
    <row r="559" spans="14:26" x14ac:dyDescent="0.35">
      <c r="N559">
        <f>N558+1</f>
        <v>556</v>
      </c>
      <c r="O559">
        <f>Graph!$D$22*((Graph!$D$18-Y559)/POWER((((Graph!$D$18-$Y559)^2)+((Graph!$E$18-$Z559)^2))+(Graph!$D$23^2),(3/2)))</f>
        <v>-1139.4232153193</v>
      </c>
      <c r="P559" s="84">
        <f>Graph!$D$22*((Graph!$E$18-Z559)/POWER((((Graph!$D$18-$Y559)^2)+((Graph!$E$18-$Z559)^2))+(Graph!$D$23^2),3/2))</f>
        <v>525.44966250997118</v>
      </c>
      <c r="Q559">
        <f>Graph!$D$31*((Graph!$D$27-Y559)/POWER((((Graph!$D$27-$Y559)^2)+((Graph!$E$27-$Z559)^2))+(Graph!$D$32^2),3/2))</f>
        <v>-62.047886580260695</v>
      </c>
      <c r="R559">
        <f>Graph!$D$31*((Graph!$E$27-Z559)/POWER((((Graph!$D$27-$Y559)^2)+((Graph!$E$27-$Z559)^2))+(Graph!$D$32^2),3/2))</f>
        <v>9.604123704256919</v>
      </c>
      <c r="S559">
        <f>Graph!$D$40*((Graph!$D$36-Y559)/POWER((((Graph!$D$36-$Y559)^2)+((Graph!$E$36-$Z559)^2))+(Graph!$D$41^2),3/2))</f>
        <v>-334.9233705384076</v>
      </c>
      <c r="T559">
        <f>Graph!$D$40*((Graph!$E$36-Z559)/POWER((((Graph!$D$36-$Y559)^2)+((Graph!$E$36-$Z559)^2))+(Graph!$D$41^2),3/2))</f>
        <v>-172.62605542815285</v>
      </c>
      <c r="U559">
        <f>O559+Q559+S559</f>
        <v>-1536.3944724379683</v>
      </c>
      <c r="V559">
        <f>P559+R559+T559</f>
        <v>362.42773078607524</v>
      </c>
      <c r="W559">
        <f>W558+(U558*Graph!$D$5)</f>
        <v>-1660.2072646921165</v>
      </c>
      <c r="X559">
        <f>X558+(V558*Graph!$D$5)</f>
        <v>5998.0409690350662</v>
      </c>
      <c r="Y559">
        <f>Y558+(W558*Graph!$D$5)+(U558*Graph!$D$5^2)</f>
        <v>32682.953960436444</v>
      </c>
      <c r="Z559">
        <f>Z558+(X558*Graph!$D$5)+(V558*Graph!$D$5^2)</f>
        <v>1845.4336669918255</v>
      </c>
    </row>
    <row r="560" spans="14:26" x14ac:dyDescent="0.35">
      <c r="N560">
        <f>N559+1</f>
        <v>557</v>
      </c>
      <c r="O560">
        <f>Graph!$D$22*((Graph!$D$18-Y560)/POWER((((Graph!$D$18-$Y560)^2)+((Graph!$E$18-$Z560)^2))+(Graph!$D$23^2),(3/2)))</f>
        <v>-1493.2471516561102</v>
      </c>
      <c r="P560" s="84">
        <f>Graph!$D$22*((Graph!$E$18-Z560)/POWER((((Graph!$D$18-$Y560)^2)+((Graph!$E$18-$Z560)^2))+(Graph!$D$23^2),3/2))</f>
        <v>459.24583371659412</v>
      </c>
      <c r="Q560">
        <f>Graph!$D$31*((Graph!$D$27-Y560)/POWER((((Graph!$D$27-$Y560)^2)+((Graph!$E$27-$Z560)^2))+(Graph!$D$32^2),3/2))</f>
        <v>-66.366725808242236</v>
      </c>
      <c r="R560">
        <f>Graph!$D$31*((Graph!$E$27-Z560)/POWER((((Graph!$D$27-$Y560)^2)+((Graph!$E$27-$Z560)^2))+(Graph!$D$32^2),3/2))</f>
        <v>6.531019329050852</v>
      </c>
      <c r="S560">
        <f>Graph!$D$40*((Graph!$D$36-Y560)/POWER((((Graph!$D$36-$Y560)^2)+((Graph!$E$36-$Z560)^2))+(Graph!$D$41^2),3/2))</f>
        <v>-310.31894874943021</v>
      </c>
      <c r="T560">
        <f>Graph!$D$40*((Graph!$E$36-Z560)/POWER((((Graph!$D$36-$Y560)^2)+((Graph!$E$36-$Z560)^2))+(Graph!$D$41^2),3/2))</f>
        <v>-196.58317736652924</v>
      </c>
      <c r="U560">
        <f>O560+Q560+S560</f>
        <v>-1869.9328262137828</v>
      </c>
      <c r="V560">
        <f>P560+R560+T560</f>
        <v>269.19367567911576</v>
      </c>
      <c r="W560">
        <f>W559+(U559*Graph!$D$5)</f>
        <v>-2428.4045009111005</v>
      </c>
      <c r="X560">
        <f>X559+(V559*Graph!$D$5)</f>
        <v>6179.254834428104</v>
      </c>
      <c r="Y560">
        <f>Y559+(W559*Graph!$D$5)+(U559*Graph!$D$5^2)</f>
        <v>31468.751709980894</v>
      </c>
      <c r="Z560">
        <f>Z559+(X559*Graph!$D$5)+(V559*Graph!$D$5^2)</f>
        <v>4935.0610842058777</v>
      </c>
    </row>
    <row r="561" spans="14:26" x14ac:dyDescent="0.35">
      <c r="N561">
        <f>N560+1</f>
        <v>558</v>
      </c>
      <c r="O561">
        <f>Graph!$D$22*((Graph!$D$18-Y561)/POWER((((Graph!$D$18-$Y561)^2)+((Graph!$E$18-$Z561)^2))+(Graph!$D$23^2),(3/2)))</f>
        <v>-1990.9032264352586</v>
      </c>
      <c r="P561" s="84">
        <f>Graph!$D$22*((Graph!$E$18-Z561)/POWER((((Graph!$D$18-$Y561)^2)+((Graph!$E$18-$Z561)^2))+(Graph!$D$23^2),3/2))</f>
        <v>256.89134892547702</v>
      </c>
      <c r="Q561">
        <f>Graph!$D$31*((Graph!$D$27-Y561)/POWER((((Graph!$D$27-$Y561)^2)+((Graph!$E$27-$Z561)^2))+(Graph!$D$32^2),3/2))</f>
        <v>-71.762375764287029</v>
      </c>
      <c r="R561">
        <f>Graph!$D$31*((Graph!$E$27-Z561)/POWER((((Graph!$D$27-$Y561)^2)+((Graph!$E$27-$Z561)^2))+(Graph!$D$32^2),3/2))</f>
        <v>2.7501831678540229</v>
      </c>
      <c r="S561">
        <f>Graph!$D$40*((Graph!$D$36-Y561)/POWER((((Graph!$D$36-$Y561)^2)+((Graph!$E$36-$Z561)^2))+(Graph!$D$41^2),3/2))</f>
        <v>-283.7886842109304</v>
      </c>
      <c r="T561">
        <f>Graph!$D$40*((Graph!$E$36-Z561)/POWER((((Graph!$D$36-$Y561)^2)+((Graph!$E$36-$Z561)^2))+(Graph!$D$41^2),3/2))</f>
        <v>-220.00302172374546</v>
      </c>
      <c r="U561">
        <f>O561+Q561+S561</f>
        <v>-2346.454286410476</v>
      </c>
      <c r="V561">
        <f>P561+R561+T561</f>
        <v>39.638510369585561</v>
      </c>
      <c r="W561">
        <f>W560+(U560*Graph!$D$5)</f>
        <v>-3363.3709140179917</v>
      </c>
      <c r="X561">
        <f>X560+(V560*Graph!$D$5)</f>
        <v>6313.8516722676623</v>
      </c>
      <c r="Y561">
        <f>Y560+(W560*Graph!$D$5)+(U560*Graph!$D$5^2)</f>
        <v>29787.066252971897</v>
      </c>
      <c r="Z561">
        <f>Z560+(X560*Graph!$D$5)+(V560*Graph!$D$5^2)</f>
        <v>8091.9869203397084</v>
      </c>
    </row>
    <row r="562" spans="14:26" x14ac:dyDescent="0.35">
      <c r="N562">
        <f>N561+1</f>
        <v>559</v>
      </c>
      <c r="O562">
        <f>Graph!$D$22*((Graph!$D$18-Y562)/POWER((((Graph!$D$18-$Y562)^2)+((Graph!$E$18-$Z562)^2))+(Graph!$D$23^2),(3/2)))</f>
        <v>-2641.202387741645</v>
      </c>
      <c r="P562" s="84">
        <f>Graph!$D$22*((Graph!$E$18-Z562)/POWER((((Graph!$D$18-$Y562)^2)+((Graph!$E$18-$Z562)^2))+(Graph!$D$23^2),3/2))</f>
        <v>-265.58563051382873</v>
      </c>
      <c r="Q562">
        <f>Graph!$D$31*((Graph!$D$27-Y562)/POWER((((Graph!$D$27-$Y562)^2)+((Graph!$E$27-$Z562)^2))+(Graph!$D$32^2),3/2))</f>
        <v>-78.810358415546716</v>
      </c>
      <c r="R562">
        <f>Graph!$D$31*((Graph!$E$27-Z562)/POWER((((Graph!$D$27-$Y562)^2)+((Graph!$E$27-$Z562)^2))+(Graph!$D$32^2),3/2))</f>
        <v>-2.0877697184637976</v>
      </c>
      <c r="S562">
        <f>Graph!$D$40*((Graph!$D$36-Y562)/POWER((((Graph!$D$36-$Y562)^2)+((Graph!$E$36-$Z562)^2))+(Graph!$D$41^2),3/2))</f>
        <v>-255.18240385476579</v>
      </c>
      <c r="T562">
        <f>Graph!$D$40*((Graph!$E$36-Z562)/POWER((((Graph!$D$36-$Y562)^2)+((Graph!$E$36-$Z562)^2))+(Graph!$D$41^2),3/2))</f>
        <v>-243.49889527135414</v>
      </c>
      <c r="U562">
        <f>O562+Q562+S562</f>
        <v>-2975.1951500119576</v>
      </c>
      <c r="V562">
        <f>P562+R562+T562</f>
        <v>-511.17229550364664</v>
      </c>
      <c r="W562">
        <f>W561+(U561*Graph!$D$5)</f>
        <v>-4536.5980572232293</v>
      </c>
      <c r="X562">
        <f>X561+(V561*Graph!$D$5)</f>
        <v>6333.6709274524546</v>
      </c>
      <c r="Y562">
        <f>Y561+(W561*Graph!$D$5)+(U561*Graph!$D$5^2)</f>
        <v>27518.767224360283</v>
      </c>
      <c r="Z562">
        <f>Z561+(X561*Graph!$D$5)+(V561*Graph!$D$5^2)</f>
        <v>11258.822384065936</v>
      </c>
    </row>
    <row r="563" spans="14:26" x14ac:dyDescent="0.35">
      <c r="N563">
        <f>N562+1</f>
        <v>560</v>
      </c>
      <c r="O563">
        <f>Graph!$D$22*((Graph!$D$18-Y563)/POWER((((Graph!$D$18-$Y563)^2)+((Graph!$E$18-$Z563)^2))+(Graph!$D$23^2),(3/2)))</f>
        <v>-3214.4539929989783</v>
      </c>
      <c r="P563" s="84">
        <f>Graph!$D$22*((Graph!$E$18-Z563)/POWER((((Graph!$D$18-$Y563)^2)+((Graph!$E$18-$Z563)^2))+(Graph!$D$23^2),3/2))</f>
        <v>-1453.2206801997295</v>
      </c>
      <c r="Q563">
        <f>Graph!$D$31*((Graph!$D$27-Y563)/POWER((((Graph!$D$27-$Y563)^2)+((Graph!$E$27-$Z563)^2))+(Graph!$D$32^2),3/2))</f>
        <v>-88.596516619049638</v>
      </c>
      <c r="R563">
        <f>Graph!$D$31*((Graph!$E$27-Z563)/POWER((((Graph!$D$27-$Y563)^2)+((Graph!$E$27-$Z563)^2))+(Graph!$D$32^2),3/2))</f>
        <v>-8.555478379565141</v>
      </c>
      <c r="S563">
        <f>Graph!$D$40*((Graph!$D$36-Y563)/POWER((((Graph!$D$36-$Y563)^2)+((Graph!$E$36-$Z563)^2))+(Graph!$D$41^2),3/2))</f>
        <v>-224.46965789346848</v>
      </c>
      <c r="T563">
        <f>Graph!$D$40*((Graph!$E$36-Z563)/POWER((((Graph!$D$36-$Y563)^2)+((Graph!$E$36-$Z563)^2))+(Graph!$D$41^2),3/2))</f>
        <v>-268.35477205226897</v>
      </c>
      <c r="U563">
        <f>O563+Q563+S563</f>
        <v>-3527.5201675114963</v>
      </c>
      <c r="V563">
        <f>P563+R563+T563</f>
        <v>-1730.1309306315636</v>
      </c>
      <c r="W563">
        <f>W562+(U562*Graph!$D$5)</f>
        <v>-6024.1956322292081</v>
      </c>
      <c r="X563">
        <f>X562+(V562*Graph!$D$5)</f>
        <v>6078.0847797006318</v>
      </c>
      <c r="Y563">
        <f>Y562+(W562*Graph!$D$5)+(U562*Graph!$D$5^2)</f>
        <v>24506.669408245678</v>
      </c>
      <c r="Z563">
        <f>Z562+(X562*Graph!$D$5)+(V562*Graph!$D$5^2)</f>
        <v>14297.864773916252</v>
      </c>
    </row>
    <row r="564" spans="14:26" x14ac:dyDescent="0.35">
      <c r="N564">
        <f>N563+1</f>
        <v>561</v>
      </c>
      <c r="O564">
        <f>Graph!$D$22*((Graph!$D$18-Y564)/POWER((((Graph!$D$18-$Y564)^2)+((Graph!$E$18-$Z564)^2))+(Graph!$D$23^2),(3/2)))</f>
        <v>-2764.0058816267219</v>
      </c>
      <c r="P564" s="84">
        <f>Graph!$D$22*((Graph!$E$18-Z564)/POWER((((Graph!$D$18-$Y564)^2)+((Graph!$E$18-$Z564)^2))+(Graph!$D$23^2),3/2))</f>
        <v>-3400.1033845654024</v>
      </c>
      <c r="Q564">
        <f>Graph!$D$31*((Graph!$D$27-Y564)/POWER((((Graph!$D$27-$Y564)^2)+((Graph!$E$27-$Z564)^2))+(Graph!$D$32^2),3/2))</f>
        <v>-103.21025362648002</v>
      </c>
      <c r="R564">
        <f>Graph!$D$31*((Graph!$E$27-Z564)/POWER((((Graph!$D$27-$Y564)^2)+((Graph!$E$27-$Z564)^2))+(Graph!$D$32^2),3/2))</f>
        <v>-17.546294248563974</v>
      </c>
      <c r="S564">
        <f>Graph!$D$40*((Graph!$D$36-Y564)/POWER((((Graph!$D$36-$Y564)^2)+((Graph!$E$36-$Z564)^2))+(Graph!$D$41^2),3/2))</f>
        <v>-191.93110228976485</v>
      </c>
      <c r="T564">
        <f>Graph!$D$40*((Graph!$E$36-Z564)/POWER((((Graph!$D$36-$Y564)^2)+((Graph!$E$36-$Z564)^2))+(Graph!$D$41^2),3/2))</f>
        <v>-297.07142987606875</v>
      </c>
      <c r="U564">
        <f>O564+Q564+S564</f>
        <v>-3059.1472375429671</v>
      </c>
      <c r="V564">
        <f>P564+R564+T564</f>
        <v>-3714.7211086900347</v>
      </c>
      <c r="W564">
        <f>W563+(U563*Graph!$D$5)</f>
        <v>-7787.9557159849564</v>
      </c>
      <c r="X564">
        <f>X563+(V563*Graph!$D$5)</f>
        <v>5213.0193143848501</v>
      </c>
      <c r="Y564">
        <f>Y563+(W563*Graph!$D$5)+(U563*Graph!$D$5^2)</f>
        <v>20612.691550253199</v>
      </c>
      <c r="Z564">
        <f>Z563+(X563*Graph!$D$5)+(V563*Graph!$D$5^2)</f>
        <v>16904.374431108678</v>
      </c>
    </row>
    <row r="565" spans="14:26" x14ac:dyDescent="0.35">
      <c r="N565">
        <f>N564+1</f>
        <v>562</v>
      </c>
      <c r="O565">
        <f>Graph!$D$22*((Graph!$D$18-Y565)/POWER((((Graph!$D$18-$Y565)^2)+((Graph!$E$18-$Z565)^2))+(Graph!$D$23^2),(3/2)))</f>
        <v>-502.75790239275443</v>
      </c>
      <c r="P565" s="84">
        <f>Graph!$D$22*((Graph!$E$18-Z565)/POWER((((Graph!$D$18-$Y565)^2)+((Graph!$E$18-$Z565)^2))+(Graph!$D$23^2),3/2))</f>
        <v>-4523.1671980834662</v>
      </c>
      <c r="Q565">
        <f>Graph!$D$31*((Graph!$D$27-Y565)/POWER((((Graph!$D$27-$Y565)^2)+((Graph!$E$27-$Z565)^2))+(Graph!$D$32^2),3/2))</f>
        <v>-126.14987423605122</v>
      </c>
      <c r="R565">
        <f>Graph!$D$31*((Graph!$E$27-Z565)/POWER((((Graph!$D$27-$Y565)^2)+((Graph!$E$27-$Z565)^2))+(Graph!$D$32^2),3/2))</f>
        <v>-30.111980117468057</v>
      </c>
      <c r="S565">
        <f>Graph!$D$40*((Graph!$D$36-Y565)/POWER((((Graph!$D$36-$Y565)^2)+((Graph!$E$36-$Z565)^2))+(Graph!$D$41^2),3/2))</f>
        <v>-158.2303543768912</v>
      </c>
      <c r="T565">
        <f>Graph!$D$40*((Graph!$E$36-Z565)/POWER((((Graph!$D$36-$Y565)^2)+((Graph!$E$36-$Z565)^2))+(Graph!$D$41^2),3/2))</f>
        <v>-333.06683983211934</v>
      </c>
      <c r="U565">
        <f>O565+Q565+S565</f>
        <v>-787.13813100569689</v>
      </c>
      <c r="V565">
        <f>P565+R565+T565</f>
        <v>-4886.346018033054</v>
      </c>
      <c r="W565">
        <f>W564+(U564*Graph!$D$5)</f>
        <v>-9317.5293347564402</v>
      </c>
      <c r="X565">
        <f>X564+(V564*Graph!$D$5)</f>
        <v>3355.6587600398325</v>
      </c>
      <c r="Y565">
        <f>Y564+(W564*Graph!$D$5)+(U564*Graph!$D$5^2)</f>
        <v>15953.926882874979</v>
      </c>
      <c r="Z565">
        <f>Z564+(X564*Graph!$D$5)+(V564*Graph!$D$5^2)</f>
        <v>18582.203811128595</v>
      </c>
    </row>
    <row r="566" spans="14:26" x14ac:dyDescent="0.35">
      <c r="N566">
        <f>N565+1</f>
        <v>563</v>
      </c>
      <c r="O566">
        <f>Graph!$D$22*((Graph!$D$18-Y566)/POWER((((Graph!$D$18-$Y566)^2)+((Graph!$E$18-$Z566)^2))+(Graph!$D$23^2),(3/2)))</f>
        <v>1517.5809104371212</v>
      </c>
      <c r="P566" s="84">
        <f>Graph!$D$22*((Graph!$E$18-Z566)/POWER((((Graph!$D$18-$Y566)^2)+((Graph!$E$18-$Z566)^2))+(Graph!$D$23^2),3/2))</f>
        <v>-3515.6078770075342</v>
      </c>
      <c r="Q566">
        <f>Graph!$D$31*((Graph!$D$27-Y566)/POWER((((Graph!$D$27-$Y566)^2)+((Graph!$E$27-$Z566)^2))+(Graph!$D$32^2),3/2))</f>
        <v>-161.59395008288308</v>
      </c>
      <c r="R566">
        <f>Graph!$D$31*((Graph!$E$27-Z566)/POWER((((Graph!$D$27-$Y566)^2)+((Graph!$E$27-$Z566)^2))+(Graph!$D$32^2),3/2))</f>
        <v>-46.965739422417606</v>
      </c>
      <c r="S566">
        <f>Graph!$D$40*((Graph!$D$36-Y566)/POWER((((Graph!$D$36-$Y566)^2)+((Graph!$E$36-$Z566)^2))+(Graph!$D$41^2),3/2))</f>
        <v>-123.01257181318476</v>
      </c>
      <c r="T566">
        <f>Graph!$D$40*((Graph!$E$36-Z566)/POWER((((Graph!$D$36-$Y566)^2)+((Graph!$E$36-$Z566)^2))+(Graph!$D$41^2),3/2))</f>
        <v>-377.27648014352349</v>
      </c>
      <c r="U566">
        <f>O566+Q566+S566</f>
        <v>1232.9743885410535</v>
      </c>
      <c r="V566">
        <f>P566+R566+T566</f>
        <v>-3939.8500965734756</v>
      </c>
      <c r="W566">
        <f>W565+(U565*Graph!$D$5)</f>
        <v>-9711.0984002592886</v>
      </c>
      <c r="X566">
        <f>X565+(V565*Graph!$D$5)</f>
        <v>912.48575102330551</v>
      </c>
      <c r="Y566">
        <f>Y565+(W565*Graph!$D$5)+(U565*Graph!$D$5^2)</f>
        <v>11098.377682745335</v>
      </c>
      <c r="Z566">
        <f>Z565+(X565*Graph!$D$5)+(V565*Graph!$D$5^2)</f>
        <v>19038.446686640247</v>
      </c>
    </row>
    <row r="567" spans="14:26" x14ac:dyDescent="0.35">
      <c r="N567">
        <f>N566+1</f>
        <v>564</v>
      </c>
      <c r="O567">
        <f>Graph!$D$22*((Graph!$D$18-Y567)/POWER((((Graph!$D$18-$Y567)^2)+((Graph!$E$18-$Z567)^2))+(Graph!$D$23^2),(3/2)))</f>
        <v>2017.1685667023676</v>
      </c>
      <c r="P567" s="84">
        <f>Graph!$D$22*((Graph!$E$18-Z567)/POWER((((Graph!$D$18-$Y567)^2)+((Graph!$E$18-$Z567)^2))+(Graph!$D$23^2),3/2))</f>
        <v>-2031.6842627037195</v>
      </c>
      <c r="Q567">
        <f>Graph!$D$31*((Graph!$D$27-Y567)/POWER((((Graph!$D$27-$Y567)^2)+((Graph!$E$27-$Z567)^2))+(Graph!$D$32^2),3/2))</f>
        <v>-214.90353822177519</v>
      </c>
      <c r="R567">
        <f>Graph!$D$31*((Graph!$E$27-Z567)/POWER((((Graph!$D$27-$Y567)^2)+((Graph!$E$27-$Z567)^2))+(Graph!$D$32^2),3/2))</f>
        <v>-68.877461681264592</v>
      </c>
      <c r="S567">
        <f>Graph!$D$40*((Graph!$D$36-Y567)/POWER((((Graph!$D$36-$Y567)^2)+((Graph!$E$36-$Z567)^2))+(Graph!$D$41^2),3/2))</f>
        <v>-83.472365662421751</v>
      </c>
      <c r="T567">
        <f>Graph!$D$40*((Graph!$E$36-Z567)/POWER((((Graph!$D$36-$Y567)^2)+((Graph!$E$36-$Z567)^2))+(Graph!$D$41^2),3/2))</f>
        <v>-426.97380741854471</v>
      </c>
      <c r="U567">
        <f>O567+Q567+S567</f>
        <v>1718.7926628181706</v>
      </c>
      <c r="V567">
        <f>P567+R567+T567</f>
        <v>-2527.535531803529</v>
      </c>
      <c r="W567">
        <f>W566+(U566*Graph!$D$5)</f>
        <v>-9094.6112059887619</v>
      </c>
      <c r="X567">
        <f>X566+(V566*Graph!$D$5)</f>
        <v>-1057.4392972634323</v>
      </c>
      <c r="Y567">
        <f>Y566+(W566*Graph!$D$5)+(U566*Graph!$D$5^2)</f>
        <v>6551.0720797509539</v>
      </c>
      <c r="Z567">
        <f>Z566+(X566*Graph!$D$5)+(V566*Graph!$D$5^2)</f>
        <v>18509.727038008532</v>
      </c>
    </row>
    <row r="568" spans="14:26" x14ac:dyDescent="0.35">
      <c r="N568">
        <f>N567+1</f>
        <v>565</v>
      </c>
      <c r="O568">
        <f>Graph!$D$22*((Graph!$D$18-Y568)/POWER((((Graph!$D$18-$Y568)^2)+((Graph!$E$18-$Z568)^2))+(Graph!$D$23^2),(3/2)))</f>
        <v>1804.2269769910363</v>
      </c>
      <c r="P568" s="84">
        <f>Graph!$D$22*((Graph!$E$18-Z568)/POWER((((Graph!$D$18-$Y568)^2)+((Graph!$E$18-$Z568)^2))+(Graph!$D$23^2),3/2))</f>
        <v>-1055.1426077497192</v>
      </c>
      <c r="Q568">
        <f>Graph!$D$31*((Graph!$D$27-Y568)/POWER((((Graph!$D$27-$Y568)^2)+((Graph!$E$27-$Z568)^2))+(Graph!$D$32^2),3/2))</f>
        <v>-296.43240581377074</v>
      </c>
      <c r="R568">
        <f>Graph!$D$31*((Graph!$E$27-Z568)/POWER((((Graph!$D$27-$Y568)^2)+((Graph!$E$27-$Z568)^2))+(Graph!$D$32^2),3/2))</f>
        <v>-97.110205505616207</v>
      </c>
      <c r="S568">
        <f>Graph!$D$40*((Graph!$D$36-Y568)/POWER((((Graph!$D$36-$Y568)^2)+((Graph!$E$36-$Z568)^2))+(Graph!$D$41^2),3/2))</f>
        <v>-36.030122504126545</v>
      </c>
      <c r="T568">
        <f>Graph!$D$40*((Graph!$E$36-Z568)/POWER((((Graph!$D$36-$Y568)^2)+((Graph!$E$36-$Z568)^2))+(Graph!$D$41^2),3/2))</f>
        <v>-478.96437963399342</v>
      </c>
      <c r="U568">
        <f>O568+Q568+S568</f>
        <v>1471.764448673139</v>
      </c>
      <c r="V568">
        <f>P568+R568+T568</f>
        <v>-1631.217192889329</v>
      </c>
      <c r="W568">
        <f>W567+(U567*Graph!$D$5)</f>
        <v>-8235.2148745796767</v>
      </c>
      <c r="X568">
        <f>X567+(V567*Graph!$D$5)</f>
        <v>-2321.2070631651968</v>
      </c>
      <c r="Y568">
        <f>Y567+(W567*Graph!$D$5)+(U567*Graph!$D$5^2)</f>
        <v>2433.4646424611155</v>
      </c>
      <c r="Z568">
        <f>Z567+(X567*Graph!$D$5)+(V567*Graph!$D$5^2)</f>
        <v>17349.123506425934</v>
      </c>
    </row>
    <row r="569" spans="14:26" x14ac:dyDescent="0.35">
      <c r="N569">
        <f>N568+1</f>
        <v>566</v>
      </c>
      <c r="O569">
        <f>Graph!$D$22*((Graph!$D$18-Y569)/POWER((((Graph!$D$18-$Y569)^2)+((Graph!$E$18-$Z569)^2))+(Graph!$D$23^2),(3/2)))</f>
        <v>1460.5769856846989</v>
      </c>
      <c r="P569" s="84">
        <f>Graph!$D$22*((Graph!$E$18-Z569)/POWER((((Graph!$D$18-$Y569)^2)+((Graph!$E$18-$Z569)^2))+(Graph!$D$23^2),3/2))</f>
        <v>-517.47216921399865</v>
      </c>
      <c r="Q569">
        <f>Graph!$D$31*((Graph!$D$27-Y569)/POWER((((Graph!$D$27-$Y569)^2)+((Graph!$E$27-$Z569)^2))+(Graph!$D$32^2),3/2))</f>
        <v>-427.83180391814778</v>
      </c>
      <c r="R569">
        <f>Graph!$D$31*((Graph!$E$27-Z569)/POWER((((Graph!$D$27-$Y569)^2)+((Graph!$E$27-$Z569)^2))+(Graph!$D$32^2),3/2))</f>
        <v>-132.36998033592792</v>
      </c>
      <c r="S569">
        <f>Graph!$D$40*((Graph!$D$36-Y569)/POWER((((Graph!$D$36-$Y569)^2)+((Graph!$E$36-$Z569)^2))+(Graph!$D$41^2),3/2))</f>
        <v>22.665171556103111</v>
      </c>
      <c r="T569">
        <f>Graph!$D$40*((Graph!$E$36-Z569)/POWER((((Graph!$D$36-$Y569)^2)+((Graph!$E$36-$Z569)^2))+(Graph!$D$41^2),3/2))</f>
        <v>-530.04810024257631</v>
      </c>
      <c r="U569">
        <f>O569+Q569+S569</f>
        <v>1055.4103533226541</v>
      </c>
      <c r="V569">
        <f>P569+R569+T569</f>
        <v>-1179.8902497925028</v>
      </c>
      <c r="W569">
        <f>W568+(U568*Graph!$D$5)</f>
        <v>-7499.3326502431073</v>
      </c>
      <c r="X569">
        <f>X568+(V568*Graph!$D$5)</f>
        <v>-3136.8156596098615</v>
      </c>
      <c r="Y569">
        <f>Y568+(W568*Graph!$D$5)+(U568*Graph!$D$5^2)</f>
        <v>-1316.2016826604381</v>
      </c>
      <c r="Z569">
        <f>Z568+(X568*Graph!$D$5)+(V568*Graph!$D$5^2)</f>
        <v>15780.715676621005</v>
      </c>
    </row>
    <row r="570" spans="14:26" x14ac:dyDescent="0.35">
      <c r="N570">
        <f>N569+1</f>
        <v>567</v>
      </c>
      <c r="O570">
        <f>Graph!$D$22*((Graph!$D$18-Y570)/POWER((((Graph!$D$18-$Y570)^2)+((Graph!$E$18-$Z570)^2))+(Graph!$D$23^2),(3/2)))</f>
        <v>1152.87194609825</v>
      </c>
      <c r="P570" s="84">
        <f>Graph!$D$22*((Graph!$E$18-Z570)/POWER((((Graph!$D$18-$Y570)^2)+((Graph!$E$18-$Z570)^2))+(Graph!$D$23^2),3/2))</f>
        <v>-228.0669849581277</v>
      </c>
      <c r="Q570">
        <f>Graph!$D$31*((Graph!$D$27-Y570)/POWER((((Graph!$D$27-$Y570)^2)+((Graph!$E$27-$Z570)^2))+(Graph!$D$32^2),3/2))</f>
        <v>-656.44875465448865</v>
      </c>
      <c r="R570">
        <f>Graph!$D$31*((Graph!$E$27-Z570)/POWER((((Graph!$D$27-$Y570)^2)+((Graph!$E$27-$Z570)^2))+(Graph!$D$32^2),3/2))</f>
        <v>-169.20203171403605</v>
      </c>
      <c r="S570">
        <f>Graph!$D$40*((Graph!$D$36-Y570)/POWER((((Graph!$D$36-$Y570)^2)+((Graph!$E$36-$Z570)^2))+(Graph!$D$41^2),3/2))</f>
        <v>95.618875800549034</v>
      </c>
      <c r="T570">
        <f>Graph!$D$40*((Graph!$E$36-Z570)/POWER((((Graph!$D$36-$Y570)^2)+((Graph!$E$36-$Z570)^2))+(Graph!$D$41^2),3/2))</f>
        <v>-575.80887388211329</v>
      </c>
      <c r="U570">
        <f>O570+Q570+S570</f>
        <v>592.04206724431037</v>
      </c>
      <c r="V570">
        <f>P570+R570+T570</f>
        <v>-973.07789055427702</v>
      </c>
      <c r="W570">
        <f>W569+(U569*Graph!$D$5)</f>
        <v>-6971.6274735817806</v>
      </c>
      <c r="X570">
        <f>X569+(V569*Graph!$D$5)</f>
        <v>-3726.7607845061129</v>
      </c>
      <c r="Y570">
        <f>Y569+(W569*Graph!$D$5)+(U569*Graph!$D$5^2)</f>
        <v>-4802.0154194513279</v>
      </c>
      <c r="Z570">
        <f>Z569+(X569*Graph!$D$5)+(V569*Graph!$D$5^2)</f>
        <v>13917.335284367949</v>
      </c>
    </row>
    <row r="571" spans="14:26" x14ac:dyDescent="0.35">
      <c r="N571">
        <f>N570+1</f>
        <v>568</v>
      </c>
      <c r="O571">
        <f>Graph!$D$22*((Graph!$D$18-Y571)/POWER((((Graph!$D$18-$Y571)^2)+((Graph!$E$18-$Z571)^2))+(Graph!$D$23^2),(3/2)))</f>
        <v>905.21573973608736</v>
      </c>
      <c r="P571" s="84">
        <f>Graph!$D$22*((Graph!$E$18-Z571)/POWER((((Graph!$D$18-$Y571)^2)+((Graph!$E$18-$Z571)^2))+(Graph!$D$23^2),3/2))</f>
        <v>-70.832920817606805</v>
      </c>
      <c r="Q571">
        <f>Graph!$D$31*((Graph!$D$27-Y571)/POWER((((Graph!$D$27-$Y571)^2)+((Graph!$E$27-$Z571)^2))+(Graph!$D$32^2),3/2))</f>
        <v>-1091.1736665437506</v>
      </c>
      <c r="R571">
        <f>Graph!$D$31*((Graph!$E$27-Z571)/POWER((((Graph!$D$27-$Y571)^2)+((Graph!$E$27-$Z571)^2))+(Graph!$D$32^2),3/2))</f>
        <v>-166.58870451138901</v>
      </c>
      <c r="S571">
        <f>Graph!$D$40*((Graph!$D$36-Y571)/POWER((((Graph!$D$36-$Y571)^2)+((Graph!$E$36-$Z571)^2))+(Graph!$D$41^2),3/2))</f>
        <v>184.85445842327226</v>
      </c>
      <c r="T571">
        <f>Graph!$D$40*((Graph!$E$36-Z571)/POWER((((Graph!$D$36-$Y571)^2)+((Graph!$E$36-$Z571)^2))+(Graph!$D$41^2),3/2))</f>
        <v>-608.86795550525642</v>
      </c>
      <c r="U571">
        <f>O571+Q571+S571</f>
        <v>-1.1034683843910216</v>
      </c>
      <c r="V571">
        <f>P571+R571+T571</f>
        <v>-846.28958083425221</v>
      </c>
      <c r="W571">
        <f>W570+(U570*Graph!$D$5)</f>
        <v>-6675.6064399596253</v>
      </c>
      <c r="X571">
        <f>X570+(V570*Graph!$D$5)</f>
        <v>-4213.2997297832517</v>
      </c>
      <c r="Y571">
        <f>Y570+(W570*Graph!$D$5)+(U570*Graph!$D$5^2)</f>
        <v>-8139.8186394311406</v>
      </c>
      <c r="Z571">
        <f>Z570+(X570*Graph!$D$5)+(V570*Graph!$D$5^2)</f>
        <v>11810.685419476324</v>
      </c>
    </row>
    <row r="572" spans="14:26" x14ac:dyDescent="0.35">
      <c r="N572">
        <f>N571+1</f>
        <v>569</v>
      </c>
      <c r="O572">
        <f>Graph!$D$22*((Graph!$D$18-Y572)/POWER((((Graph!$D$18-$Y572)^2)+((Graph!$E$18-$Z572)^2))+(Graph!$D$23^2),(3/2)))</f>
        <v>708.23139440938633</v>
      </c>
      <c r="P572" s="84">
        <f>Graph!$D$22*((Graph!$E$18-Z572)/POWER((((Graph!$D$18-$Y572)^2)+((Graph!$E$18-$Z572)^2))+(Graph!$D$23^2),3/2))</f>
        <v>13.575606646041427</v>
      </c>
      <c r="Q572">
        <f>Graph!$D$31*((Graph!$D$27-Y572)/POWER((((Graph!$D$27-$Y572)^2)+((Graph!$E$27-$Z572)^2))+(Graph!$D$32^2),3/2))</f>
        <v>-1948.4366801967662</v>
      </c>
      <c r="R572">
        <f>Graph!$D$31*((Graph!$E$27-Z572)/POWER((((Graph!$D$27-$Y572)^2)+((Graph!$E$27-$Z572)^2))+(Graph!$D$32^2),3/2))</f>
        <v>116.03984147181529</v>
      </c>
      <c r="S572">
        <f>Graph!$D$40*((Graph!$D$36-Y572)/POWER((((Graph!$D$36-$Y572)^2)+((Graph!$E$36-$Z572)^2))+(Graph!$D$41^2),3/2))</f>
        <v>288.76314363192989</v>
      </c>
      <c r="T572">
        <f>Graph!$D$40*((Graph!$E$36-Z572)/POWER((((Graph!$D$36-$Y572)^2)+((Graph!$E$36-$Z572)^2))+(Graph!$D$41^2),3/2))</f>
        <v>-616.18606697090593</v>
      </c>
      <c r="U572">
        <f>O572+Q572+S572</f>
        <v>-951.44214215545014</v>
      </c>
      <c r="V572">
        <f>P572+R572+T572</f>
        <v>-486.57061885304921</v>
      </c>
      <c r="W572">
        <f>W571+(U571*Graph!$D$5)</f>
        <v>-6676.1581741518212</v>
      </c>
      <c r="X572">
        <f>X571+(V571*Graph!$D$5)</f>
        <v>-4636.4445202003781</v>
      </c>
      <c r="Y572">
        <f>Y571+(W571*Graph!$D$5)+(U571*Graph!$D$5^2)</f>
        <v>-11477.89772650705</v>
      </c>
      <c r="Z572">
        <f>Z571+(X571*Graph!$D$5)+(V571*Graph!$D$5^2)</f>
        <v>9492.4631593761351</v>
      </c>
    </row>
    <row r="573" spans="14:26" x14ac:dyDescent="0.35">
      <c r="N573">
        <f>N572+1</f>
        <v>570</v>
      </c>
      <c r="O573">
        <f>Graph!$D$22*((Graph!$D$18-Y573)/POWER((((Graph!$D$18-$Y573)^2)+((Graph!$E$18-$Z573)^2))+(Graph!$D$23^2),(3/2)))</f>
        <v>548.71214057723023</v>
      </c>
      <c r="P573" s="84">
        <f>Graph!$D$22*((Graph!$E$18-Z573)/POWER((((Graph!$D$18-$Y573)^2)+((Graph!$E$18-$Z573)^2))+(Graph!$D$23^2),3/2))</f>
        <v>53.812599954539671</v>
      </c>
      <c r="Q573">
        <f>Graph!$D$31*((Graph!$D$27-Y573)/POWER((((Graph!$D$27-$Y573)^2)+((Graph!$E$27-$Z573)^2))+(Graph!$D$32^2),3/2))</f>
        <v>-2903.70795412912</v>
      </c>
      <c r="R573">
        <f>Graph!$D$31*((Graph!$E$27-Z573)/POWER((((Graph!$D$27-$Y573)^2)+((Graph!$E$27-$Z573)^2))+(Graph!$D$32^2),3/2))</f>
        <v>1730.3098432798092</v>
      </c>
      <c r="S573">
        <f>Graph!$D$40*((Graph!$D$36-Y573)/POWER((((Graph!$D$36-$Y573)^2)+((Graph!$E$36-$Z573)^2))+(Graph!$D$41^2),3/2))</f>
        <v>393.20459300763628</v>
      </c>
      <c r="T573">
        <f>Graph!$D$40*((Graph!$E$36-Z573)/POWER((((Graph!$D$36-$Y573)^2)+((Graph!$E$36-$Z573)^2))+(Graph!$D$41^2),3/2))</f>
        <v>-576.01146580875104</v>
      </c>
      <c r="U573">
        <f>O573+Q573+S573</f>
        <v>-1961.7912205442537</v>
      </c>
      <c r="V573">
        <f>P573+R573+T573</f>
        <v>1208.1109774255979</v>
      </c>
      <c r="W573">
        <f>W572+(U572*Graph!$D$5)</f>
        <v>-7151.8792452295465</v>
      </c>
      <c r="X573">
        <f>X572+(V572*Graph!$D$5)</f>
        <v>-4879.7298296269028</v>
      </c>
      <c r="Y573">
        <f>Y572+(W572*Graph!$D$5)+(U572*Graph!$D$5^2)</f>
        <v>-15053.837349121823</v>
      </c>
      <c r="Z573">
        <f>Z572+(X572*Graph!$D$5)+(V572*Graph!$D$5^2)</f>
        <v>7052.5982445626842</v>
      </c>
    </row>
    <row r="574" spans="14:26" x14ac:dyDescent="0.35">
      <c r="N574">
        <f>N573+1</f>
        <v>571</v>
      </c>
      <c r="O574">
        <f>Graph!$D$22*((Graph!$D$18-Y574)/POWER((((Graph!$D$18-$Y574)^2)+((Graph!$E$18-$Z574)^2))+(Graph!$D$23^2),(3/2)))</f>
        <v>421.81265613255982</v>
      </c>
      <c r="P574" s="84">
        <f>Graph!$D$22*((Graph!$E$18-Z574)/POWER((((Graph!$D$18-$Y574)^2)+((Graph!$E$18-$Z574)^2))+(Graph!$D$23^2),3/2))</f>
        <v>62.866471496815088</v>
      </c>
      <c r="Q574">
        <f>Graph!$D$31*((Graph!$D$27-Y574)/POWER((((Graph!$D$27-$Y574)^2)+((Graph!$E$27-$Z574)^2))+(Graph!$D$32^2),3/2))</f>
        <v>-651.64906161887393</v>
      </c>
      <c r="R574">
        <f>Graph!$D$31*((Graph!$E$27-Z574)/POWER((((Graph!$D$27-$Y574)^2)+((Graph!$E$27-$Z574)^2))+(Graph!$D$32^2),3/2))</f>
        <v>3766.6338935839631</v>
      </c>
      <c r="S574">
        <f>Graph!$D$40*((Graph!$D$36-Y574)/POWER((((Graph!$D$36-$Y574)^2)+((Graph!$E$36-$Z574)^2))+(Graph!$D$41^2),3/2))</f>
        <v>453.29398481370453</v>
      </c>
      <c r="T574">
        <f>Graph!$D$40*((Graph!$E$36-Z574)/POWER((((Graph!$D$36-$Y574)^2)+((Graph!$E$36-$Z574)^2))+(Graph!$D$41^2),3/2))</f>
        <v>-472.13050626963951</v>
      </c>
      <c r="U574">
        <f>O574+Q574+S574</f>
        <v>223.45757932739042</v>
      </c>
      <c r="V574">
        <f>P574+R574+T574</f>
        <v>3357.3698588111383</v>
      </c>
      <c r="W574">
        <f>W573+(U573*Graph!$D$5)</f>
        <v>-8132.7748555016733</v>
      </c>
      <c r="X574">
        <f>X573+(V573*Graph!$D$5)</f>
        <v>-4275.6743409141036</v>
      </c>
      <c r="Y574">
        <f>Y573+(W573*Graph!$D$5)+(U573*Graph!$D$5^2)</f>
        <v>-19120.224776872659</v>
      </c>
      <c r="Z574">
        <f>Z573+(X573*Graph!$D$5)+(V573*Graph!$D$5^2)</f>
        <v>4914.7610741056324</v>
      </c>
    </row>
    <row r="575" spans="14:26" x14ac:dyDescent="0.35">
      <c r="N575">
        <f>N574+1</f>
        <v>572</v>
      </c>
      <c r="O575">
        <f>Graph!$D$22*((Graph!$D$18-Y575)/POWER((((Graph!$D$18-$Y575)^2)+((Graph!$E$18-$Z575)^2))+(Graph!$D$23^2),(3/2)))</f>
        <v>337.00363459021293</v>
      </c>
      <c r="P575" s="84">
        <f>Graph!$D$22*((Graph!$E$18-Z575)/POWER((((Graph!$D$18-$Y575)^2)+((Graph!$E$18-$Z575)^2))+(Graph!$D$23^2),3/2))</f>
        <v>56.420121809646844</v>
      </c>
      <c r="Q575">
        <f>Graph!$D$31*((Graph!$D$27-Y575)/POWER((((Graph!$D$27-$Y575)^2)+((Graph!$E$27-$Z575)^2))+(Graph!$D$32^2),3/2))</f>
        <v>1129.7013205241194</v>
      </c>
      <c r="R575">
        <f>Graph!$D$31*((Graph!$E$27-Z575)/POWER((((Graph!$D$27-$Y575)^2)+((Graph!$E$27-$Z575)^2))+(Graph!$D$32^2),3/2))</f>
        <v>2303.5110943757659</v>
      </c>
      <c r="S575">
        <f>Graph!$D$40*((Graph!$D$36-Y575)/POWER((((Graph!$D$36-$Y575)^2)+((Graph!$E$36-$Z575)^2))+(Graph!$D$41^2),3/2))</f>
        <v>443.67706011987866</v>
      </c>
      <c r="T575">
        <f>Graph!$D$40*((Graph!$E$36-Z575)/POWER((((Graph!$D$36-$Y575)^2)+((Graph!$E$36-$Z575)^2))+(Graph!$D$41^2),3/2))</f>
        <v>-357.08358418149652</v>
      </c>
      <c r="U575">
        <f>O575+Q575+S575</f>
        <v>1910.3820152342109</v>
      </c>
      <c r="V575">
        <f>P575+R575+T575</f>
        <v>2002.8476320039163</v>
      </c>
      <c r="W575">
        <f>W574+(U574*Graph!$D$5)</f>
        <v>-8021.0460658379779</v>
      </c>
      <c r="X575">
        <f>X574+(V574*Graph!$D$5)</f>
        <v>-2596.9894115085344</v>
      </c>
      <c r="Y575">
        <f>Y574+(W574*Graph!$D$5)+(U574*Graph!$D$5^2)</f>
        <v>-23130.74780979165</v>
      </c>
      <c r="Z575">
        <f>Z574+(X574*Graph!$D$5)+(V574*Graph!$D$5^2)</f>
        <v>3616.2663683513651</v>
      </c>
    </row>
    <row r="576" spans="14:26" x14ac:dyDescent="0.35">
      <c r="N576">
        <f>N575+1</f>
        <v>573</v>
      </c>
      <c r="O576">
        <f>Graph!$D$22*((Graph!$D$18-Y576)/POWER((((Graph!$D$18-$Y576)^2)+((Graph!$E$18-$Z576)^2))+(Graph!$D$23^2),(3/2)))</f>
        <v>282.72367233272297</v>
      </c>
      <c r="P576" s="84">
        <f>Graph!$D$22*((Graph!$E$18-Z576)/POWER((((Graph!$D$18-$Y576)^2)+((Graph!$E$18-$Z576)^2))+(Graph!$D$23^2),3/2))</f>
        <v>48.73273136185589</v>
      </c>
      <c r="Q576">
        <f>Graph!$D$31*((Graph!$D$27-Y576)/POWER((((Graph!$D$27-$Y576)^2)+((Graph!$E$27-$Z576)^2))+(Graph!$D$32^2),3/2))</f>
        <v>1062.9005327813893</v>
      </c>
      <c r="R576">
        <f>Graph!$D$31*((Graph!$E$27-Z576)/POWER((((Graph!$D$27-$Y576)^2)+((Graph!$E$27-$Z576)^2))+(Graph!$D$32^2),3/2))</f>
        <v>1145.4996305758291</v>
      </c>
      <c r="S576">
        <f>Graph!$D$40*((Graph!$D$36-Y576)/POWER((((Graph!$D$36-$Y576)^2)+((Graph!$E$36-$Z576)^2))+(Graph!$D$41^2),3/2))</f>
        <v>408.3173003048409</v>
      </c>
      <c r="T576">
        <f>Graph!$D$40*((Graph!$E$36-Z576)/POWER((((Graph!$D$36-$Y576)^2)+((Graph!$E$36-$Z576)^2))+(Graph!$D$41^2),3/2))</f>
        <v>-272.86542513731155</v>
      </c>
      <c r="U576">
        <f>O576+Q576+S576</f>
        <v>1753.9415054189533</v>
      </c>
      <c r="V576">
        <f>P576+R576+T576</f>
        <v>921.36693680037342</v>
      </c>
      <c r="W576">
        <f>W575+(U575*Graph!$D$5)</f>
        <v>-7065.8550582208727</v>
      </c>
      <c r="X576">
        <f>X575+(V575*Graph!$D$5)</f>
        <v>-1595.5655955065763</v>
      </c>
      <c r="Y576">
        <f>Y575+(W575*Graph!$D$5)+(U575*Graph!$D$5^2)</f>
        <v>-26663.675338902089</v>
      </c>
      <c r="Z576">
        <f>Z575+(X575*Graph!$D$5)+(V575*Graph!$D$5^2)</f>
        <v>2818.4835705980768</v>
      </c>
    </row>
    <row r="577" spans="14:26" x14ac:dyDescent="0.35">
      <c r="N577">
        <f>N576+1</f>
        <v>574</v>
      </c>
      <c r="O577">
        <f>Graph!$D$22*((Graph!$D$18-Y577)/POWER((((Graph!$D$18-$Y577)^2)+((Graph!$E$18-$Z577)^2))+(Graph!$D$23^2),(3/2)))</f>
        <v>245.56702639714345</v>
      </c>
      <c r="P577" s="84">
        <f>Graph!$D$22*((Graph!$E$18-Z577)/POWER((((Graph!$D$18-$Y577)^2)+((Graph!$E$18-$Z577)^2))+(Graph!$D$23^2),3/2))</f>
        <v>42.514934851259568</v>
      </c>
      <c r="Q577">
        <f>Graph!$D$31*((Graph!$D$27-Y577)/POWER((((Graph!$D$27-$Y577)^2)+((Graph!$E$27-$Z577)^2))+(Graph!$D$32^2),3/2))</f>
        <v>808.29460553975775</v>
      </c>
      <c r="R577">
        <f>Graph!$D$31*((Graph!$E$27-Z577)/POWER((((Graph!$D$27-$Y577)^2)+((Graph!$E$27-$Z577)^2))+(Graph!$D$32^2),3/2))</f>
        <v>641.86976078809505</v>
      </c>
      <c r="S577">
        <f>Graph!$D$40*((Graph!$D$36-Y577)/POWER((((Graph!$D$36-$Y577)^2)+((Graph!$E$36-$Z577)^2))+(Graph!$D$41^2),3/2))</f>
        <v>371.04451098384806</v>
      </c>
      <c r="T577">
        <f>Graph!$D$40*((Graph!$E$36-Z577)/POWER((((Graph!$D$36-$Y577)^2)+((Graph!$E$36-$Z577)^2))+(Graph!$D$41^2),3/2))</f>
        <v>-215.09776728257214</v>
      </c>
      <c r="U577">
        <f>O577+Q577+S577</f>
        <v>1424.9061429207493</v>
      </c>
      <c r="V577">
        <f>P577+R577+T577</f>
        <v>469.28692835678248</v>
      </c>
      <c r="W577">
        <f>W576+(U576*Graph!$D$5)</f>
        <v>-6188.8843055113957</v>
      </c>
      <c r="X577">
        <f>X576+(V576*Graph!$D$5)</f>
        <v>-1134.8821271063896</v>
      </c>
      <c r="Y577">
        <f>Y576+(W576*Graph!$D$5)+(U576*Graph!$D$5^2)</f>
        <v>-29758.117491657784</v>
      </c>
      <c r="Z577">
        <f>Z576+(X576*Graph!$D$5)+(V576*Graph!$D$5^2)</f>
        <v>2251.0425070448819</v>
      </c>
    </row>
    <row r="578" spans="14:26" x14ac:dyDescent="0.35">
      <c r="N578">
        <f>N577+1</f>
        <v>575</v>
      </c>
      <c r="O578">
        <f>Graph!$D$22*((Graph!$D$18-Y578)/POWER((((Graph!$D$18-$Y578)^2)+((Graph!$E$18-$Z578)^2))+(Graph!$D$23^2),(3/2)))</f>
        <v>218.56290978818441</v>
      </c>
      <c r="P578" s="84">
        <f>Graph!$D$22*((Graph!$E$18-Z578)/POWER((((Graph!$D$18-$Y578)^2)+((Graph!$E$18-$Z578)^2))+(Graph!$D$23^2),3/2))</f>
        <v>37.729525018728069</v>
      </c>
      <c r="Q578">
        <f>Graph!$D$31*((Graph!$D$27-Y578)/POWER((((Graph!$D$27-$Y578)^2)+((Graph!$E$27-$Z578)^2))+(Graph!$D$32^2),3/2))</f>
        <v>620.46974378113987</v>
      </c>
      <c r="R578">
        <f>Graph!$D$31*((Graph!$E$27-Z578)/POWER((((Graph!$D$27-$Y578)^2)+((Graph!$E$27-$Z578)^2))+(Graph!$D$32^2),3/2))</f>
        <v>407.10175154935877</v>
      </c>
      <c r="S578">
        <f>Graph!$D$40*((Graph!$D$36-Y578)/POWER((((Graph!$D$36-$Y578)^2)+((Graph!$E$36-$Z578)^2))+(Graph!$D$41^2),3/2))</f>
        <v>338.02911002008852</v>
      </c>
      <c r="T578">
        <f>Graph!$D$40*((Graph!$E$36-Z578)/POWER((((Graph!$D$36-$Y578)^2)+((Graph!$E$36-$Z578)^2))+(Graph!$D$41^2),3/2))</f>
        <v>-174.7643677076893</v>
      </c>
      <c r="U578">
        <f>O578+Q578+S578</f>
        <v>1177.0617635894127</v>
      </c>
      <c r="V578">
        <f>P578+R578+T578</f>
        <v>270.06690886039752</v>
      </c>
      <c r="W578">
        <f>W577+(U577*Graph!$D$5)</f>
        <v>-5476.4312340510214</v>
      </c>
      <c r="X578">
        <f>X577+(V577*Graph!$D$5)</f>
        <v>-900.23866292799835</v>
      </c>
      <c r="Y578">
        <f>Y577+(W577*Graph!$D$5)+(U577*Graph!$D$5^2)</f>
        <v>-32496.333108683291</v>
      </c>
      <c r="Z578">
        <f>Z577+(X577*Graph!$D$5)+(V577*Graph!$D$5^2)</f>
        <v>1800.9231755808826</v>
      </c>
    </row>
    <row r="579" spans="14:26" x14ac:dyDescent="0.35">
      <c r="N579">
        <f>N578+1</f>
        <v>576</v>
      </c>
      <c r="O579">
        <f>Graph!$D$22*((Graph!$D$18-Y579)/POWER((((Graph!$D$18-$Y579)^2)+((Graph!$E$18-$Z579)^2))+(Graph!$D$23^2),(3/2)))</f>
        <v>198.07377199406113</v>
      </c>
      <c r="P579" s="84">
        <f>Graph!$D$22*((Graph!$E$18-Z579)/POWER((((Graph!$D$18-$Y579)^2)+((Graph!$E$18-$Z579)^2))+(Graph!$D$23^2),3/2))</f>
        <v>34.036763563916004</v>
      </c>
      <c r="Q579">
        <f>Graph!$D$31*((Graph!$D$27-Y579)/POWER((((Graph!$D$27-$Y579)^2)+((Graph!$E$27-$Z579)^2))+(Graph!$D$32^2),3/2))</f>
        <v>493.7279469664831</v>
      </c>
      <c r="R579">
        <f>Graph!$D$31*((Graph!$E$27-Z579)/POWER((((Graph!$D$27-$Y579)^2)+((Graph!$E$27-$Z579)^2))+(Graph!$D$32^2),3/2))</f>
        <v>283.59669526133985</v>
      </c>
      <c r="S579">
        <f>Graph!$D$40*((Graph!$D$36-Y579)/POWER((((Graph!$D$36-$Y579)^2)+((Graph!$E$36-$Z579)^2))+(Graph!$D$41^2),3/2))</f>
        <v>310.12781544980948</v>
      </c>
      <c r="T579">
        <f>Graph!$D$40*((Graph!$E$36-Z579)/POWER((((Graph!$D$36-$Y579)^2)+((Graph!$E$36-$Z579)^2))+(Graph!$D$41^2),3/2))</f>
        <v>-145.72800828879522</v>
      </c>
      <c r="U579">
        <f>O579+Q579+S579</f>
        <v>1001.9295344103537</v>
      </c>
      <c r="V579">
        <f>P579+R579+T579</f>
        <v>171.90545053646062</v>
      </c>
      <c r="W579">
        <f>W578+(U578*Graph!$D$5)</f>
        <v>-4887.9003522563153</v>
      </c>
      <c r="X579">
        <f>X578+(V578*Graph!$D$5)</f>
        <v>-765.20520849779962</v>
      </c>
      <c r="Y579">
        <f>Y578+(W578*Graph!$D$5)+(U578*Graph!$D$5^2)</f>
        <v>-34940.283284811449</v>
      </c>
      <c r="Z579">
        <f>Z578+(X578*Graph!$D$5)+(V578*Graph!$D$5^2)</f>
        <v>1418.3205713319826</v>
      </c>
    </row>
    <row r="580" spans="14:26" x14ac:dyDescent="0.35">
      <c r="N580">
        <f>N579+1</f>
        <v>577</v>
      </c>
      <c r="O580">
        <f>Graph!$D$22*((Graph!$D$18-Y580)/POWER((((Graph!$D$18-$Y580)^2)+((Graph!$E$18-$Z580)^2))+(Graph!$D$23^2),(3/2)))</f>
        <v>182.03822243711878</v>
      </c>
      <c r="P580" s="84">
        <f>Graph!$D$22*((Graph!$E$18-Z580)/POWER((((Graph!$D$18-$Y580)^2)+((Graph!$E$18-$Z580)^2))+(Graph!$D$23^2),3/2))</f>
        <v>31.151002804830679</v>
      </c>
      <c r="Q580">
        <f>Graph!$D$31*((Graph!$D$27-Y580)/POWER((((Graph!$D$27-$Y580)^2)+((Graph!$E$27-$Z580)^2))+(Graph!$D$32^2),3/2))</f>
        <v>406.69513216828574</v>
      </c>
      <c r="R580">
        <f>Graph!$D$31*((Graph!$E$27-Z580)/POWER((((Graph!$D$27-$Y580)^2)+((Graph!$E$27-$Z580)^2))+(Graph!$D$32^2),3/2))</f>
        <v>211.7604937945238</v>
      </c>
      <c r="S580">
        <f>Graph!$D$40*((Graph!$D$36-Y580)/POWER((((Graph!$D$36-$Y580)^2)+((Graph!$E$36-$Z580)^2))+(Graph!$D$41^2),3/2))</f>
        <v>286.84581705529348</v>
      </c>
      <c r="T580">
        <f>Graph!$D$40*((Graph!$E$36-Z580)/POWER((((Graph!$D$36-$Y580)^2)+((Graph!$E$36-$Z580)^2))+(Graph!$D$41^2),3/2))</f>
        <v>-124.20254023313157</v>
      </c>
      <c r="U580">
        <f>O580+Q580+S580</f>
        <v>875.57917166069797</v>
      </c>
      <c r="V580">
        <f>P580+R580+T580</f>
        <v>118.70895636622291</v>
      </c>
      <c r="W580">
        <f>W579+(U579*Graph!$D$5)</f>
        <v>-4386.9355850511383</v>
      </c>
      <c r="X580">
        <f>X579+(V579*Graph!$D$5)</f>
        <v>-679.25248322956929</v>
      </c>
      <c r="Y580">
        <f>Y579+(W579*Graph!$D$5)+(U579*Graph!$D$5^2)</f>
        <v>-37133.751077337016</v>
      </c>
      <c r="Z580">
        <f>Z579+(X579*Graph!$D$5)+(V579*Graph!$D$5^2)</f>
        <v>1078.6943297171979</v>
      </c>
    </row>
    <row r="581" spans="14:26" x14ac:dyDescent="0.35">
      <c r="N581">
        <f>N580+1</f>
        <v>578</v>
      </c>
      <c r="O581">
        <f>Graph!$D$22*((Graph!$D$18-Y581)/POWER((((Graph!$D$18-$Y581)^2)+((Graph!$E$18-$Z581)^2))+(Graph!$D$23^2),(3/2)))</f>
        <v>169.19859316317431</v>
      </c>
      <c r="P581" s="84">
        <f>Graph!$D$22*((Graph!$E$18-Z581)/POWER((((Graph!$D$18-$Y581)^2)+((Graph!$E$18-$Z581)^2))+(Graph!$D$23^2),3/2))</f>
        <v>28.866451334707033</v>
      </c>
      <c r="Q581">
        <f>Graph!$D$31*((Graph!$D$27-Y581)/POWER((((Graph!$D$27-$Y581)^2)+((Graph!$E$27-$Z581)^2))+(Graph!$D$32^2),3/2))</f>
        <v>344.91746839997381</v>
      </c>
      <c r="R581">
        <f>Graph!$D$31*((Graph!$E$27-Z581)/POWER((((Graph!$D$27-$Y581)^2)+((Graph!$E$27-$Z581)^2))+(Graph!$D$32^2),3/2))</f>
        <v>166.63004976668466</v>
      </c>
      <c r="S581">
        <f>Graph!$D$40*((Graph!$D$36-Y581)/POWER((((Graph!$D$36-$Y581)^2)+((Graph!$E$36-$Z581)^2))+(Graph!$D$41^2),3/2))</f>
        <v>267.44404135296412</v>
      </c>
      <c r="T581">
        <f>Graph!$D$40*((Graph!$E$36-Z581)/POWER((((Graph!$D$36-$Y581)^2)+((Graph!$E$36-$Z581)^2))+(Graph!$D$41^2),3/2))</f>
        <v>-107.83527744816624</v>
      </c>
      <c r="U581">
        <f>O581+Q581+S581</f>
        <v>781.56010291611233</v>
      </c>
      <c r="V581">
        <f>P581+R581+T581</f>
        <v>87.661223653225449</v>
      </c>
      <c r="W581">
        <f>W580+(U580*Graph!$D$5)</f>
        <v>-3949.1459992207892</v>
      </c>
      <c r="X581">
        <f>X580+(V580*Graph!$D$5)</f>
        <v>-619.8980050464578</v>
      </c>
      <c r="Y581">
        <f>Y580+(W580*Graph!$D$5)+(U580*Graph!$D$5^2)</f>
        <v>-39108.324076947407</v>
      </c>
      <c r="Z581">
        <f>Z580+(X580*Graph!$D$5)+(V580*Graph!$D$5^2)</f>
        <v>768.74532719396893</v>
      </c>
    </row>
    <row r="582" spans="14:26" x14ac:dyDescent="0.35">
      <c r="N582">
        <f>N581+1</f>
        <v>579</v>
      </c>
      <c r="O582">
        <f>Graph!$D$22*((Graph!$D$18-Y582)/POWER((((Graph!$D$18-$Y582)^2)+((Graph!$E$18-$Z582)^2))+(Graph!$D$23^2),(3/2)))</f>
        <v>158.74163343771201</v>
      </c>
      <c r="P582" s="84">
        <f>Graph!$D$22*((Graph!$E$18-Z582)/POWER((((Graph!$D$18-$Y582)^2)+((Graph!$E$18-$Z582)^2))+(Graph!$D$23^2),3/2))</f>
        <v>27.038375205238182</v>
      </c>
      <c r="Q582">
        <f>Graph!$D$31*((Graph!$D$27-Y582)/POWER((((Graph!$D$27-$Y582)^2)+((Graph!$E$27-$Z582)^2))+(Graph!$D$32^2),3/2))</f>
        <v>299.64644913599767</v>
      </c>
      <c r="R582">
        <f>Graph!$D$31*((Graph!$E$27-Z582)/POWER((((Graph!$D$27-$Y582)^2)+((Graph!$E$27-$Z582)^2))+(Graph!$D$32^2),3/2))</f>
        <v>136.56110091337652</v>
      </c>
      <c r="S582">
        <f>Graph!$D$40*((Graph!$D$36-Y582)/POWER((((Graph!$D$36-$Y582)^2)+((Graph!$E$36-$Z582)^2))+(Graph!$D$41^2),3/2))</f>
        <v>251.23663208760914</v>
      </c>
      <c r="T582">
        <f>Graph!$D$40*((Graph!$E$36-Z582)/POWER((((Graph!$D$36-$Y582)^2)+((Graph!$E$36-$Z582)^2))+(Graph!$D$41^2),3/2))</f>
        <v>-95.122499093731875</v>
      </c>
      <c r="U582">
        <f>O582+Q582+S582</f>
        <v>709.62471466131876</v>
      </c>
      <c r="V582">
        <f>P582+R582+T582</f>
        <v>68.476977024882814</v>
      </c>
      <c r="W582">
        <f>W581+(U581*Graph!$D$5)</f>
        <v>-3558.365947762733</v>
      </c>
      <c r="X582">
        <f>X581+(V581*Graph!$D$5)</f>
        <v>-576.06739321984503</v>
      </c>
      <c r="Y582">
        <f>Y581+(W581*Graph!$D$5)+(U581*Graph!$D$5^2)</f>
        <v>-40887.507050828768</v>
      </c>
      <c r="Z582">
        <f>Z581+(X581*Graph!$D$5)+(V581*Graph!$D$5^2)</f>
        <v>480.71163058404642</v>
      </c>
    </row>
    <row r="583" spans="14:26" x14ac:dyDescent="0.35">
      <c r="N583">
        <f>N582+1</f>
        <v>580</v>
      </c>
      <c r="O583">
        <f>Graph!$D$22*((Graph!$D$18-Y583)/POWER((((Graph!$D$18-$Y583)^2)+((Graph!$E$18-$Z583)^2))+(Graph!$D$23^2),(3/2)))</f>
        <v>150.11704113484427</v>
      </c>
      <c r="P583" s="84">
        <f>Graph!$D$22*((Graph!$E$18-Z583)/POWER((((Graph!$D$18-$Y583)^2)+((Graph!$E$18-$Z583)^2))+(Graph!$D$23^2),3/2))</f>
        <v>25.564351847725721</v>
      </c>
      <c r="Q583">
        <f>Graph!$D$31*((Graph!$D$27-Y583)/POWER((((Graph!$D$27-$Y583)^2)+((Graph!$E$27-$Z583)^2))+(Graph!$D$32^2),3/2))</f>
        <v>265.55717603216385</v>
      </c>
      <c r="R583">
        <f>Graph!$D$31*((Graph!$E$27-Z583)/POWER((((Graph!$D$27-$Y583)^2)+((Graph!$E$27-$Z583)^2))+(Graph!$D$32^2),3/2))</f>
        <v>115.60433101957177</v>
      </c>
      <c r="S583">
        <f>Graph!$D$40*((Graph!$D$36-Y583)/POWER((((Graph!$D$36-$Y583)^2)+((Graph!$E$36-$Z583)^2))+(Graph!$D$41^2),3/2))</f>
        <v>237.65504615890089</v>
      </c>
      <c r="T583">
        <f>Graph!$D$40*((Graph!$E$36-Z583)/POWER((((Graph!$D$36-$Y583)^2)+((Graph!$E$36-$Z583)^2))+(Graph!$D$41^2),3/2))</f>
        <v>-85.072863632092805</v>
      </c>
      <c r="U583">
        <f>O583+Q583+S583</f>
        <v>653.32926332590898</v>
      </c>
      <c r="V583">
        <f>P583+R583+T583</f>
        <v>56.095819235204686</v>
      </c>
      <c r="W583">
        <f>W582+(U582*Graph!$D$5)</f>
        <v>-3203.5535904320736</v>
      </c>
      <c r="X583">
        <f>X582+(V582*Graph!$D$5)</f>
        <v>-541.82890470740358</v>
      </c>
      <c r="Y583">
        <f>Y582+(W582*Graph!$D$5)+(U582*Graph!$D$5^2)</f>
        <v>-42489.283846044804</v>
      </c>
      <c r="Z583">
        <f>Z582+(X582*Graph!$D$5)+(V582*Graph!$D$5^2)</f>
        <v>209.7971782303446</v>
      </c>
    </row>
    <row r="584" spans="14:26" x14ac:dyDescent="0.35">
      <c r="N584">
        <f>N583+1</f>
        <v>581</v>
      </c>
      <c r="O584">
        <f>Graph!$D$22*((Graph!$D$18-Y584)/POWER((((Graph!$D$18-$Y584)^2)+((Graph!$E$18-$Z584)^2))+(Graph!$D$23^2),(3/2)))</f>
        <v>142.93886111864478</v>
      </c>
      <c r="P584" s="84">
        <f>Graph!$D$22*((Graph!$E$18-Z584)/POWER((((Graph!$D$18-$Y584)^2)+((Graph!$E$18-$Z584)^2))+(Graph!$D$23^2),3/2))</f>
        <v>24.370871191310307</v>
      </c>
      <c r="Q584">
        <f>Graph!$D$31*((Graph!$D$27-Y584)/POWER((((Graph!$D$27-$Y584)^2)+((Graph!$E$27-$Z584)^2))+(Graph!$D$32^2),3/2))</f>
        <v>239.3118659619503</v>
      </c>
      <c r="R584">
        <f>Graph!$D$31*((Graph!$E$27-Z584)/POWER((((Graph!$D$27-$Y584)^2)+((Graph!$E$27-$Z584)^2))+(Graph!$D$32^2),3/2))</f>
        <v>100.48545424112534</v>
      </c>
      <c r="S584">
        <f>Graph!$D$40*((Graph!$D$36-Y584)/POWER((((Graph!$D$36-$Y584)^2)+((Graph!$E$36-$Z584)^2))+(Graph!$D$41^2),3/2))</f>
        <v>226.24570770140954</v>
      </c>
      <c r="T584">
        <f>Graph!$D$40*((Graph!$E$36-Z584)/POWER((((Graph!$D$36-$Y584)^2)+((Graph!$E$36-$Z584)^2))+(Graph!$D$41^2),3/2))</f>
        <v>-77.013564851392672</v>
      </c>
      <c r="U584">
        <f>O584+Q584+S584</f>
        <v>608.4964347820046</v>
      </c>
      <c r="V584">
        <f>P584+R584+T584</f>
        <v>47.842760581042981</v>
      </c>
      <c r="W584">
        <f>W583+(U583*Graph!$D$5)</f>
        <v>-2876.8889587691192</v>
      </c>
      <c r="X584">
        <f>X583+(V583*Graph!$D$5)</f>
        <v>-513.78099508980119</v>
      </c>
      <c r="Y584">
        <f>Y583+(W583*Graph!$D$5)+(U583*Graph!$D$5^2)</f>
        <v>-43927.728325429365</v>
      </c>
      <c r="Z584">
        <f>Z583+(X583*Graph!$D$5)+(V583*Graph!$D$5^2)</f>
        <v>-47.09331931455602</v>
      </c>
    </row>
    <row r="585" spans="14:26" x14ac:dyDescent="0.35">
      <c r="N585">
        <f>N584+1</f>
        <v>582</v>
      </c>
      <c r="O585">
        <f>Graph!$D$22*((Graph!$D$18-Y585)/POWER((((Graph!$D$18-$Y585)^2)+((Graph!$E$18-$Z585)^2))+(Graph!$D$23^2),(3/2)))</f>
        <v>136.92856809663394</v>
      </c>
      <c r="P585" s="84">
        <f>Graph!$D$22*((Graph!$E$18-Z585)/POWER((((Graph!$D$18-$Y585)^2)+((Graph!$E$18-$Z585)^2))+(Graph!$D$23^2),3/2))</f>
        <v>23.404371904479856</v>
      </c>
      <c r="Q585">
        <f>Graph!$D$31*((Graph!$D$27-Y585)/POWER((((Graph!$D$27-$Y585)^2)+((Graph!$E$27-$Z585)^2))+(Graph!$D$32^2),3/2))</f>
        <v>218.74794604019596</v>
      </c>
      <c r="R585">
        <f>Graph!$D$31*((Graph!$E$27-Z585)/POWER((((Graph!$D$27-$Y585)^2)+((Graph!$E$27-$Z585)^2))+(Graph!$D$32^2),3/2))</f>
        <v>89.289861644215463</v>
      </c>
      <c r="S585">
        <f>Graph!$D$40*((Graph!$D$36-Y585)/POWER((((Graph!$D$36-$Y585)^2)+((Graph!$E$36-$Z585)^2))+(Graph!$D$41^2),3/2))</f>
        <v>216.65153236855878</v>
      </c>
      <c r="T585">
        <f>Graph!$D$40*((Graph!$E$36-Z585)/POWER((((Graph!$D$36-$Y585)^2)+((Graph!$E$36-$Z585)^2))+(Graph!$D$41^2),3/2))</f>
        <v>-70.476009548604097</v>
      </c>
      <c r="U585">
        <f>O585+Q585+S585</f>
        <v>572.32804650538867</v>
      </c>
      <c r="V585">
        <f>P585+R585+T585</f>
        <v>42.218224000091226</v>
      </c>
      <c r="W585">
        <f>W584+(U584*Graph!$D$5)</f>
        <v>-2572.6407413781171</v>
      </c>
      <c r="X585">
        <f>X584+(V584*Graph!$D$5)</f>
        <v>-489.85961479927971</v>
      </c>
      <c r="Y585">
        <f>Y584+(W584*Graph!$D$5)+(U584*Graph!$D$5^2)</f>
        <v>-45214.048696118429</v>
      </c>
      <c r="Z585">
        <f>Z584+(X584*Graph!$D$5)+(V584*Graph!$D$5^2)</f>
        <v>-292.02312671419588</v>
      </c>
    </row>
    <row r="586" spans="14:26" x14ac:dyDescent="0.35">
      <c r="N586">
        <f>N585+1</f>
        <v>583</v>
      </c>
      <c r="O586">
        <f>Graph!$D$22*((Graph!$D$18-Y586)/POWER((((Graph!$D$18-$Y586)^2)+((Graph!$E$18-$Z586)^2))+(Graph!$D$23^2),(3/2)))</f>
        <v>131.88054015958852</v>
      </c>
      <c r="P586" s="84">
        <f>Graph!$D$22*((Graph!$E$18-Z586)/POWER((((Graph!$D$18-$Y586)^2)+((Graph!$E$18-$Z586)^2))+(Graph!$D$23^2),3/2))</f>
        <v>22.625301258710738</v>
      </c>
      <c r="Q586">
        <f>Graph!$D$31*((Graph!$D$27-Y586)/POWER((((Graph!$D$27-$Y586)^2)+((Graph!$E$27-$Z586)^2))+(Graph!$D$32^2),3/2))</f>
        <v>202.4199643279205</v>
      </c>
      <c r="R586">
        <f>Graph!$D$31*((Graph!$E$27-Z586)/POWER((((Graph!$D$27-$Y586)^2)+((Graph!$E$27-$Z586)^2))+(Graph!$D$32^2),3/2))</f>
        <v>80.841141948273048</v>
      </c>
      <c r="S586">
        <f>Graph!$D$40*((Graph!$D$36-Y586)/POWER((((Graph!$D$36-$Y586)^2)+((Graph!$E$36-$Z586)^2))+(Graph!$D$41^2),3/2))</f>
        <v>208.59240418376797</v>
      </c>
      <c r="T586">
        <f>Graph!$D$40*((Graph!$E$36-Z586)/POWER((((Graph!$D$36-$Y586)^2)+((Graph!$E$36-$Z586)^2))+(Graph!$D$41^2),3/2))</f>
        <v>-65.12640301650039</v>
      </c>
      <c r="U586">
        <f>O586+Q586+S586</f>
        <v>542.89290867127693</v>
      </c>
      <c r="V586">
        <f>P586+R586+T586</f>
        <v>38.340040190483393</v>
      </c>
      <c r="W586">
        <f>W585+(U585*Graph!$D$5)</f>
        <v>-2286.4767181254228</v>
      </c>
      <c r="X586">
        <f>X585+(V585*Graph!$D$5)</f>
        <v>-468.75050279923408</v>
      </c>
      <c r="Y586">
        <f>Y585+(W585*Graph!$D$5)+(U585*Graph!$D$5^2)</f>
        <v>-46357.287055181136</v>
      </c>
      <c r="Z586">
        <f>Z585+(X585*Graph!$D$5)+(V585*Graph!$D$5^2)</f>
        <v>-526.3983781138129</v>
      </c>
    </row>
    <row r="587" spans="14:26" x14ac:dyDescent="0.35">
      <c r="N587">
        <f>N586+1</f>
        <v>584</v>
      </c>
      <c r="O587">
        <f>Graph!$D$22*((Graph!$D$18-Y587)/POWER((((Graph!$D$18-$Y587)^2)+((Graph!$E$18-$Z587)^2))+(Graph!$D$23^2),(3/2)))</f>
        <v>127.64024126847913</v>
      </c>
      <c r="P587" s="84">
        <f>Graph!$D$22*((Graph!$E$18-Z587)/POWER((((Graph!$D$18-$Y587)^2)+((Graph!$E$18-$Z587)^2))+(Graph!$D$23^2),3/2))</f>
        <v>22.004147550971052</v>
      </c>
      <c r="Q587">
        <f>Graph!$D$31*((Graph!$D$27-Y587)/POWER((((Graph!$D$27-$Y587)^2)+((Graph!$E$27-$Z587)^2))+(Graph!$D$32^2),3/2))</f>
        <v>189.33482360444015</v>
      </c>
      <c r="R587">
        <f>Graph!$D$31*((Graph!$E$27-Z587)/POWER((((Graph!$D$27-$Y587)^2)+((Graph!$E$27-$Z587)^2))+(Graph!$D$32^2),3/2))</f>
        <v>74.386592926514695</v>
      </c>
      <c r="S587">
        <f>Graph!$D$40*((Graph!$D$36-Y587)/POWER((((Graph!$D$36-$Y587)^2)+((Graph!$E$36-$Z587)^2))+(Graph!$D$41^2),3/2))</f>
        <v>201.84862109220273</v>
      </c>
      <c r="T587">
        <f>Graph!$D$40*((Graph!$E$36-Z587)/POWER((((Graph!$D$36-$Y587)^2)+((Graph!$E$36-$Z587)^2))+(Graph!$D$41^2),3/2))</f>
        <v>-60.722367592796289</v>
      </c>
      <c r="U587">
        <f>O587+Q587+S587</f>
        <v>518.82368596512197</v>
      </c>
      <c r="V587">
        <f>P587+R587+T587</f>
        <v>35.668372884689461</v>
      </c>
      <c r="W587">
        <f>W586+(U586*Graph!$D$5)</f>
        <v>-2015.0302637897844</v>
      </c>
      <c r="X587">
        <f>X586+(V586*Graph!$D$5)</f>
        <v>-449.5804827039924</v>
      </c>
      <c r="Y587">
        <f>Y586+(W586*Graph!$D$5)+(U586*Graph!$D$5^2)</f>
        <v>-47364.802187076028</v>
      </c>
      <c r="Z587">
        <f>Z586+(X586*Graph!$D$5)+(V586*Graph!$D$5^2)</f>
        <v>-751.1886194658091</v>
      </c>
    </row>
    <row r="588" spans="14:26" x14ac:dyDescent="0.35">
      <c r="N588">
        <f>N587+1</f>
        <v>585</v>
      </c>
      <c r="O588">
        <f>Graph!$D$22*((Graph!$D$18-Y588)/POWER((((Graph!$D$18-$Y588)^2)+((Graph!$E$18-$Z588)^2))+(Graph!$D$23^2),(3/2)))</f>
        <v>124.08996119984407</v>
      </c>
      <c r="P588" s="84">
        <f>Graph!$D$22*((Graph!$E$18-Z588)/POWER((((Graph!$D$18-$Y588)^2)+((Graph!$E$18-$Z588)^2))+(Graph!$D$23^2),3/2))</f>
        <v>21.518755142226695</v>
      </c>
      <c r="Q588">
        <f>Graph!$D$31*((Graph!$D$27-Y588)/POWER((((Graph!$D$27-$Y588)^2)+((Graph!$E$27-$Z588)^2))+(Graph!$D$32^2),3/2))</f>
        <v>178.79403265390718</v>
      </c>
      <c r="R588">
        <f>Graph!$D$31*((Graph!$E$27-Z588)/POWER((((Graph!$D$27-$Y588)^2)+((Graph!$E$27-$Z588)^2))+(Graph!$D$32^2),3/2))</f>
        <v>69.428608148043793</v>
      </c>
      <c r="S588">
        <f>Graph!$D$40*((Graph!$D$36-Y588)/POWER((((Graph!$D$36-$Y588)^2)+((Graph!$E$36-$Z588)^2))+(Graph!$D$41^2),3/2))</f>
        <v>196.24786209387207</v>
      </c>
      <c r="T588">
        <f>Graph!$D$40*((Graph!$E$36-Z588)/POWER((((Graph!$D$36-$Y588)^2)+((Graph!$E$36-$Z588)^2))+(Graph!$D$41^2),3/2))</f>
        <v>-57.085096499324159</v>
      </c>
      <c r="U588">
        <f>O588+Q588+S588</f>
        <v>499.13185594762331</v>
      </c>
      <c r="V588">
        <f>P588+R588+T588</f>
        <v>33.862266790946329</v>
      </c>
      <c r="W588">
        <f>W587+(U587*Graph!$D$5)</f>
        <v>-1755.6184208072234</v>
      </c>
      <c r="X588">
        <f>X587+(V587*Graph!$D$5)</f>
        <v>-431.74629626164767</v>
      </c>
      <c r="Y588">
        <f>Y587+(W587*Graph!$D$5)+(U587*Graph!$D$5^2)</f>
        <v>-48242.611397479639</v>
      </c>
      <c r="Z588">
        <f>Z587+(X587*Graph!$D$5)+(V587*Graph!$D$5^2)</f>
        <v>-967.06176759663299</v>
      </c>
    </row>
    <row r="589" spans="14:26" x14ac:dyDescent="0.35">
      <c r="N589">
        <f>N588+1</f>
        <v>586</v>
      </c>
      <c r="O589">
        <f>Graph!$D$22*((Graph!$D$18-Y589)/POWER((((Graph!$D$18-$Y589)^2)+((Graph!$E$18-$Z589)^2))+(Graph!$D$23^2),(3/2)))</f>
        <v>121.13923260727226</v>
      </c>
      <c r="P589" s="84">
        <f>Graph!$D$22*((Graph!$E$18-Z589)/POWER((((Graph!$D$18-$Y589)^2)+((Graph!$E$18-$Z589)^2))+(Graph!$D$23^2),3/2))</f>
        <v>21.152483068727623</v>
      </c>
      <c r="Q589">
        <f>Graph!$D$31*((Graph!$D$27-Y589)/POWER((((Graph!$D$27-$Y589)^2)+((Graph!$E$27-$Z589)^2))+(Graph!$D$32^2),3/2))</f>
        <v>170.29682132536695</v>
      </c>
      <c r="R589">
        <f>Graph!$D$31*((Graph!$E$27-Z589)/POWER((((Graph!$D$27-$Y589)^2)+((Graph!$E$27-$Z589)^2))+(Graph!$D$32^2),3/2))</f>
        <v>65.629755534556608</v>
      </c>
      <c r="S589">
        <f>Graph!$D$40*((Graph!$D$36-Y589)/POWER((((Graph!$D$36-$Y589)^2)+((Graph!$E$36-$Z589)^2))+(Graph!$D$41^2),3/2))</f>
        <v>191.6552418646483</v>
      </c>
      <c r="T589">
        <f>Graph!$D$40*((Graph!$E$36-Z589)/POWER((((Graph!$D$36-$Y589)^2)+((Graph!$E$36-$Z589)^2))+(Graph!$D$41^2),3/2))</f>
        <v>-54.081047787912809</v>
      </c>
      <c r="U589">
        <f>O589+Q589+S589</f>
        <v>483.0912957972875</v>
      </c>
      <c r="V589">
        <f>P589+R589+T589</f>
        <v>32.701190815371419</v>
      </c>
      <c r="W589">
        <f>W588+(U588*Graph!$D$5)</f>
        <v>-1506.0524928334116</v>
      </c>
      <c r="X589">
        <f>X588+(V588*Graph!$D$5)</f>
        <v>-414.81516286617449</v>
      </c>
      <c r="Y589">
        <f>Y588+(W588*Graph!$D$5)+(U588*Graph!$D$5^2)</f>
        <v>-48995.637643896342</v>
      </c>
      <c r="Z589">
        <f>Z588+(X588*Graph!$D$5)+(V588*Graph!$D$5^2)</f>
        <v>-1174.4693490297202</v>
      </c>
    </row>
    <row r="590" spans="14:26" x14ac:dyDescent="0.35">
      <c r="N590">
        <f>N589+1</f>
        <v>587</v>
      </c>
      <c r="O590">
        <f>Graph!$D$22*((Graph!$D$18-Y590)/POWER((((Graph!$D$18-$Y590)^2)+((Graph!$E$18-$Z590)^2))+(Graph!$D$23^2),(3/2)))</f>
        <v>118.71824572922483</v>
      </c>
      <c r="P590" s="84">
        <f>Graph!$D$22*((Graph!$E$18-Z590)/POWER((((Graph!$D$18-$Y590)^2)+((Graph!$E$18-$Z590)^2))+(Graph!$D$23^2),3/2))</f>
        <v>20.892928471118328</v>
      </c>
      <c r="Q590">
        <f>Graph!$D$31*((Graph!$D$27-Y590)/POWER((((Graph!$D$27-$Y590)^2)+((Graph!$E$27-$Z590)^2))+(Graph!$D$32^2),3/2))</f>
        <v>163.47894576902226</v>
      </c>
      <c r="R590">
        <f>Graph!$D$31*((Graph!$E$27-Z590)/POWER((((Graph!$D$27-$Y590)^2)+((Graph!$E$27-$Z590)^2))+(Graph!$D$32^2),3/2))</f>
        <v>62.757107762076195</v>
      </c>
      <c r="S590">
        <f>Graph!$D$40*((Graph!$D$36-Y590)/POWER((((Graph!$D$36-$Y590)^2)+((Graph!$E$36-$Z590)^2))+(Graph!$D$41^2),3/2))</f>
        <v>187.96583648570706</v>
      </c>
      <c r="T590">
        <f>Graph!$D$40*((Graph!$E$36-Z590)/POWER((((Graph!$D$36-$Y590)^2)+((Graph!$E$36-$Z590)^2))+(Graph!$D$41^2),3/2))</f>
        <v>-51.609659724957417</v>
      </c>
      <c r="U590">
        <f>O590+Q590+S590</f>
        <v>470.16302798395418</v>
      </c>
      <c r="V590">
        <f>P590+R590+T590</f>
        <v>32.040376508237109</v>
      </c>
      <c r="W590">
        <f>W589+(U589*Graph!$D$5)</f>
        <v>-1264.506844934768</v>
      </c>
      <c r="X590">
        <f>X589+(V589*Graph!$D$5)</f>
        <v>-398.46456745848877</v>
      </c>
      <c r="Y590">
        <f>Y589+(W589*Graph!$D$5)+(U589*Graph!$D$5^2)</f>
        <v>-49627.891066363722</v>
      </c>
      <c r="Z590">
        <f>Z589+(X589*Graph!$D$5)+(V589*Graph!$D$5^2)</f>
        <v>-1373.7016327589645</v>
      </c>
    </row>
    <row r="591" spans="14:26" x14ac:dyDescent="0.35">
      <c r="N591">
        <f>N590+1</f>
        <v>588</v>
      </c>
      <c r="O591">
        <f>Graph!$D$22*((Graph!$D$18-Y591)/POWER((((Graph!$D$18-$Y591)^2)+((Graph!$E$18-$Z591)^2))+(Graph!$D$23^2),(3/2)))</f>
        <v>116.77324622960749</v>
      </c>
      <c r="P591" s="84">
        <f>Graph!$D$22*((Graph!$E$18-Z591)/POWER((((Graph!$D$18-$Y591)^2)+((Graph!$E$18-$Z591)^2))+(Graph!$D$23^2),3/2))</f>
        <v>20.731036522497135</v>
      </c>
      <c r="Q591">
        <f>Graph!$D$31*((Graph!$D$27-Y591)/POWER((((Graph!$D$27-$Y591)^2)+((Graph!$E$27-$Z591)^2))+(Graph!$D$32^2),3/2))</f>
        <v>158.07307537041589</v>
      </c>
      <c r="R591">
        <f>Graph!$D$31*((Graph!$E$27-Z591)/POWER((((Graph!$D$27-$Y591)^2)+((Graph!$E$27-$Z591)^2))+(Graph!$D$32^2),3/2))</f>
        <v>60.648479185441452</v>
      </c>
      <c r="S591">
        <f>Graph!$D$40*((Graph!$D$36-Y591)/POWER((((Graph!$D$36-$Y591)^2)+((Graph!$E$36-$Z591)^2))+(Graph!$D$41^2),3/2))</f>
        <v>185.09912496479939</v>
      </c>
      <c r="T591">
        <f>Graph!$D$40*((Graph!$E$36-Z591)/POWER((((Graph!$D$36-$Y591)^2)+((Graph!$E$36-$Z591)^2))+(Graph!$D$41^2),3/2))</f>
        <v>-49.594968335031055</v>
      </c>
      <c r="U591">
        <f>O591+Q591+S591</f>
        <v>459.94544656482276</v>
      </c>
      <c r="V591">
        <f>P591+R591+T591</f>
        <v>31.784547372907539</v>
      </c>
      <c r="W591">
        <f>W590+(U590*Graph!$D$5)</f>
        <v>-1029.4253309427909</v>
      </c>
      <c r="X591">
        <f>X590+(V590*Graph!$D$5)</f>
        <v>-382.44437920437019</v>
      </c>
      <c r="Y591">
        <f>Y590+(W590*Graph!$D$5)+(U590*Graph!$D$5^2)</f>
        <v>-50142.603731835123</v>
      </c>
      <c r="Z591">
        <f>Z590+(X590*Graph!$D$5)+(V590*Graph!$D$5^2)</f>
        <v>-1564.9238223611496</v>
      </c>
    </row>
    <row r="592" spans="14:26" x14ac:dyDescent="0.35">
      <c r="N592">
        <f>N591+1</f>
        <v>589</v>
      </c>
      <c r="O592">
        <f>Graph!$D$22*((Graph!$D$18-Y592)/POWER((((Graph!$D$18-$Y592)^2)+((Graph!$E$18-$Z592)^2))+(Graph!$D$23^2),(3/2)))</f>
        <v>115.26328512708412</v>
      </c>
      <c r="P592" s="84">
        <f>Graph!$D$22*((Graph!$E$18-Z592)/POWER((((Graph!$D$18-$Y592)^2)+((Graph!$E$18-$Z592)^2))+(Graph!$D$23^2),3/2))</f>
        <v>20.660481725307609</v>
      </c>
      <c r="Q592">
        <f>Graph!$D$31*((Graph!$D$27-Y592)/POWER((((Graph!$D$27-$Y592)^2)+((Graph!$E$27-$Z592)^2))+(Graph!$D$32^2),3/2))</f>
        <v>153.88262771571883</v>
      </c>
      <c r="R592">
        <f>Graph!$D$31*((Graph!$E$27-Z592)/POWER((((Graph!$D$27-$Y592)^2)+((Graph!$E$27-$Z592)^2))+(Graph!$D$32^2),3/2))</f>
        <v>59.191419436627179</v>
      </c>
      <c r="S592">
        <f>Graph!$D$40*((Graph!$D$36-Y592)/POWER((((Graph!$D$36-$Y592)^2)+((Graph!$E$36-$Z592)^2))+(Graph!$D$41^2),3/2))</f>
        <v>182.99490764249251</v>
      </c>
      <c r="T592">
        <f>Graph!$D$40*((Graph!$E$36-Z592)/POWER((((Graph!$D$36-$Y592)^2)+((Graph!$E$36-$Z592)^2))+(Graph!$D$41^2),3/2))</f>
        <v>-47.979820840035501</v>
      </c>
      <c r="U592">
        <f>O592+Q592+S592</f>
        <v>452.14082048529542</v>
      </c>
      <c r="V592">
        <f>P592+R592+T592</f>
        <v>31.87208032189929</v>
      </c>
      <c r="W592">
        <f>W591+(U591*Graph!$D$5)</f>
        <v>-799.4526076603795</v>
      </c>
      <c r="X592">
        <f>X591+(V591*Graph!$D$5)</f>
        <v>-366.5521055179164</v>
      </c>
      <c r="Y592">
        <f>Y591+(W591*Graph!$D$5)+(U591*Graph!$D$5^2)</f>
        <v>-50542.330035665313</v>
      </c>
      <c r="Z592">
        <f>Z591+(X591*Graph!$D$5)+(V591*Graph!$D$5^2)</f>
        <v>-1748.1998751201079</v>
      </c>
    </row>
    <row r="593" spans="14:26" x14ac:dyDescent="0.35">
      <c r="N593">
        <f>N592+1</f>
        <v>590</v>
      </c>
      <c r="O593">
        <f>Graph!$D$22*((Graph!$D$18-Y593)/POWER((((Graph!$D$18-$Y593)^2)+((Graph!$E$18-$Z593)^2))+(Graph!$D$23^2),(3/2)))</f>
        <v>114.15791920257702</v>
      </c>
      <c r="P593" s="84">
        <f>Graph!$D$22*((Graph!$E$18-Z593)/POWER((((Graph!$D$18-$Y593)^2)+((Graph!$E$18-$Z593)^2))+(Graph!$D$23^2),3/2))</f>
        <v>20.677245824015401</v>
      </c>
      <c r="Q593">
        <f>Graph!$D$31*((Graph!$D$27-Y593)/POWER((((Graph!$D$27-$Y593)^2)+((Graph!$E$27-$Z593)^2))+(Graph!$D$32^2),3/2))</f>
        <v>150.76423631182655</v>
      </c>
      <c r="R593">
        <f>Graph!$D$31*((Graph!$E$27-Z593)/POWER((((Graph!$D$27-$Y593)^2)+((Graph!$E$27-$Z593)^2))+(Graph!$D$32^2),3/2))</f>
        <v>58.309946204322493</v>
      </c>
      <c r="S593">
        <f>Graph!$D$40*((Graph!$D$36-Y593)/POWER((((Graph!$D$36-$Y593)^2)+((Graph!$E$36-$Z593)^2))+(Graph!$D$41^2),3/2))</f>
        <v>181.61037517956518</v>
      </c>
      <c r="T593">
        <f>Graph!$D$40*((Graph!$E$36-Z593)/POWER((((Graph!$D$36-$Y593)^2)+((Graph!$E$36-$Z593)^2))+(Graph!$D$41^2),3/2))</f>
        <v>-46.721864436836256</v>
      </c>
      <c r="U593">
        <f>O593+Q593+S593</f>
        <v>446.53253069396874</v>
      </c>
      <c r="V593">
        <f>P593+R593+T593</f>
        <v>32.265327591501631</v>
      </c>
      <c r="W593">
        <f>W592+(U592*Graph!$D$5)</f>
        <v>-573.38219741773173</v>
      </c>
      <c r="X593">
        <f>X592+(V592*Graph!$D$5)</f>
        <v>-350.61606535696677</v>
      </c>
      <c r="Y593">
        <f>Y592+(W592*Graph!$D$5)+(U592*Graph!$D$5^2)</f>
        <v>-50829.021134374176</v>
      </c>
      <c r="Z593">
        <f>Z592+(X592*Graph!$D$5)+(V592*Graph!$D$5^2)</f>
        <v>-1923.5079077985913</v>
      </c>
    </row>
    <row r="594" spans="14:26" x14ac:dyDescent="0.35">
      <c r="N594">
        <f>N593+1</f>
        <v>591</v>
      </c>
      <c r="O594">
        <f>Graph!$D$22*((Graph!$D$18-Y594)/POWER((((Graph!$D$18-$Y594)^2)+((Graph!$E$18-$Z594)^2))+(Graph!$D$23^2),(3/2)))</f>
        <v>113.43560246190032</v>
      </c>
      <c r="P594" s="84">
        <f>Graph!$D$22*((Graph!$E$18-Z594)/POWER((((Graph!$D$18-$Y594)^2)+((Graph!$E$18-$Z594)^2))+(Graph!$D$23^2),3/2))</f>
        <v>20.779344015673974</v>
      </c>
      <c r="Q594">
        <f>Graph!$D$31*((Graph!$D$27-Y594)/POWER((((Graph!$D$27-$Y594)^2)+((Graph!$E$27-$Z594)^2))+(Graph!$D$32^2),3/2))</f>
        <v>148.61593413012156</v>
      </c>
      <c r="R594">
        <f>Graph!$D$31*((Graph!$E$27-Z594)/POWER((((Graph!$D$27-$Y594)^2)+((Graph!$E$27-$Z594)^2))+(Graph!$D$32^2),3/2))</f>
        <v>57.95618188152099</v>
      </c>
      <c r="S594">
        <f>Graph!$D$40*((Graph!$D$36-Y594)/POWER((((Graph!$D$36-$Y594)^2)+((Graph!$E$36-$Z594)^2))+(Graph!$D$41^2),3/2))</f>
        <v>180.91809594526188</v>
      </c>
      <c r="T594">
        <f>Graph!$D$40*((Graph!$E$36-Z594)/POWER((((Graph!$D$36-$Y594)^2)+((Graph!$E$36-$Z594)^2))+(Graph!$D$41^2),3/2))</f>
        <v>-45.790788542591777</v>
      </c>
      <c r="U594">
        <f>O594+Q594+S594</f>
        <v>442.96963253728376</v>
      </c>
      <c r="V594">
        <f>P594+R594+T594</f>
        <v>32.944737354603184</v>
      </c>
      <c r="W594">
        <f>W593+(U593*Graph!$D$5)</f>
        <v>-350.11593207074736</v>
      </c>
      <c r="X594">
        <f>X593+(V593*Graph!$D$5)</f>
        <v>-334.48340156121594</v>
      </c>
      <c r="Y594">
        <f>Y593+(W593*Graph!$D$5)+(U593*Graph!$D$5^2)</f>
        <v>-51004.079100409544</v>
      </c>
      <c r="Z594">
        <f>Z593+(X593*Graph!$D$5)+(V593*Graph!$D$5^2)</f>
        <v>-2090.749608579199</v>
      </c>
    </row>
    <row r="595" spans="14:26" x14ac:dyDescent="0.35">
      <c r="N595">
        <f>N594+1</f>
        <v>592</v>
      </c>
      <c r="O595">
        <f>Graph!$D$22*((Graph!$D$18-Y595)/POWER((((Graph!$D$18-$Y595)^2)+((Graph!$E$18-$Z595)^2))+(Graph!$D$23^2),(3/2)))</f>
        <v>113.0826006499633</v>
      </c>
      <c r="P595" s="84">
        <f>Graph!$D$22*((Graph!$E$18-Z595)/POWER((((Graph!$D$18-$Y595)^2)+((Graph!$E$18-$Z595)^2))+(Graph!$D$23^2),3/2))</f>
        <v>20.966669071145095</v>
      </c>
      <c r="Q595">
        <f>Graph!$D$31*((Graph!$D$27-Y595)/POWER((((Graph!$D$27-$Y595)^2)+((Graph!$E$27-$Z595)^2))+(Graph!$D$32^2),3/2))</f>
        <v>147.36925567198739</v>
      </c>
      <c r="R595">
        <f>Graph!$D$31*((Graph!$E$27-Z595)/POWER((((Graph!$D$27-$Y595)^2)+((Graph!$E$27-$Z595)^2))+(Graph!$D$32^2),3/2))</f>
        <v>58.105264684333825</v>
      </c>
      <c r="S595">
        <f>Graph!$D$40*((Graph!$D$36-Y595)/POWER((((Graph!$D$36-$Y595)^2)+((Graph!$E$36-$Z595)^2))+(Graph!$D$41^2),3/2))</f>
        <v>180.9047653375323</v>
      </c>
      <c r="T595">
        <f>Graph!$D$40*((Graph!$E$36-Z595)/POWER((((Graph!$D$36-$Y595)^2)+((Graph!$E$36-$Z595)^2))+(Graph!$D$41^2),3/2))</f>
        <v>-45.166488442353277</v>
      </c>
      <c r="U595">
        <f>O595+Q595+S595</f>
        <v>441.35662165948298</v>
      </c>
      <c r="V595">
        <f>P595+R595+T595</f>
        <v>33.905445313125647</v>
      </c>
      <c r="W595">
        <f>W594+(U594*Graph!$D$5)</f>
        <v>-128.63111580210548</v>
      </c>
      <c r="X595">
        <f>X594+(V594*Graph!$D$5)</f>
        <v>-318.01103288391437</v>
      </c>
      <c r="Y595">
        <f>Y594+(W594*Graph!$D$5)+(U594*Graph!$D$5^2)</f>
        <v>-51068.394658310601</v>
      </c>
      <c r="Z595">
        <f>Z594+(X594*Graph!$D$5)+(V594*Graph!$D$5^2)</f>
        <v>-2249.7551250211563</v>
      </c>
    </row>
    <row r="596" spans="14:26" x14ac:dyDescent="0.35">
      <c r="N596">
        <f>N595+1</f>
        <v>593</v>
      </c>
      <c r="O596">
        <f>Graph!$D$22*((Graph!$D$18-Y596)/POWER((((Graph!$D$18-$Y596)^2)+((Graph!$E$18-$Z596)^2))+(Graph!$D$23^2),(3/2)))</f>
        <v>113.09232220918518</v>
      </c>
      <c r="P596" s="84">
        <f>Graph!$D$22*((Graph!$E$18-Z596)/POWER((((Graph!$D$18-$Y596)^2)+((Graph!$E$18-$Z596)^2))+(Graph!$D$23^2),3/2))</f>
        <v>21.240935803458527</v>
      </c>
      <c r="Q596">
        <f>Graph!$D$31*((Graph!$D$27-Y596)/POWER((((Graph!$D$27-$Y596)^2)+((Graph!$E$27-$Z596)^2))+(Graph!$D$32^2),3/2))</f>
        <v>146.98414274225345</v>
      </c>
      <c r="R596">
        <f>Graph!$D$31*((Graph!$E$27-Z596)/POWER((((Graph!$D$27-$Y596)^2)+((Graph!$E$27-$Z596)^2))+(Graph!$D$32^2),3/2))</f>
        <v>58.752606340240412</v>
      </c>
      <c r="S596">
        <f>Graph!$D$40*((Graph!$D$36-Y596)/POWER((((Graph!$D$36-$Y596)^2)+((Graph!$E$36-$Z596)^2))+(Graph!$D$41^2),3/2))</f>
        <v>181.57062224665069</v>
      </c>
      <c r="T596">
        <f>Graph!$D$40*((Graph!$E$36-Z596)/POWER((((Graph!$D$36-$Y596)^2)+((Graph!$E$36-$Z596)^2))+(Graph!$D$41^2),3/2))</f>
        <v>-44.837944137500422</v>
      </c>
      <c r="U596">
        <f>O596+Q596+S596</f>
        <v>441.64708719808937</v>
      </c>
      <c r="V596">
        <f>P596+R596+T596</f>
        <v>35.15559800619851</v>
      </c>
      <c r="W596">
        <f>W595+(U595*Graph!$D$5)</f>
        <v>92.047195027636008</v>
      </c>
      <c r="X596">
        <f>X595+(V595*Graph!$D$5)</f>
        <v>-301.05831022735157</v>
      </c>
      <c r="Y596">
        <f>Y595+(W595*Graph!$D$5)+(U595*Graph!$D$5^2)</f>
        <v>-51022.371060796788</v>
      </c>
      <c r="Z596">
        <f>Z595+(X595*Graph!$D$5)+(V595*Graph!$D$5^2)</f>
        <v>-2400.2842801348324</v>
      </c>
    </row>
    <row r="597" spans="14:26" x14ac:dyDescent="0.35">
      <c r="N597">
        <f>N596+1</f>
        <v>594</v>
      </c>
      <c r="O597">
        <f>Graph!$D$22*((Graph!$D$18-Y597)/POWER((((Graph!$D$18-$Y597)^2)+((Graph!$E$18-$Z597)^2))+(Graph!$D$23^2),(3/2)))</f>
        <v>113.46500279015949</v>
      </c>
      <c r="P597" s="84">
        <f>Graph!$D$22*((Graph!$E$18-Z597)/POWER((((Graph!$D$18-$Y597)^2)+((Graph!$E$18-$Z597)^2))+(Graph!$D$23^2),3/2))</f>
        <v>21.605718251821386</v>
      </c>
      <c r="Q597">
        <f>Graph!$D$31*((Graph!$D$27-Y597)/POWER((((Graph!$D$27-$Y597)^2)+((Graph!$E$27-$Z597)^2))+(Graph!$D$32^2),3/2))</f>
        <v>147.44597181517139</v>
      </c>
      <c r="R597">
        <f>Graph!$D$31*((Graph!$E$27-Z597)/POWER((((Graph!$D$27-$Y597)^2)+((Graph!$E$27-$Z597)^2))+(Graph!$D$32^2),3/2))</f>
        <v>59.913006191909702</v>
      </c>
      <c r="S597">
        <f>Graph!$D$40*((Graph!$D$36-Y597)/POWER((((Graph!$D$36-$Y597)^2)+((Graph!$E$36-$Z597)^2))+(Graph!$D$41^2),3/2))</f>
        <v>182.92949078108018</v>
      </c>
      <c r="T597">
        <f>Graph!$D$40*((Graph!$E$36-Z597)/POWER((((Graph!$D$36-$Y597)^2)+((Graph!$E$36-$Z597)^2))+(Graph!$D$41^2),3/2))</f>
        <v>-44.802697067471122</v>
      </c>
      <c r="U597">
        <f>O597+Q597+S597</f>
        <v>443.84046538641104</v>
      </c>
      <c r="V597">
        <f>P597+R597+T597</f>
        <v>36.716027376259966</v>
      </c>
      <c r="W597">
        <f>W596+(U596*Graph!$D$5)</f>
        <v>312.87073862668069</v>
      </c>
      <c r="X597">
        <f>X596+(V596*Graph!$D$5)</f>
        <v>-283.48051122425233</v>
      </c>
      <c r="Y597">
        <f>Y596+(W596*Graph!$D$5)+(U596*Graph!$D$5^2)</f>
        <v>-50865.935691483442</v>
      </c>
      <c r="Z597">
        <f>Z596+(X596*Graph!$D$5)+(V596*Graph!$D$5^2)</f>
        <v>-2542.0245357469585</v>
      </c>
    </row>
    <row r="598" spans="14:26" x14ac:dyDescent="0.35">
      <c r="N598">
        <f>N597+1</f>
        <v>595</v>
      </c>
      <c r="O598">
        <f>Graph!$D$22*((Graph!$D$18-Y598)/POWER((((Graph!$D$18-$Y598)^2)+((Graph!$E$18-$Z598)^2))+(Graph!$D$23^2),(3/2)))</f>
        <v>114.20771426084498</v>
      </c>
      <c r="P598" s="84">
        <f>Graph!$D$22*((Graph!$E$18-Z598)/POWER((((Graph!$D$18-$Y598)^2)+((Graph!$E$18-$Z598)^2))+(Graph!$D$23^2),3/2))</f>
        <v>22.066580553631805</v>
      </c>
      <c r="Q598">
        <f>Graph!$D$31*((Graph!$D$27-Y598)/POWER((((Graph!$D$27-$Y598)^2)+((Graph!$E$27-$Z598)^2))+(Graph!$D$32^2),3/2))</f>
        <v>148.76430998863151</v>
      </c>
      <c r="R598">
        <f>Graph!$D$31*((Graph!$E$27-Z598)/POWER((((Graph!$D$27-$Y598)^2)+((Graph!$E$27-$Z598)^2))+(Graph!$D$32^2),3/2))</f>
        <v>61.621436707174738</v>
      </c>
      <c r="S598">
        <f>Graph!$D$40*((Graph!$D$36-Y598)/POWER((((Graph!$D$36-$Y598)^2)+((Graph!$E$36-$Z598)^2))+(Graph!$D$41^2),3/2))</f>
        <v>185.00945477564903</v>
      </c>
      <c r="T598">
        <f>Graph!$D$40*((Graph!$E$36-Z598)/POWER((((Graph!$D$36-$Y598)^2)+((Graph!$E$36-$Z598)^2))+(Graph!$D$41^2),3/2))</f>
        <v>-45.066876526775033</v>
      </c>
      <c r="U598">
        <f>O598+Q598+S598</f>
        <v>447.98147902512551</v>
      </c>
      <c r="V598">
        <f>P598+R598+T598</f>
        <v>38.621140734031513</v>
      </c>
      <c r="W598">
        <f>W597+(U597*Graph!$D$5)</f>
        <v>534.79097131988624</v>
      </c>
      <c r="X598">
        <f>X597+(V597*Graph!$D$5)</f>
        <v>-265.12249753612235</v>
      </c>
      <c r="Y598">
        <f>Y597+(W597*Graph!$D$5)+(U597*Graph!$D$5^2)</f>
        <v>-50598.540205823505</v>
      </c>
      <c r="Z598">
        <f>Z597+(X597*Graph!$D$5)+(V597*Graph!$D$5^2)</f>
        <v>-2674.5857845150194</v>
      </c>
    </row>
    <row r="599" spans="14:26" x14ac:dyDescent="0.35">
      <c r="N599">
        <f>N598+1</f>
        <v>596</v>
      </c>
      <c r="O599">
        <f>Graph!$D$22*((Graph!$D$18-Y599)/POWER((((Graph!$D$18-$Y599)^2)+((Graph!$E$18-$Z599)^2))+(Graph!$D$23^2),(3/2)))</f>
        <v>115.33469855043516</v>
      </c>
      <c r="P599" s="84">
        <f>Graph!$D$22*((Graph!$E$18-Z599)/POWER((((Graph!$D$18-$Y599)^2)+((Graph!$E$18-$Z599)^2))+(Graph!$D$23^2),3/2))</f>
        <v>22.631311013251178</v>
      </c>
      <c r="Q599">
        <f>Graph!$D$31*((Graph!$D$27-Y599)/POWER((((Graph!$D$27-$Y599)^2)+((Graph!$E$27-$Z599)^2))+(Graph!$D$32^2),3/2))</f>
        <v>150.97321465424619</v>
      </c>
      <c r="R599">
        <f>Graph!$D$31*((Graph!$E$27-Z599)/POWER((((Graph!$D$27-$Y599)^2)+((Graph!$E$27-$Z599)^2))+(Graph!$D$32^2),3/2))</f>
        <v>63.935567686512037</v>
      </c>
      <c r="S599">
        <f>Graph!$D$40*((Graph!$D$36-Y599)/POWER((((Graph!$D$36-$Y599)^2)+((Graph!$E$36-$Z599)^2))+(Graph!$D$41^2),3/2))</f>
        <v>187.85422387493139</v>
      </c>
      <c r="T599">
        <f>Graph!$D$40*((Graph!$E$36-Z599)/POWER((((Graph!$D$36-$Y599)^2)+((Graph!$E$36-$Z599)^2))+(Graph!$D$41^2),3/2))</f>
        <v>-45.645789437682105</v>
      </c>
      <c r="U599">
        <f>O599+Q599+S599</f>
        <v>454.16213707961276</v>
      </c>
      <c r="V599">
        <f>P599+R599+T599</f>
        <v>40.921089262081104</v>
      </c>
      <c r="W599">
        <f>W598+(U598*Graph!$D$5)</f>
        <v>758.78171083244899</v>
      </c>
      <c r="X599">
        <f>X598+(V598*Graph!$D$5)</f>
        <v>-245.81192716910658</v>
      </c>
      <c r="Y599">
        <f>Y598+(W598*Graph!$D$5)+(U598*Graph!$D$5^2)</f>
        <v>-50219.149350407279</v>
      </c>
      <c r="Z599">
        <f>Z598+(X598*Graph!$D$5)+(V598*Graph!$D$5^2)</f>
        <v>-2797.4917480995728</v>
      </c>
    </row>
    <row r="600" spans="14:26" x14ac:dyDescent="0.35">
      <c r="N600">
        <f>N599+1</f>
        <v>597</v>
      </c>
      <c r="O600">
        <f>Graph!$D$22*((Graph!$D$18-Y600)/POWER((((Graph!$D$18-$Y600)^2)+((Graph!$E$18-$Z600)^2))+(Graph!$D$23^2),(3/2)))</f>
        <v>116.8680559981931</v>
      </c>
      <c r="P600" s="84">
        <f>Graph!$D$22*((Graph!$E$18-Z600)/POWER((((Graph!$D$18-$Y600)^2)+((Graph!$E$18-$Z600)^2))+(Graph!$D$23^2),3/2))</f>
        <v>23.310278566960001</v>
      </c>
      <c r="Q600">
        <f>Graph!$D$31*((Graph!$D$27-Y600)/POWER((((Graph!$D$27-$Y600)^2)+((Graph!$E$27-$Z600)^2))+(Graph!$D$32^2),3/2))</f>
        <v>154.1330578522354</v>
      </c>
      <c r="R600">
        <f>Graph!$D$31*((Graph!$E$27-Z600)/POWER((((Graph!$D$27-$Y600)^2)+((Graph!$E$27-$Z600)^2))+(Graph!$D$32^2),3/2))</f>
        <v>66.940355057733456</v>
      </c>
      <c r="S600">
        <f>Graph!$D$40*((Graph!$D$36-Y600)/POWER((((Graph!$D$36-$Y600)^2)+((Graph!$E$36-$Z600)^2))+(Graph!$D$41^2),3/2))</f>
        <v>191.52530915024735</v>
      </c>
      <c r="T600">
        <f>Graph!$D$40*((Graph!$E$36-Z600)/POWER((((Graph!$D$36-$Y600)^2)+((Graph!$E$36-$Z600)^2))+(Graph!$D$41^2),3/2))</f>
        <v>-46.5651524227859</v>
      </c>
      <c r="U600">
        <f>O600+Q600+S600</f>
        <v>462.52642300067589</v>
      </c>
      <c r="V600">
        <f>P600+R600+T600</f>
        <v>43.68548120190755</v>
      </c>
      <c r="W600">
        <f>W599+(U599*Graph!$D$5)</f>
        <v>985.86277937225532</v>
      </c>
      <c r="X600">
        <f>X599+(V599*Graph!$D$5)</f>
        <v>-225.35138253806602</v>
      </c>
      <c r="Y600">
        <f>Y599+(W599*Graph!$D$5)+(U599*Graph!$D$5^2)</f>
        <v>-49726.217960721151</v>
      </c>
      <c r="Z600">
        <f>Z599+(X599*Graph!$D$5)+(V599*Graph!$D$5^2)</f>
        <v>-2910.1674393686058</v>
      </c>
    </row>
    <row r="601" spans="14:26" x14ac:dyDescent="0.35">
      <c r="N601">
        <f>N600+1</f>
        <v>598</v>
      </c>
      <c r="O601">
        <f>Graph!$D$22*((Graph!$D$18-Y601)/POWER((((Graph!$D$18-$Y601)^2)+((Graph!$E$18-$Z601)^2))+(Graph!$D$23^2),(3/2)))</f>
        <v>118.83885150515569</v>
      </c>
      <c r="P601" s="84">
        <f>Graph!$D$22*((Graph!$E$18-Z601)/POWER((((Graph!$D$18-$Y601)^2)+((Graph!$E$18-$Z601)^2))+(Graph!$D$23^2),3/2))</f>
        <v>24.116943121370163</v>
      </c>
      <c r="Q601">
        <f>Graph!$D$31*((Graph!$D$27-Y601)/POWER((((Graph!$D$27-$Y601)^2)+((Graph!$E$27-$Z601)^2))+(Graph!$D$32^2),3/2))</f>
        <v>158.33400473952145</v>
      </c>
      <c r="R601">
        <f>Graph!$D$31*((Graph!$E$27-Z601)/POWER((((Graph!$D$27-$Y601)^2)+((Graph!$E$27-$Z601)^2))+(Graph!$D$32^2),3/2))</f>
        <v>70.755343592325289</v>
      </c>
      <c r="S601">
        <f>Graph!$D$40*((Graph!$D$36-Y601)/POWER((((Graph!$D$36-$Y601)^2)+((Graph!$E$36-$Z601)^2))+(Graph!$D$41^2),3/2))</f>
        <v>196.10520076016658</v>
      </c>
      <c r="T601">
        <f>Graph!$D$40*((Graph!$E$36-Z601)/POWER((((Graph!$D$36-$Y601)^2)+((Graph!$E$36-$Z601)^2))+(Graph!$D$41^2),3/2))</f>
        <v>-47.863125623143873</v>
      </c>
      <c r="U601">
        <f>O601+Q601+S601</f>
        <v>473.27805700484373</v>
      </c>
      <c r="V601">
        <f>P601+R601+T601</f>
        <v>47.009161090551572</v>
      </c>
      <c r="W601">
        <f>W600+(U600*Graph!$D$5)</f>
        <v>1217.1259908725933</v>
      </c>
      <c r="X601">
        <f>X600+(V600*Graph!$D$5)</f>
        <v>-203.50864193711226</v>
      </c>
      <c r="Y601">
        <f>Y600+(W600*Graph!$D$5)+(U600*Graph!$D$5^2)</f>
        <v>-49117.654965284855</v>
      </c>
      <c r="Z601">
        <f>Z600+(X600*Graph!$D$5)+(V600*Graph!$D$5^2)</f>
        <v>-3011.9217603371617</v>
      </c>
    </row>
    <row r="602" spans="14:26" x14ac:dyDescent="0.35">
      <c r="N602">
        <f>N601+1</f>
        <v>599</v>
      </c>
      <c r="O602">
        <f>Graph!$D$22*((Graph!$D$18-Y602)/POWER((((Graph!$D$18-$Y602)^2)+((Graph!$E$18-$Z602)^2))+(Graph!$D$23^2),(3/2)))</f>
        <v>121.28874498113845</v>
      </c>
      <c r="P602" s="84">
        <f>Graph!$D$22*((Graph!$E$18-Z602)/POWER((((Graph!$D$18-$Y602)^2)+((Graph!$E$18-$Z602)^2))+(Graph!$D$23^2),3/2))</f>
        <v>25.068568056431761</v>
      </c>
      <c r="Q602">
        <f>Graph!$D$31*((Graph!$D$27-Y602)/POWER((((Graph!$D$27-$Y602)^2)+((Graph!$E$27-$Z602)^2))+(Graph!$D$32^2),3/2))</f>
        <v>163.70142188319613</v>
      </c>
      <c r="R602">
        <f>Graph!$D$31*((Graph!$E$27-Z602)/POWER((((Graph!$D$27-$Y602)^2)+((Graph!$E$27-$Z602)^2))+(Graph!$D$32^2),3/2))</f>
        <v>75.545797753542075</v>
      </c>
      <c r="S602">
        <f>Graph!$D$40*((Graph!$D$36-Y602)/POWER((((Graph!$D$36-$Y602)^2)+((Graph!$E$36-$Z602)^2))+(Graph!$D$41^2),3/2))</f>
        <v>201.70184024295824</v>
      </c>
      <c r="T602">
        <f>Graph!$D$40*((Graph!$E$36-Z602)/POWER((((Graph!$D$36-$Y602)^2)+((Graph!$E$36-$Z602)^2))+(Graph!$D$41^2),3/2))</f>
        <v>-49.59341925987372</v>
      </c>
      <c r="U602">
        <f>O602+Q602+S602</f>
        <v>486.69200710729285</v>
      </c>
      <c r="V602">
        <f>P602+R602+T602</f>
        <v>51.020946550100113</v>
      </c>
      <c r="W602">
        <f>W601+(U601*Graph!$D$5)</f>
        <v>1453.7650193750151</v>
      </c>
      <c r="X602">
        <f>X601+(V601*Graph!$D$5)</f>
        <v>-180.00406139183647</v>
      </c>
      <c r="Y602">
        <f>Y601+(W601*Graph!$D$5)+(U601*Graph!$D$5^2)</f>
        <v>-48390.772455597347</v>
      </c>
      <c r="Z602">
        <f>Z601+(X601*Graph!$D$5)+(V601*Graph!$D$5^2)</f>
        <v>-3101.9237910330799</v>
      </c>
    </row>
    <row r="603" spans="14:26" x14ac:dyDescent="0.35">
      <c r="N603">
        <f>N602+1</f>
        <v>600</v>
      </c>
      <c r="O603">
        <f>Graph!$D$22*((Graph!$D$18-Y603)/POWER((((Graph!$D$18-$Y603)^2)+((Graph!$E$18-$Z603)^2))+(Graph!$D$23^2),(3/2)))</f>
        <v>124.27231278267418</v>
      </c>
      <c r="P603" s="84">
        <f>Graph!$D$22*((Graph!$E$18-Z603)/POWER((((Graph!$D$18-$Y603)^2)+((Graph!$E$18-$Z603)^2))+(Graph!$D$23^2),3/2))</f>
        <v>26.187207444688227</v>
      </c>
      <c r="Q603">
        <f>Graph!$D$31*((Graph!$D$27-Y603)/POWER((((Graph!$D$27-$Y603)^2)+((Graph!$E$27-$Z603)^2))+(Graph!$D$32^2),3/2))</f>
        <v>170.40363873256916</v>
      </c>
      <c r="R603">
        <f>Graph!$D$31*((Graph!$E$27-Z603)/POWER((((Graph!$D$27-$Y603)^2)+((Graph!$E$27-$Z603)^2))+(Graph!$D$32^2),3/2))</f>
        <v>81.539500895377998</v>
      </c>
      <c r="S603">
        <f>Graph!$D$40*((Graph!$D$36-Y603)/POWER((((Graph!$D$36-$Y603)^2)+((Graph!$E$36-$Z603)^2))+(Graph!$D$41^2),3/2))</f>
        <v>208.45482008545397</v>
      </c>
      <c r="T603">
        <f>Graph!$D$40*((Graph!$E$36-Z603)/POWER((((Graph!$D$36-$Y603)^2)+((Graph!$E$36-$Z603)^2))+(Graph!$D$41^2),3/2))</f>
        <v>-51.829910915622207</v>
      </c>
      <c r="U603">
        <f>O603+Q603+S603</f>
        <v>503.13077160069736</v>
      </c>
      <c r="V603">
        <f>P603+R603+T603</f>
        <v>55.896797424444017</v>
      </c>
      <c r="W603">
        <f>W602+(U602*Graph!$D$5)</f>
        <v>1697.1110229286614</v>
      </c>
      <c r="X603">
        <f>X602+(V602*Graph!$D$5)</f>
        <v>-154.49358811678641</v>
      </c>
      <c r="Y603">
        <f>Y602+(W602*Graph!$D$5)+(U602*Graph!$D$5^2)</f>
        <v>-47542.216944133019</v>
      </c>
      <c r="Z603">
        <f>Z602+(X602*Graph!$D$5)+(V602*Graph!$D$5^2)</f>
        <v>-3179.1705850914732</v>
      </c>
    </row>
    <row r="604" spans="14:26" x14ac:dyDescent="0.35">
      <c r="N604">
        <f>N603+1</f>
        <v>601</v>
      </c>
      <c r="O604">
        <f>Graph!$D$22*((Graph!$D$18-Y604)/POWER((((Graph!$D$18-$Y604)^2)+((Graph!$E$18-$Z604)^2))+(Graph!$D$23^2),(3/2)))</f>
        <v>127.86031559554381</v>
      </c>
      <c r="P604" s="84">
        <f>Graph!$D$22*((Graph!$E$18-Z604)/POWER((((Graph!$D$18-$Y604)^2)+((Graph!$E$18-$Z604)^2))+(Graph!$D$23^2),3/2))</f>
        <v>27.501076842051553</v>
      </c>
      <c r="Q604">
        <f>Graph!$D$31*((Graph!$D$27-Y604)/POWER((((Graph!$D$27-$Y604)^2)+((Graph!$E$27-$Z604)^2))+(Graph!$D$32^2),3/2))</f>
        <v>178.66261396468749</v>
      </c>
      <c r="R604">
        <f>Graph!$D$31*((Graph!$E$27-Z604)/POWER((((Graph!$D$27-$Y604)^2)+((Graph!$E$27-$Z604)^2))+(Graph!$D$32^2),3/2))</f>
        <v>89.052255054120096</v>
      </c>
      <c r="S604">
        <f>Graph!$D$40*((Graph!$D$36-Y604)/POWER((((Graph!$D$36-$Y604)^2)+((Graph!$E$36-$Z604)^2))+(Graph!$D$41^2),3/2))</f>
        <v>216.5439443011845</v>
      </c>
      <c r="T604">
        <f>Graph!$D$40*((Graph!$E$36-Z604)/POWER((((Graph!$D$36-$Y604)^2)+((Graph!$E$36-$Z604)^2))+(Graph!$D$41^2),3/2))</f>
        <v>-54.673474465532607</v>
      </c>
      <c r="U604">
        <f>O604+Q604+S604</f>
        <v>523.06687386141584</v>
      </c>
      <c r="V604">
        <f>P604+R604+T604</f>
        <v>61.879857430639035</v>
      </c>
      <c r="W604">
        <f>W603+(U603*Graph!$D$5)</f>
        <v>1948.6764087290101</v>
      </c>
      <c r="X604">
        <f>X603+(V603*Graph!$D$5)</f>
        <v>-126.54518940456441</v>
      </c>
      <c r="Y604">
        <f>Y603+(W603*Graph!$D$5)+(U603*Graph!$D$5^2)</f>
        <v>-46567.878739768516</v>
      </c>
      <c r="Z604">
        <f>Z603+(X603*Graph!$D$5)+(V603*Graph!$D$5^2)</f>
        <v>-3242.4431797937555</v>
      </c>
    </row>
    <row r="605" spans="14:26" x14ac:dyDescent="0.35">
      <c r="N605">
        <f>N604+1</f>
        <v>602</v>
      </c>
      <c r="O605">
        <f>Graph!$D$22*((Graph!$D$18-Y605)/POWER((((Graph!$D$18-$Y605)^2)+((Graph!$E$18-$Z605)^2))+(Graph!$D$23^2),(3/2)))</f>
        <v>132.14430451216802</v>
      </c>
      <c r="P605" s="84">
        <f>Graph!$D$22*((Graph!$E$18-Z605)/POWER((((Graph!$D$18-$Y605)^2)+((Graph!$E$18-$Z605)^2))+(Graph!$D$23^2),3/2))</f>
        <v>29.046472374783487</v>
      </c>
      <c r="Q605">
        <f>Graph!$D$31*((Graph!$D$27-Y605)/POWER((((Graph!$D$27-$Y605)^2)+((Graph!$E$27-$Z605)^2))+(Graph!$D$32^2),3/2))</f>
        <v>188.76808540311086</v>
      </c>
      <c r="R605">
        <f>Graph!$D$31*((Graph!$E$27-Z605)/POWER((((Graph!$D$27-$Y605)^2)+((Graph!$E$27-$Z605)^2))+(Graph!$D$32^2),3/2))</f>
        <v>98.52713903650276</v>
      </c>
      <c r="S605">
        <f>Graph!$D$40*((Graph!$D$36-Y605)/POWER((((Graph!$D$36-$Y605)^2)+((Graph!$E$36-$Z605)^2))+(Graph!$D$41^2),3/2))</f>
        <v>226.2010764155188</v>
      </c>
      <c r="T605">
        <f>Graph!$D$40*((Graph!$E$36-Z605)/POWER((((Graph!$D$36-$Y605)^2)+((Graph!$E$36-$Z605)^2))+(Graph!$D$41^2),3/2))</f>
        <v>-58.262151204706022</v>
      </c>
      <c r="U605">
        <f>O605+Q605+S605</f>
        <v>547.11346633079768</v>
      </c>
      <c r="V605">
        <f>P605+R605+T605</f>
        <v>69.311460206580222</v>
      </c>
      <c r="W605">
        <f>W604+(U604*Graph!$D$5)</f>
        <v>2210.2098456597178</v>
      </c>
      <c r="X605">
        <f>X604+(V604*Graph!$D$5)</f>
        <v>-95.605260689244886</v>
      </c>
      <c r="Y605">
        <f>Y604+(W604*Graph!$D$5)+(U604*Graph!$D$5^2)</f>
        <v>-45462.773816938658</v>
      </c>
      <c r="Z605">
        <f>Z604+(X604*Graph!$D$5)+(V604*Graph!$D$5^2)</f>
        <v>-3290.2458101383781</v>
      </c>
    </row>
    <row r="606" spans="14:26" x14ac:dyDescent="0.35">
      <c r="N606">
        <f>N605+1</f>
        <v>603</v>
      </c>
      <c r="O606">
        <f>Graph!$D$22*((Graph!$D$18-Y606)/POWER((((Graph!$D$18-$Y606)^2)+((Graph!$E$18-$Z606)^2))+(Graph!$D$23^2),(3/2)))</f>
        <v>137.24317338662544</v>
      </c>
      <c r="P606" s="84">
        <f>Graph!$D$22*((Graph!$E$18-Z606)/POWER((((Graph!$D$18-$Y606)^2)+((Graph!$E$18-$Z606)^2))+(Graph!$D$23^2),3/2))</f>
        <v>30.870490924464747</v>
      </c>
      <c r="Q606">
        <f>Graph!$D$31*((Graph!$D$27-Y606)/POWER((((Graph!$D$27-$Y606)^2)+((Graph!$E$27-$Z606)^2))+(Graph!$D$32^2),3/2))</f>
        <v>201.09546371837357</v>
      </c>
      <c r="R606">
        <f>Graph!$D$31*((Graph!$E$27-Z606)/POWER((((Graph!$D$27-$Y606)^2)+((Graph!$E$27-$Z606)^2))+(Graph!$D$32^2),3/2))</f>
        <v>110.59611859171605</v>
      </c>
      <c r="S606">
        <f>Graph!$D$40*((Graph!$D$36-Y606)/POWER((((Graph!$D$36-$Y606)^2)+((Graph!$E$36-$Z606)^2))+(Graph!$D$41^2),3/2))</f>
        <v>237.72662806502453</v>
      </c>
      <c r="T606">
        <f>Graph!$D$40*((Graph!$E$36-Z606)/POWER((((Graph!$D$36-$Y606)^2)+((Graph!$E$36-$Z606)^2))+(Graph!$D$41^2),3/2))</f>
        <v>-62.786517474216311</v>
      </c>
      <c r="U606">
        <f>O606+Q606+S606</f>
        <v>576.06526517002351</v>
      </c>
      <c r="V606">
        <f>P606+R606+T606</f>
        <v>78.680092041964485</v>
      </c>
      <c r="W606">
        <f>W605+(U605*Graph!$D$5)</f>
        <v>2483.7665788251165</v>
      </c>
      <c r="X606">
        <f>X605+(V605*Graph!$D$5)</f>
        <v>-60.949530585954776</v>
      </c>
      <c r="Y606">
        <f>Y605+(W605*Graph!$D$5)+(U605*Graph!$D$5^2)</f>
        <v>-44220.890527526099</v>
      </c>
      <c r="Z606">
        <f>Z605+(X605*Graph!$D$5)+(V605*Graph!$D$5^2)</f>
        <v>-3320.7205754313554</v>
      </c>
    </row>
    <row r="607" spans="14:26" x14ac:dyDescent="0.35">
      <c r="N607">
        <f>N606+1</f>
        <v>604</v>
      </c>
      <c r="O607">
        <f>Graph!$D$22*((Graph!$D$18-Y607)/POWER((((Graph!$D$18-$Y607)^2)+((Graph!$E$18-$Z607)^2))+(Graph!$D$23^2),(3/2)))</f>
        <v>143.31261943173439</v>
      </c>
      <c r="P607" s="84">
        <f>Graph!$D$22*((Graph!$E$18-Z607)/POWER((((Graph!$D$18-$Y607)^2)+((Graph!$E$18-$Z607)^2))+(Graph!$D$23^2),3/2))</f>
        <v>33.034946212487419</v>
      </c>
      <c r="Q607">
        <f>Graph!$D$31*((Graph!$D$27-Y607)/POWER((((Graph!$D$27-$Y607)^2)+((Graph!$E$27-$Z607)^2))+(Graph!$D$32^2),3/2))</f>
        <v>216.12638888827121</v>
      </c>
      <c r="R607">
        <f>Graph!$D$31*((Graph!$E$27-Z607)/POWER((((Graph!$D$27-$Y607)^2)+((Graph!$E$27-$Z607)^2))+(Graph!$D$32^2),3/2))</f>
        <v>126.17891704685117</v>
      </c>
      <c r="S607">
        <f>Graph!$D$40*((Graph!$D$36-Y607)/POWER((((Graph!$D$36-$Y607)^2)+((Graph!$E$36-$Z607)^2))+(Graph!$D$41^2),3/2))</f>
        <v>251.5126550780499</v>
      </c>
      <c r="T607">
        <f>Graph!$D$40*((Graph!$E$36-Z607)/POWER((((Graph!$D$36-$Y607)^2)+((Graph!$E$36-$Z607)^2))+(Graph!$D$41^2),3/2))</f>
        <v>-68.513357535410705</v>
      </c>
      <c r="U607">
        <f>O607+Q607+S607</f>
        <v>610.95166339805553</v>
      </c>
      <c r="V607">
        <f>P607+R607+T607</f>
        <v>90.700505723927876</v>
      </c>
      <c r="W607">
        <f>W606+(U606*Graph!$D$5)</f>
        <v>2771.7992114101285</v>
      </c>
      <c r="X607">
        <f>X606+(V606*Graph!$D$5)</f>
        <v>-21.609484564972533</v>
      </c>
      <c r="Y607">
        <f>Y606+(W606*Graph!$D$5)+(U606*Graph!$D$5^2)</f>
        <v>-42834.99092182103</v>
      </c>
      <c r="Z607">
        <f>Z606+(X606*Graph!$D$5)+(V606*Graph!$D$5^2)</f>
        <v>-3331.5253177138416</v>
      </c>
    </row>
    <row r="608" spans="14:26" x14ac:dyDescent="0.35">
      <c r="N608">
        <f>N607+1</f>
        <v>605</v>
      </c>
      <c r="O608">
        <f>Graph!$D$22*((Graph!$D$18-Y608)/POWER((((Graph!$D$18-$Y608)^2)+((Graph!$E$18-$Z608)^2))+(Graph!$D$23^2),(3/2)))</f>
        <v>150.55907046822759</v>
      </c>
      <c r="P608" s="84">
        <f>Graph!$D$22*((Graph!$E$18-Z608)/POWER((((Graph!$D$18-$Y608)^2)+((Graph!$E$18-$Z608)^2))+(Graph!$D$23^2),3/2))</f>
        <v>35.622109508528986</v>
      </c>
      <c r="Q608">
        <f>Graph!$D$31*((Graph!$D$27-Y608)/POWER((((Graph!$D$27-$Y608)^2)+((Graph!$E$27-$Z608)^2))+(Graph!$D$32^2),3/2))</f>
        <v>234.46665373905631</v>
      </c>
      <c r="R608">
        <f>Graph!$D$31*((Graph!$E$27-Z608)/POWER((((Graph!$D$27-$Y608)^2)+((Graph!$E$27-$Z608)^2))+(Graph!$D$32^2),3/2))</f>
        <v>146.64552482458828</v>
      </c>
      <c r="S608">
        <f>Graph!$D$40*((Graph!$D$36-Y608)/POWER((((Graph!$D$36-$Y608)^2)+((Graph!$E$36-$Z608)^2))+(Graph!$D$41^2),3/2))</f>
        <v>268.07537058684505</v>
      </c>
      <c r="T608">
        <f>Graph!$D$40*((Graph!$E$36-Z608)/POWER((((Graph!$D$36-$Y608)^2)+((Graph!$E$36-$Z608)^2))+(Graph!$D$41^2),3/2))</f>
        <v>-75.822986158542861</v>
      </c>
      <c r="U608">
        <f>O608+Q608+S608</f>
        <v>653.10109479412904</v>
      </c>
      <c r="V608">
        <f>P608+R608+T608</f>
        <v>106.4446481745744</v>
      </c>
      <c r="W608">
        <f>W607+(U607*Graph!$D$5)</f>
        <v>3077.2750431091563</v>
      </c>
      <c r="X608">
        <f>X607+(V607*Graph!$D$5)</f>
        <v>23.740768296991405</v>
      </c>
      <c r="Y608">
        <f>Y607+(W607*Graph!$D$5)+(U607*Graph!$D$5^2)</f>
        <v>-41296.353400266453</v>
      </c>
      <c r="Z608">
        <f>Z607+(X607*Graph!$D$5)+(V607*Graph!$D$5^2)</f>
        <v>-3319.6549335653458</v>
      </c>
    </row>
    <row r="609" spans="14:26" x14ac:dyDescent="0.35">
      <c r="N609">
        <f>N608+1</f>
        <v>606</v>
      </c>
      <c r="O609">
        <f>Graph!$D$22*((Graph!$D$18-Y609)/POWER((((Graph!$D$18-$Y609)^2)+((Graph!$E$18-$Z609)^2))+(Graph!$D$23^2),(3/2)))</f>
        <v>159.26067398398959</v>
      </c>
      <c r="P609" s="84">
        <f>Graph!$D$22*((Graph!$E$18-Z609)/POWER((((Graph!$D$18-$Y609)^2)+((Graph!$E$18-$Z609)^2))+(Graph!$D$23^2),3/2))</f>
        <v>38.743296964509049</v>
      </c>
      <c r="Q609">
        <f>Graph!$D$31*((Graph!$D$27-Y609)/POWER((((Graph!$D$27-$Y609)^2)+((Graph!$E$27-$Z609)^2))+(Graph!$D$32^2),3/2))</f>
        <v>256.84401572681992</v>
      </c>
      <c r="R609">
        <f>Graph!$D$31*((Graph!$E$27-Z609)/POWER((((Graph!$D$27-$Y609)^2)+((Graph!$E$27-$Z609)^2))+(Graph!$D$32^2),3/2))</f>
        <v>174.08968059564484</v>
      </c>
      <c r="S609">
        <f>Graph!$D$40*((Graph!$D$36-Y609)/POWER((((Graph!$D$36-$Y609)^2)+((Graph!$E$36-$Z609)^2))+(Graph!$D$41^2),3/2))</f>
        <v>288.10090114941909</v>
      </c>
      <c r="T609">
        <f>Graph!$D$40*((Graph!$E$36-Z609)/POWER((((Graph!$D$36-$Y609)^2)+((Graph!$E$36-$Z609)^2))+(Graph!$D$41^2),3/2))</f>
        <v>-85.269660485722028</v>
      </c>
      <c r="U609">
        <f>O609+Q609+S609</f>
        <v>704.20559086022854</v>
      </c>
      <c r="V609">
        <f>P609+R609+T609</f>
        <v>127.56331707443186</v>
      </c>
      <c r="W609">
        <f>W608+(U608*Graph!$D$5)</f>
        <v>3403.8255905062206</v>
      </c>
      <c r="X609">
        <f>X608+(V608*Graph!$D$5)</f>
        <v>76.96309238427861</v>
      </c>
      <c r="Y609">
        <f>Y608+(W608*Graph!$D$5)+(U608*Graph!$D$5^2)</f>
        <v>-39594.44060501334</v>
      </c>
      <c r="Z609">
        <f>Z608+(X608*Graph!$D$5)+(V608*Graph!$D$5^2)</f>
        <v>-3281.1733873732064</v>
      </c>
    </row>
    <row r="610" spans="14:26" x14ac:dyDescent="0.35">
      <c r="N610">
        <f>N609+1</f>
        <v>607</v>
      </c>
      <c r="O610">
        <f>Graph!$D$22*((Graph!$D$18-Y610)/POWER((((Graph!$D$18-$Y610)^2)+((Graph!$E$18-$Z610)^2))+(Graph!$D$23^2),(3/2)))</f>
        <v>169.79980385648238</v>
      </c>
      <c r="P610" s="84">
        <f>Graph!$D$22*((Graph!$E$18-Z610)/POWER((((Graph!$D$18-$Y610)^2)+((Graph!$E$18-$Z610)^2))+(Graph!$D$23^2),3/2))</f>
        <v>42.551998412724124</v>
      </c>
      <c r="Q610">
        <f>Graph!$D$31*((Graph!$D$27-Y610)/POWER((((Graph!$D$27-$Y610)^2)+((Graph!$E$27-$Z610)^2))+(Graph!$D$32^2),3/2))</f>
        <v>284.03399584846323</v>
      </c>
      <c r="R610">
        <f>Graph!$D$31*((Graph!$E$27-Z610)/POWER((((Graph!$D$27-$Y610)^2)+((Graph!$E$27-$Z610)^2))+(Graph!$D$32^2),3/2))</f>
        <v>211.79813144002335</v>
      </c>
      <c r="S610">
        <f>Graph!$D$40*((Graph!$D$36-Y610)/POWER((((Graph!$D$36-$Y610)^2)+((Graph!$E$36-$Z610)^2))+(Graph!$D$41^2),3/2))</f>
        <v>312.50884173375385</v>
      </c>
      <c r="T610">
        <f>Graph!$D$40*((Graph!$E$36-Z610)/POWER((((Graph!$D$36-$Y610)^2)+((Graph!$E$36-$Z610)^2))+(Graph!$D$41^2),3/2))</f>
        <v>-97.682214014015926</v>
      </c>
      <c r="U610">
        <f>O610+Q610+S610</f>
        <v>766.3426414386995</v>
      </c>
      <c r="V610">
        <f>P610+R610+T610</f>
        <v>156.66791583873155</v>
      </c>
      <c r="W610">
        <f>W609+(U609*Graph!$D$5)</f>
        <v>3755.928385936335</v>
      </c>
      <c r="X610">
        <f>X609+(V609*Graph!$D$5)</f>
        <v>140.74475092149453</v>
      </c>
      <c r="Y610">
        <f>Y609+(W609*Graph!$D$5)+(U609*Graph!$D$5^2)</f>
        <v>-37716.476412045173</v>
      </c>
      <c r="Z610">
        <f>Z609+(X609*Graph!$D$5)+(V609*Graph!$D$5^2)</f>
        <v>-3210.8010119124592</v>
      </c>
    </row>
    <row r="611" spans="14:26" x14ac:dyDescent="0.35">
      <c r="N611">
        <f>N610+1</f>
        <v>608</v>
      </c>
      <c r="O611">
        <f>Graph!$D$22*((Graph!$D$18-Y611)/POWER((((Graph!$D$18-$Y611)^2)+((Graph!$E$18-$Z611)^2))+(Graph!$D$23^2),(3/2)))</f>
        <v>182.71498944902186</v>
      </c>
      <c r="P611" s="84">
        <f>Graph!$D$22*((Graph!$E$18-Z611)/POWER((((Graph!$D$18-$Y611)^2)+((Graph!$E$18-$Z611)^2))+(Graph!$D$23^2),3/2))</f>
        <v>47.264405723460655</v>
      </c>
      <c r="Q611">
        <f>Graph!$D$31*((Graph!$D$27-Y611)/POWER((((Graph!$D$27-$Y611)^2)+((Graph!$E$27-$Z611)^2))+(Graph!$D$32^2),3/2))</f>
        <v>316.56444190317325</v>
      </c>
      <c r="R611">
        <f>Graph!$D$31*((Graph!$E$27-Z611)/POWER((((Graph!$D$27-$Y611)^2)+((Graph!$E$27-$Z611)^2))+(Graph!$D$32^2),3/2))</f>
        <v>265.06122907062411</v>
      </c>
      <c r="S611">
        <f>Graph!$D$40*((Graph!$D$36-Y611)/POWER((((Graph!$D$36-$Y611)^2)+((Graph!$E$36-$Z611)^2))+(Graph!$D$41^2),3/2))</f>
        <v>342.53671076827158</v>
      </c>
      <c r="T611">
        <f>Graph!$D$40*((Graph!$E$36-Z611)/POWER((((Graph!$D$36-$Y611)^2)+((Graph!$E$36-$Z611)^2))+(Graph!$D$41^2),3/2))</f>
        <v>-114.33677704083256</v>
      </c>
      <c r="U611">
        <f>O611+Q611+S611</f>
        <v>841.81614212046668</v>
      </c>
      <c r="V611">
        <f>P611+R611+T611</f>
        <v>197.9888577532522</v>
      </c>
      <c r="W611">
        <f>W610+(U610*Graph!$D$5)</f>
        <v>4139.0997066556847</v>
      </c>
      <c r="X611">
        <f>X610+(V610*Graph!$D$5)</f>
        <v>219.07870884086032</v>
      </c>
      <c r="Y611">
        <f>Y610+(W610*Graph!$D$5)+(U610*Graph!$D$5^2)</f>
        <v>-35646.926558717329</v>
      </c>
      <c r="Z611">
        <f>Z610+(X610*Graph!$D$5)+(V610*Graph!$D$5^2)</f>
        <v>-3101.2616574920289</v>
      </c>
    </row>
    <row r="612" spans="14:26" x14ac:dyDescent="0.35">
      <c r="N612">
        <f>N611+1</f>
        <v>609</v>
      </c>
      <c r="O612">
        <f>Graph!$D$22*((Graph!$D$18-Y612)/POWER((((Graph!$D$18-$Y612)^2)+((Graph!$E$18-$Z612)^2))+(Graph!$D$23^2),(3/2)))</f>
        <v>198.78675520375313</v>
      </c>
      <c r="P612" s="84">
        <f>Graph!$D$22*((Graph!$E$18-Z612)/POWER((((Graph!$D$18-$Y612)^2)+((Graph!$E$18-$Z612)^2))+(Graph!$D$23^2),3/2))</f>
        <v>53.192198065750908</v>
      </c>
      <c r="Q612">
        <f>Graph!$D$31*((Graph!$D$27-Y612)/POWER((((Graph!$D$27-$Y612)^2)+((Graph!$E$27-$Z612)^2))+(Graph!$D$32^2),3/2))</f>
        <v>353.77347001320612</v>
      </c>
      <c r="R612">
        <f>Graph!$D$31*((Graph!$E$27-Z612)/POWER((((Graph!$D$27-$Y612)^2)+((Graph!$E$27-$Z612)^2))+(Graph!$D$32^2),3/2))</f>
        <v>342.5332810237573</v>
      </c>
      <c r="S612">
        <f>Graph!$D$40*((Graph!$D$36-Y612)/POWER((((Graph!$D$36-$Y612)^2)+((Graph!$E$36-$Z612)^2))+(Graph!$D$41^2),3/2))</f>
        <v>379.83801153137949</v>
      </c>
      <c r="T612">
        <f>Graph!$D$40*((Graph!$E$36-Z612)/POWER((((Graph!$D$36-$Y612)^2)+((Graph!$E$36-$Z612)^2))+(Graph!$D$41^2),3/2))</f>
        <v>-137.26172147015652</v>
      </c>
      <c r="U612">
        <f>O612+Q612+S612</f>
        <v>932.39823674833872</v>
      </c>
      <c r="V612">
        <f>P612+R612+T612</f>
        <v>258.46375761935167</v>
      </c>
      <c r="W612">
        <f>W611+(U611*Graph!$D$5)</f>
        <v>4560.0077777159177</v>
      </c>
      <c r="X612">
        <f>X611+(V611*Graph!$D$5)</f>
        <v>318.07313771748642</v>
      </c>
      <c r="Y612">
        <f>Y611+(W611*Graph!$D$5)+(U611*Graph!$D$5^2)</f>
        <v>-33366.92266985937</v>
      </c>
      <c r="Z612">
        <f>Z611+(X611*Graph!$D$5)+(V611*Graph!$D$5^2)</f>
        <v>-2942.2250886332854</v>
      </c>
    </row>
    <row r="613" spans="14:26" x14ac:dyDescent="0.35">
      <c r="N613">
        <f>N612+1</f>
        <v>610</v>
      </c>
      <c r="O613">
        <f>Graph!$D$22*((Graph!$D$18-Y613)/POWER((((Graph!$D$18-$Y613)^2)+((Graph!$E$18-$Z613)^2))+(Graph!$D$23^2),(3/2)))</f>
        <v>219.18466422689724</v>
      </c>
      <c r="P613" s="84">
        <f>Graph!$D$22*((Graph!$E$18-Z613)/POWER((((Graph!$D$18-$Y613)^2)+((Graph!$E$18-$Z613)^2))+(Graph!$D$23^2),3/2))</f>
        <v>60.795722314610117</v>
      </c>
      <c r="Q613">
        <f>Graph!$D$31*((Graph!$D$27-Y613)/POWER((((Graph!$D$27-$Y613)^2)+((Graph!$E$27-$Z613)^2))+(Graph!$D$32^2),3/2))</f>
        <v>391.02846364639294</v>
      </c>
      <c r="R613">
        <f>Graph!$D$31*((Graph!$E$27-Z613)/POWER((((Graph!$D$27-$Y613)^2)+((Graph!$E$27-$Z613)^2))+(Graph!$D$32^2),3/2))</f>
        <v>458.20957528770811</v>
      </c>
      <c r="S613">
        <f>Graph!$D$40*((Graph!$D$36-Y613)/POWER((((Graph!$D$36-$Y613)^2)+((Graph!$E$36-$Z613)^2))+(Graph!$D$41^2),3/2))</f>
        <v>426.54441316208704</v>
      </c>
      <c r="T613">
        <f>Graph!$D$40*((Graph!$E$36-Z613)/POWER((((Graph!$D$36-$Y613)^2)+((Graph!$E$36-$Z613)^2))+(Graph!$D$41^2),3/2))</f>
        <v>-169.78689781766732</v>
      </c>
      <c r="U613">
        <f>O613+Q613+S613</f>
        <v>1036.7575410353772</v>
      </c>
      <c r="V613">
        <f>P613+R613+T613</f>
        <v>349.21839978465096</v>
      </c>
      <c r="W613">
        <f>W612+(U612*Graph!$D$5)</f>
        <v>5026.206896090087</v>
      </c>
      <c r="X613">
        <f>X612+(V612*Graph!$D$5)</f>
        <v>447.30501652716225</v>
      </c>
      <c r="Y613">
        <f>Y612+(W612*Graph!$D$5)+(U612*Graph!$D$5^2)</f>
        <v>-30853.819221814327</v>
      </c>
      <c r="Z613">
        <f>Z612+(X612*Graph!$D$5)+(V612*Graph!$D$5^2)</f>
        <v>-2718.5725803697046</v>
      </c>
    </row>
    <row r="614" spans="14:26" x14ac:dyDescent="0.35">
      <c r="N614">
        <f>N613+1</f>
        <v>611</v>
      </c>
      <c r="O614">
        <f>Graph!$D$22*((Graph!$D$18-Y614)/POWER((((Graph!$D$18-$Y614)^2)+((Graph!$E$18-$Z614)^2))+(Graph!$D$23^2),(3/2)))</f>
        <v>245.72746479246484</v>
      </c>
      <c r="P614" s="84">
        <f>Graph!$D$22*((Graph!$E$18-Z614)/POWER((((Graph!$D$18-$Y614)^2)+((Graph!$E$18-$Z614)^2))+(Graph!$D$23^2),3/2))</f>
        <v>70.770284845495823</v>
      </c>
      <c r="Q614">
        <f>Graph!$D$31*((Graph!$D$27-Y614)/POWER((((Graph!$D$27-$Y614)^2)+((Graph!$E$27-$Z614)^2))+(Graph!$D$32^2),3/2))</f>
        <v>412.03255571366248</v>
      </c>
      <c r="R614">
        <f>Graph!$D$31*((Graph!$E$27-Z614)/POWER((((Graph!$D$27-$Y614)^2)+((Graph!$E$27-$Z614)^2))+(Graph!$D$32^2),3/2))</f>
        <v>632.59603044478069</v>
      </c>
      <c r="S614">
        <f>Graph!$D$40*((Graph!$D$36-Y614)/POWER((((Graph!$D$36-$Y614)^2)+((Graph!$E$36-$Z614)^2))+(Graph!$D$41^2),3/2))</f>
        <v>485.09403075787077</v>
      </c>
      <c r="T614">
        <f>Graph!$D$40*((Graph!$E$36-Z614)/POWER((((Graph!$D$36-$Y614)^2)+((Graph!$E$36-$Z614)^2))+(Graph!$D$41^2),3/2))</f>
        <v>-217.52701341627434</v>
      </c>
      <c r="U614">
        <f>O614+Q614+S614</f>
        <v>1142.8540512639981</v>
      </c>
      <c r="V614">
        <f>P614+R614+T614</f>
        <v>485.8393018740021</v>
      </c>
      <c r="W614">
        <f>W613+(U613*Graph!$D$5)</f>
        <v>5544.5856666077752</v>
      </c>
      <c r="X614">
        <f>X613+(V613*Graph!$D$5)</f>
        <v>621.91421641948773</v>
      </c>
      <c r="Y614">
        <f>Y613+(W613*Graph!$D$5)+(U613*Graph!$D$5^2)</f>
        <v>-28081.52638851044</v>
      </c>
      <c r="Z614">
        <f>Z613+(X613*Graph!$D$5)+(V613*Graph!$D$5^2)</f>
        <v>-2407.6154721599605</v>
      </c>
    </row>
    <row r="615" spans="14:26" x14ac:dyDescent="0.35">
      <c r="N615">
        <f>N614+1</f>
        <v>612</v>
      </c>
      <c r="O615">
        <f>Graph!$D$22*((Graph!$D$18-Y615)/POWER((((Graph!$D$18-$Y615)^2)+((Graph!$E$18-$Z615)^2))+(Graph!$D$23^2),(3/2)))</f>
        <v>281.35082081514059</v>
      </c>
      <c r="P615" s="84">
        <f>Graph!$D$22*((Graph!$E$18-Z615)/POWER((((Graph!$D$18-$Y615)^2)+((Graph!$E$18-$Z615)^2))+(Graph!$D$23^2),3/2))</f>
        <v>84.181299762180146</v>
      </c>
      <c r="Q615">
        <f>Graph!$D$31*((Graph!$D$27-Y615)/POWER((((Graph!$D$27-$Y615)^2)+((Graph!$E$27-$Z615)^2))+(Graph!$D$32^2),3/2))</f>
        <v>370.83008517124057</v>
      </c>
      <c r="R615">
        <f>Graph!$D$31*((Graph!$E$27-Z615)/POWER((((Graph!$D$27-$Y615)^2)+((Graph!$E$27-$Z615)^2))+(Graph!$D$32^2),3/2))</f>
        <v>883.99446135273229</v>
      </c>
      <c r="S615">
        <f>Graph!$D$40*((Graph!$D$36-Y615)/POWER((((Graph!$D$36-$Y615)^2)+((Graph!$E$36-$Z615)^2))+(Graph!$D$41^2),3/2))</f>
        <v>557.15179637784593</v>
      </c>
      <c r="T615">
        <f>Graph!$D$40*((Graph!$E$36-Z615)/POWER((((Graph!$D$36-$Y615)^2)+((Graph!$E$36-$Z615)^2))+(Graph!$D$41^2),3/2))</f>
        <v>-289.99882987910951</v>
      </c>
      <c r="U615">
        <f>O615+Q615+S615</f>
        <v>1209.3327023642271</v>
      </c>
      <c r="V615">
        <f>P615+R615+T615</f>
        <v>678.17693123580295</v>
      </c>
      <c r="W615">
        <f>W614+(U614*Graph!$D$5)</f>
        <v>6116.012692239774</v>
      </c>
      <c r="X615">
        <f>X614+(V614*Graph!$D$5)</f>
        <v>864.83386735648878</v>
      </c>
      <c r="Y615">
        <f>Y614+(W614*Graph!$D$5)+(U614*Graph!$D$5^2)</f>
        <v>-25023.520042390552</v>
      </c>
      <c r="Z615">
        <f>Z614+(X614*Graph!$D$5)+(V614*Graph!$D$5^2)</f>
        <v>-1975.1985384817162</v>
      </c>
    </row>
    <row r="616" spans="14:26" x14ac:dyDescent="0.35">
      <c r="N616">
        <f>N615+1</f>
        <v>613</v>
      </c>
      <c r="O616">
        <f>Graph!$D$22*((Graph!$D$18-Y616)/POWER((((Graph!$D$18-$Y616)^2)+((Graph!$E$18-$Z616)^2))+(Graph!$D$23^2),(3/2)))</f>
        <v>330.92268475013896</v>
      </c>
      <c r="P616" s="84">
        <f>Graph!$D$22*((Graph!$E$18-Z616)/POWER((((Graph!$D$18-$Y616)^2)+((Graph!$E$18-$Z616)^2))+(Graph!$D$23^2),3/2))</f>
        <v>102.65509407505371</v>
      </c>
      <c r="Q616">
        <f>Graph!$D$31*((Graph!$D$27-Y616)/POWER((((Graph!$D$27-$Y616)^2)+((Graph!$E$27-$Z616)^2))+(Graph!$D$32^2),3/2))</f>
        <v>172.19938591492587</v>
      </c>
      <c r="R616">
        <f>Graph!$D$31*((Graph!$E$27-Z616)/POWER((((Graph!$D$27-$Y616)^2)+((Graph!$E$27-$Z616)^2))+(Graph!$D$32^2),3/2))</f>
        <v>1177.5417442490718</v>
      </c>
      <c r="S616">
        <f>Graph!$D$40*((Graph!$D$36-Y616)/POWER((((Graph!$D$36-$Y616)^2)+((Graph!$E$36-$Z616)^2))+(Graph!$D$41^2),3/2))</f>
        <v>639.69752196058926</v>
      </c>
      <c r="T616">
        <f>Graph!$D$40*((Graph!$E$36-Z616)/POWER((((Graph!$D$36-$Y616)^2)+((Graph!$E$36-$Z616)^2))+(Graph!$D$41^2),3/2))</f>
        <v>-402.38811088515109</v>
      </c>
      <c r="U616">
        <f>O616+Q616+S616</f>
        <v>1142.819592625654</v>
      </c>
      <c r="V616">
        <f>P616+R616+T616</f>
        <v>877.80872743897453</v>
      </c>
      <c r="W616">
        <f>W615+(U615*Graph!$D$5)</f>
        <v>6720.6790434218874</v>
      </c>
      <c r="X616">
        <f>X615+(V615*Graph!$D$5)</f>
        <v>1203.9223329743902</v>
      </c>
      <c r="Y616">
        <f>Y615+(W615*Graph!$D$5)+(U615*Graph!$D$5^2)</f>
        <v>-21663.180520679605</v>
      </c>
      <c r="Z616">
        <f>Z615+(X615*Graph!$D$5)+(V615*Graph!$D$5^2)</f>
        <v>-1373.2373719945213</v>
      </c>
    </row>
    <row r="617" spans="14:26" x14ac:dyDescent="0.35">
      <c r="N617">
        <f>N616+1</f>
        <v>614</v>
      </c>
      <c r="O617">
        <f>Graph!$D$22*((Graph!$D$18-Y617)/POWER((((Graph!$D$18-$Y617)^2)+((Graph!$E$18-$Z617)^2))+(Graph!$D$23^2),(3/2)))</f>
        <v>402.48659812375621</v>
      </c>
      <c r="P617" s="84">
        <f>Graph!$D$22*((Graph!$E$18-Z617)/POWER((((Graph!$D$18-$Y617)^2)+((Graph!$E$18-$Z617)^2))+(Graph!$D$23^2),3/2))</f>
        <v>128.62919855650236</v>
      </c>
      <c r="Q617">
        <f>Graph!$D$31*((Graph!$D$27-Y617)/POWER((((Graph!$D$27-$Y617)^2)+((Graph!$E$27-$Z617)^2))+(Graph!$D$32^2),3/2))</f>
        <v>-247.28865795072443</v>
      </c>
      <c r="R617">
        <f>Graph!$D$31*((Graph!$E$27-Z617)/POWER((((Graph!$D$27-$Y617)^2)+((Graph!$E$27-$Z617)^2))+(Graph!$D$32^2),3/2))</f>
        <v>1315.9483123420118</v>
      </c>
      <c r="S617">
        <f>Graph!$D$40*((Graph!$D$36-Y617)/POWER((((Graph!$D$36-$Y617)^2)+((Graph!$E$36-$Z617)^2))+(Graph!$D$41^2),3/2))</f>
        <v>714.99793479435914</v>
      </c>
      <c r="T617">
        <f>Graph!$D$40*((Graph!$E$36-Z617)/POWER((((Graph!$D$36-$Y617)^2)+((Graph!$E$36-$Z617)^2))+(Graph!$D$41^2),3/2))</f>
        <v>-573.36615135919067</v>
      </c>
      <c r="U617">
        <f>O617+Q617+S617</f>
        <v>870.19587496739086</v>
      </c>
      <c r="V617">
        <f>P617+R617+T617</f>
        <v>871.21135953932355</v>
      </c>
      <c r="W617">
        <f>W616+(U616*Graph!$D$5)</f>
        <v>7292.0888397347144</v>
      </c>
      <c r="X617">
        <f>X616+(V616*Graph!$D$5)</f>
        <v>1642.8266966938775</v>
      </c>
      <c r="Y617">
        <f>Y616+(W616*Graph!$D$5)+(U616*Graph!$D$5^2)</f>
        <v>-18017.136100812248</v>
      </c>
      <c r="Z617">
        <f>Z616+(X616*Graph!$D$5)+(V616*Graph!$D$5^2)</f>
        <v>-551.82402364758252</v>
      </c>
    </row>
    <row r="618" spans="14:26" x14ac:dyDescent="0.35">
      <c r="N618">
        <f>N617+1</f>
        <v>615</v>
      </c>
      <c r="O618">
        <f>Graph!$D$22*((Graph!$D$18-Y618)/POWER((((Graph!$D$18-$Y618)^2)+((Graph!$E$18-$Z618)^2))+(Graph!$D$23^2),(3/2)))</f>
        <v>508.88114376831777</v>
      </c>
      <c r="P618" s="84">
        <f>Graph!$D$22*((Graph!$E$18-Z618)/POWER((((Graph!$D$18-$Y618)^2)+((Graph!$E$18-$Z618)^2))+(Graph!$D$23^2),3/2))</f>
        <v>166.0445457107212</v>
      </c>
      <c r="Q618">
        <f>Graph!$D$31*((Graph!$D$27-Y618)/POWER((((Graph!$D$27-$Y618)^2)+((Graph!$E$27-$Z618)^2))+(Graph!$D$32^2),3/2))</f>
        <v>-655.36240033365584</v>
      </c>
      <c r="R618">
        <f>Graph!$D$31*((Graph!$E$27-Z618)/POWER((((Graph!$D$27-$Y618)^2)+((Graph!$E$27-$Z618)^2))+(Graph!$D$32^2),3/2))</f>
        <v>1066.3219104436494</v>
      </c>
      <c r="S618">
        <f>Graph!$D$40*((Graph!$D$36-Y618)/POWER((((Graph!$D$36-$Y618)^2)+((Graph!$E$36-$Z618)^2))+(Graph!$D$41^2),3/2))</f>
        <v>738.63402163552587</v>
      </c>
      <c r="T618">
        <f>Graph!$D$40*((Graph!$E$36-Z618)/POWER((((Graph!$D$36-$Y618)^2)+((Graph!$E$36-$Z618)^2))+(Graph!$D$41^2),3/2))</f>
        <v>-808.24391403505763</v>
      </c>
      <c r="U618">
        <f>O618+Q618+S618</f>
        <v>592.1527650701878</v>
      </c>
      <c r="V618">
        <f>P618+R618+T618</f>
        <v>424.12254211931293</v>
      </c>
      <c r="W618">
        <f>W617+(U617*Graph!$D$5)</f>
        <v>7727.1867772184096</v>
      </c>
      <c r="X618">
        <f>X617+(V617*Graph!$D$5)</f>
        <v>2078.4323764635392</v>
      </c>
      <c r="Y618">
        <f>Y617+(W617*Graph!$D$5)+(U617*Graph!$D$5^2)</f>
        <v>-14153.542712203041</v>
      </c>
      <c r="Z618">
        <f>Z617+(X617*Graph!$D$5)+(V617*Graph!$D$5^2)</f>
        <v>487.39216458418707</v>
      </c>
    </row>
    <row r="619" spans="14:26" x14ac:dyDescent="0.35">
      <c r="N619">
        <f>N618+1</f>
        <v>616</v>
      </c>
      <c r="O619">
        <f>Graph!$D$22*((Graph!$D$18-Y619)/POWER((((Graph!$D$18-$Y619)^2)+((Graph!$E$18-$Z619)^2))+(Graph!$D$23^2),(3/2)))</f>
        <v>671.39828098657688</v>
      </c>
      <c r="P619" s="84">
        <f>Graph!$D$22*((Graph!$E$18-Z619)/POWER((((Graph!$D$18-$Y619)^2)+((Graph!$E$18-$Z619)^2))+(Graph!$D$23^2),3/2))</f>
        <v>223.44489923821263</v>
      </c>
      <c r="Q619">
        <f>Graph!$D$31*((Graph!$D$27-Y619)/POWER((((Graph!$D$27-$Y619)^2)+((Graph!$E$27-$Z619)^2))+(Graph!$D$32^2),3/2))</f>
        <v>-736.52876386715775</v>
      </c>
      <c r="R619">
        <f>Graph!$D$31*((Graph!$E$27-Z619)/POWER((((Graph!$D$27-$Y619)^2)+((Graph!$E$27-$Z619)^2))+(Graph!$D$32^2),3/2))</f>
        <v>625.15180634582919</v>
      </c>
      <c r="S619">
        <f>Graph!$D$40*((Graph!$D$36-Y619)/POWER((((Graph!$D$36-$Y619)^2)+((Graph!$E$36-$Z619)^2))+(Graph!$D$41^2),3/2))</f>
        <v>652.73325059529589</v>
      </c>
      <c r="T619">
        <f>Graph!$D$40*((Graph!$E$36-Z619)/POWER((((Graph!$D$36-$Y619)^2)+((Graph!$E$36-$Z619)^2))+(Graph!$D$41^2),3/2))</f>
        <v>-1070.4763994861351</v>
      </c>
      <c r="U619">
        <f>O619+Q619+S619</f>
        <v>587.60276771471501</v>
      </c>
      <c r="V619">
        <f>P619+R619+T619</f>
        <v>-221.87969390209321</v>
      </c>
      <c r="W619">
        <f>W618+(U618*Graph!$D$5)</f>
        <v>8023.2631597535037</v>
      </c>
      <c r="X619">
        <f>X618+(V618*Graph!$D$5)</f>
        <v>2290.4936475231957</v>
      </c>
      <c r="Y619">
        <f>Y618+(W618*Graph!$D$5)+(U618*Graph!$D$5^2)</f>
        <v>-10141.91113232629</v>
      </c>
      <c r="Z619">
        <f>Z618+(X618*Graph!$D$5)+(V618*Graph!$D$5^2)</f>
        <v>1632.6389883457848</v>
      </c>
    </row>
    <row r="620" spans="14:26" x14ac:dyDescent="0.35">
      <c r="N620">
        <f>N619+1</f>
        <v>617</v>
      </c>
      <c r="O620">
        <f>Graph!$D$22*((Graph!$D$18-Y620)/POWER((((Graph!$D$18-$Y620)^2)+((Graph!$E$18-$Z620)^2))+(Graph!$D$23^2),(3/2)))</f>
        <v>931.20585261923191</v>
      </c>
      <c r="P620" s="84">
        <f>Graph!$D$22*((Graph!$E$18-Z620)/POWER((((Graph!$D$18-$Y620)^2)+((Graph!$E$18-$Z620)^2))+(Graph!$D$23^2),3/2))</f>
        <v>322.96652328882959</v>
      </c>
      <c r="Q620">
        <f>Graph!$D$31*((Graph!$D$27-Y620)/POWER((((Graph!$D$27-$Y620)^2)+((Graph!$E$27-$Z620)^2))+(Graph!$D$32^2),3/2))</f>
        <v>-594.67957475768776</v>
      </c>
      <c r="R620">
        <f>Graph!$D$31*((Graph!$E$27-Z620)/POWER((((Graph!$D$27-$Y620)^2)+((Graph!$E$27-$Z620)^2))+(Graph!$D$32^2),3/2))</f>
        <v>308.76418657146735</v>
      </c>
      <c r="S620">
        <f>Graph!$D$40*((Graph!$D$36-Y620)/POWER((((Graph!$D$36-$Y620)^2)+((Graph!$E$36-$Z620)^2))+(Graph!$D$41^2),3/2))</f>
        <v>431.61675423712478</v>
      </c>
      <c r="T620">
        <f>Graph!$D$40*((Graph!$E$36-Z620)/POWER((((Graph!$D$36-$Y620)^2)+((Graph!$E$36-$Z620)^2))+(Graph!$D$41^2),3/2))</f>
        <v>-1278.4234128249491</v>
      </c>
      <c r="U620">
        <f>O620+Q620+S620</f>
        <v>768.14303209866898</v>
      </c>
      <c r="V620">
        <f>P620+R620+T620</f>
        <v>-646.6927029646522</v>
      </c>
      <c r="W620">
        <f>W619+(U619*Graph!$D$5)</f>
        <v>8317.0645436108607</v>
      </c>
      <c r="X620">
        <f>X619+(V619*Graph!$D$5)</f>
        <v>2179.5538005721492</v>
      </c>
      <c r="Y620">
        <f>Y619+(W619*Graph!$D$5)+(U619*Graph!$D$5^2)</f>
        <v>-5983.3788605208592</v>
      </c>
      <c r="Z620">
        <f>Z619+(X619*Graph!$D$5)+(V619*Graph!$D$5^2)</f>
        <v>2722.4158886318592</v>
      </c>
    </row>
    <row r="621" spans="14:26" x14ac:dyDescent="0.35">
      <c r="N621">
        <f>N620+1</f>
        <v>618</v>
      </c>
      <c r="O621">
        <f>Graph!$D$22*((Graph!$D$18-Y621)/POWER((((Graph!$D$18-$Y621)^2)+((Graph!$E$18-$Z621)^2))+(Graph!$D$23^2),(3/2)))</f>
        <v>1377.1755745126256</v>
      </c>
      <c r="P621" s="84">
        <f>Graph!$D$22*((Graph!$E$18-Z621)/POWER((((Graph!$D$18-$Y621)^2)+((Graph!$E$18-$Z621)^2))+(Graph!$D$23^2),3/2))</f>
        <v>525.72889745399561</v>
      </c>
      <c r="Q621">
        <f>Graph!$D$31*((Graph!$D$27-Y621)/POWER((((Graph!$D$27-$Y621)^2)+((Graph!$E$27-$Z621)^2))+(Graph!$D$32^2),3/2))</f>
        <v>-428.4231632279209</v>
      </c>
      <c r="R621">
        <f>Graph!$D$31*((Graph!$E$27-Z621)/POWER((((Graph!$D$27-$Y621)^2)+((Graph!$E$27-$Z621)^2))+(Graph!$D$32^2),3/2))</f>
        <v>148.10456009904294</v>
      </c>
      <c r="S621">
        <f>Graph!$D$40*((Graph!$D$36-Y621)/POWER((((Graph!$D$36-$Y621)^2)+((Graph!$E$36-$Z621)^2))+(Graph!$D$41^2),3/2))</f>
        <v>117.49132064054136</v>
      </c>
      <c r="T621">
        <f>Graph!$D$40*((Graph!$E$36-Z621)/POWER((((Graph!$D$36-$Y621)^2)+((Graph!$E$36-$Z621)^2))+(Graph!$D$41^2),3/2))</f>
        <v>-1342.0257501951021</v>
      </c>
      <c r="U621">
        <f>O621+Q621+S621</f>
        <v>1066.243731925246</v>
      </c>
      <c r="V621">
        <f>P621+R621+T621</f>
        <v>-668.19229264206353</v>
      </c>
      <c r="W621">
        <f>W620+(U620*Graph!$D$5)</f>
        <v>8701.1360596601953</v>
      </c>
      <c r="X621">
        <f>X620+(V620*Graph!$D$5)</f>
        <v>1856.2074490898231</v>
      </c>
      <c r="Y621">
        <f>Y620+(W620*Graph!$D$5)+(U620*Graph!$D$5^2)</f>
        <v>-1632.8108306907616</v>
      </c>
      <c r="Z621">
        <f>Z620+(X620*Graph!$D$5)+(V620*Graph!$D$5^2)</f>
        <v>3650.5196131767707</v>
      </c>
    </row>
    <row r="622" spans="14:26" x14ac:dyDescent="0.35">
      <c r="N622">
        <f>N621+1</f>
        <v>619</v>
      </c>
      <c r="O622">
        <f>Graph!$D$22*((Graph!$D$18-Y622)/POWER((((Graph!$D$18-$Y622)^2)+((Graph!$E$18-$Z622)^2))+(Graph!$D$23^2),(3/2)))</f>
        <v>2214.2547662119205</v>
      </c>
      <c r="P622" s="84">
        <f>Graph!$D$22*((Graph!$E$18-Z622)/POWER((((Graph!$D$18-$Y622)^2)+((Graph!$E$18-$Z622)^2))+(Graph!$D$23^2),3/2))</f>
        <v>1029.8371946032512</v>
      </c>
      <c r="Q622">
        <f>Graph!$D$31*((Graph!$D$27-Y622)/POWER((((Graph!$D$27-$Y622)^2)+((Graph!$E$27-$Z622)^2))+(Graph!$D$32^2),3/2))</f>
        <v>-301.92872257473419</v>
      </c>
      <c r="R622">
        <f>Graph!$D$31*((Graph!$E$27-Z622)/POWER((((Graph!$D$27-$Y622)^2)+((Graph!$E$27-$Z622)^2))+(Graph!$D$32^2),3/2))</f>
        <v>73.411181131280955</v>
      </c>
      <c r="S622">
        <f>Graph!$D$40*((Graph!$D$36-Y622)/POWER((((Graph!$D$36-$Y622)^2)+((Graph!$E$36-$Z622)^2))+(Graph!$D$41^2),3/2))</f>
        <v>-187.7293795499954</v>
      </c>
      <c r="T622">
        <f>Graph!$D$40*((Graph!$E$36-Z622)/POWER((((Graph!$D$36-$Y622)^2)+((Graph!$E$36-$Z622)^2))+(Graph!$D$41^2),3/2))</f>
        <v>-1221.090654271032</v>
      </c>
      <c r="U622">
        <f>O622+Q622+S622</f>
        <v>1724.5966640871909</v>
      </c>
      <c r="V622">
        <f>P622+R622+T622</f>
        <v>-117.84227853649986</v>
      </c>
      <c r="W622">
        <f>W621+(U621*Graph!$D$5)</f>
        <v>9234.2579256228182</v>
      </c>
      <c r="X622">
        <f>X621+(V621*Graph!$D$5)</f>
        <v>1522.1113027687913</v>
      </c>
      <c r="Y622">
        <f>Y621+(W621*Graph!$D$5)+(U621*Graph!$D$5^2)</f>
        <v>2984.3181321206475</v>
      </c>
      <c r="Z622">
        <f>Z621+(X621*Graph!$D$5)+(V621*Graph!$D$5^2)</f>
        <v>4411.5752645611665</v>
      </c>
    </row>
    <row r="623" spans="14:26" x14ac:dyDescent="0.35">
      <c r="N623">
        <f>N622+1</f>
        <v>620</v>
      </c>
      <c r="O623">
        <f>Graph!$D$22*((Graph!$D$18-Y623)/POWER((((Graph!$D$18-$Y623)^2)+((Graph!$E$18-$Z623)^2))+(Graph!$D$23^2),(3/2)))</f>
        <v>3810.7984628628751</v>
      </c>
      <c r="P623" s="84">
        <f>Graph!$D$22*((Graph!$E$18-Z623)/POWER((((Graph!$D$18-$Y623)^2)+((Graph!$E$18-$Z623)^2))+(Graph!$D$23^2),3/2))</f>
        <v>2656.4269377616188</v>
      </c>
      <c r="Q623">
        <f>Graph!$D$31*((Graph!$D$27-Y623)/POWER((((Graph!$D$27-$Y623)^2)+((Graph!$E$27-$Z623)^2))+(Graph!$D$32^2),3/2))</f>
        <v>-213.75372236487999</v>
      </c>
      <c r="R623">
        <f>Graph!$D$31*((Graph!$E$27-Z623)/POWER((((Graph!$D$27-$Y623)^2)+((Graph!$E$27-$Z623)^2))+(Graph!$D$32^2),3/2))</f>
        <v>37.034222863406512</v>
      </c>
      <c r="S623">
        <f>Graph!$D$40*((Graph!$D$36-Y623)/POWER((((Graph!$D$36-$Y623)^2)+((Graph!$E$36-$Z623)^2))+(Graph!$D$41^2),3/2))</f>
        <v>-381.5853040464861</v>
      </c>
      <c r="T623">
        <f>Graph!$D$40*((Graph!$E$36-Z623)/POWER((((Graph!$D$36-$Y623)^2)+((Graph!$E$36-$Z623)^2))+(Graph!$D$41^2),3/2))</f>
        <v>-956.89332954780878</v>
      </c>
      <c r="U623">
        <f>O623+Q623+S623</f>
        <v>3215.4594364515087</v>
      </c>
      <c r="V623">
        <f>P623+R623+T623</f>
        <v>1736.5678310772169</v>
      </c>
      <c r="W623">
        <f>W622+(U622*Graph!$D$5)</f>
        <v>10096.556257666414</v>
      </c>
      <c r="X623">
        <f>X622+(V622*Graph!$D$5)</f>
        <v>1463.1901635005415</v>
      </c>
      <c r="Y623">
        <f>Y622+(W622*Graph!$D$5)+(U622*Graph!$D$5^2)</f>
        <v>8032.5962609538547</v>
      </c>
      <c r="Z623">
        <f>Z622+(X622*Graph!$D$5)+(V622*Graph!$D$5^2)</f>
        <v>5143.1703463114372</v>
      </c>
    </row>
    <row r="624" spans="14:26" x14ac:dyDescent="0.35">
      <c r="N624">
        <f>N623+1</f>
        <v>621</v>
      </c>
      <c r="O624">
        <f>Graph!$D$22*((Graph!$D$18-Y624)/POWER((((Graph!$D$18-$Y624)^2)+((Graph!$E$18-$Z624)^2))+(Graph!$D$23^2),(3/2)))</f>
        <v>2319.7374646342319</v>
      </c>
      <c r="P624" s="84">
        <f>Graph!$D$22*((Graph!$E$18-Z624)/POWER((((Graph!$D$18-$Y624)^2)+((Graph!$E$18-$Z624)^2))+(Graph!$D$23^2),3/2))</f>
        <v>7677.456428083603</v>
      </c>
      <c r="Q624">
        <f>Graph!$D$31*((Graph!$D$27-Y624)/POWER((((Graph!$D$27-$Y624)^2)+((Graph!$E$27-$Z624)^2))+(Graph!$D$32^2),3/2))</f>
        <v>-151.27499844507278</v>
      </c>
      <c r="R624">
        <f>Graph!$D$31*((Graph!$E$27-Z624)/POWER((((Graph!$D$27-$Y624)^2)+((Graph!$E$27-$Z624)^2))+(Graph!$D$32^2),3/2))</f>
        <v>16.478510439981047</v>
      </c>
      <c r="S624">
        <f>Graph!$D$40*((Graph!$D$36-Y624)/POWER((((Graph!$D$36-$Y624)^2)+((Graph!$E$36-$Z624)^2))+(Graph!$D$41^2),3/2))</f>
        <v>-417.46735274356371</v>
      </c>
      <c r="T624">
        <f>Graph!$D$40*((Graph!$E$36-Z624)/POWER((((Graph!$D$36-$Y624)^2)+((Graph!$E$36-$Z624)^2))+(Graph!$D$41^2),3/2))</f>
        <v>-640.68708794264455</v>
      </c>
      <c r="U624">
        <f>O624+Q624+S624</f>
        <v>1750.9951134455953</v>
      </c>
      <c r="V624">
        <f>P624+R624+T624</f>
        <v>7053.2478505809395</v>
      </c>
      <c r="W624">
        <f>W623+(U623*Graph!$D$5)</f>
        <v>11704.28597589217</v>
      </c>
      <c r="X624">
        <f>X623+(V623*Graph!$D$5)</f>
        <v>2331.4740790391497</v>
      </c>
      <c r="Y624">
        <f>Y623+(W623*Graph!$D$5)+(U623*Graph!$D$5^2)</f>
        <v>13884.739248899939</v>
      </c>
      <c r="Z624">
        <f>Z623+(X623*Graph!$D$5)+(V623*Graph!$D$5^2)</f>
        <v>6308.9073858310121</v>
      </c>
    </row>
    <row r="625" spans="14:26" x14ac:dyDescent="0.35">
      <c r="N625">
        <f>N624+1</f>
        <v>622</v>
      </c>
      <c r="O625">
        <f>Graph!$D$22*((Graph!$D$18-Y625)/POWER((((Graph!$D$18-$Y625)^2)+((Graph!$E$18-$Z625)^2))+(Graph!$D$23^2),(3/2)))</f>
        <v>-7151.7026744364157</v>
      </c>
      <c r="P625" s="84">
        <f>Graph!$D$22*((Graph!$E$18-Z625)/POWER((((Graph!$D$18-$Y625)^2)+((Graph!$E$18-$Z625)^2))+(Graph!$D$23^2),3/2))</f>
        <v>1053.1976718709109</v>
      </c>
      <c r="Q625">
        <f>Graph!$D$31*((Graph!$D$27-Y625)/POWER((((Graph!$D$27-$Y625)^2)+((Graph!$E$27-$Z625)^2))+(Graph!$D$32^2),3/2))</f>
        <v>-109.9589804615367</v>
      </c>
      <c r="R625">
        <f>Graph!$D$31*((Graph!$E$27-Z625)/POWER((((Graph!$D$27-$Y625)^2)+((Graph!$E$27-$Z625)^2))+(Graph!$D$32^2),3/2))</f>
        <v>2.0857326259322111</v>
      </c>
      <c r="S625">
        <f>Graph!$D$40*((Graph!$D$36-Y625)/POWER((((Graph!$D$36-$Y625)^2)+((Graph!$E$36-$Z625)^2))+(Graph!$D$41^2),3/2))</f>
        <v>-324.50922048235242</v>
      </c>
      <c r="T625">
        <f>Graph!$D$40*((Graph!$E$36-Z625)/POWER((((Graph!$D$36-$Y625)^2)+((Graph!$E$36-$Z625)^2))+(Graph!$D$41^2),3/2))</f>
        <v>-389.86786561919735</v>
      </c>
      <c r="U625">
        <f>O625+Q625+S625</f>
        <v>-7586.170875380305</v>
      </c>
      <c r="V625">
        <f>P625+R625+T625</f>
        <v>665.41553887764576</v>
      </c>
      <c r="W625">
        <f>W624+(U624*Graph!$D$5)</f>
        <v>12579.783532614967</v>
      </c>
      <c r="X625">
        <f>X624+(V624*Graph!$D$5)</f>
        <v>5858.0980043296195</v>
      </c>
      <c r="Y625">
        <f>Y624+(W624*Graph!$D$5)+(U624*Graph!$D$5^2)</f>
        <v>20174.631015207422</v>
      </c>
      <c r="Z625">
        <f>Z624+(X624*Graph!$D$5)+(V624*Graph!$D$5^2)</f>
        <v>9237.9563879958223</v>
      </c>
    </row>
    <row r="626" spans="14:26" x14ac:dyDescent="0.35">
      <c r="N626">
        <f>N625+1</f>
        <v>623</v>
      </c>
      <c r="O626">
        <f>Graph!$D$22*((Graph!$D$18-Y626)/POWER((((Graph!$D$18-$Y626)^2)+((Graph!$E$18-$Z626)^2))+(Graph!$D$23^2),(3/2)))</f>
        <v>-3718.1612661374725</v>
      </c>
      <c r="P626" s="84">
        <f>Graph!$D$22*((Graph!$E$18-Z626)/POWER((((Graph!$D$18-$Y626)^2)+((Graph!$E$18-$Z626)^2))+(Graph!$D$23^2),3/2))</f>
        <v>-906.75419670771362</v>
      </c>
      <c r="Q626">
        <f>Graph!$D$31*((Graph!$D$27-Y626)/POWER((((Graph!$D$27-$Y626)^2)+((Graph!$E$27-$Z626)^2))+(Graph!$D$32^2),3/2))</f>
        <v>-89.22145652620344</v>
      </c>
      <c r="R626">
        <f>Graph!$D$31*((Graph!$E$27-Z626)/POWER((((Graph!$D$27-$Y626)^2)+((Graph!$E$27-$Z626)^2))+(Graph!$D$32^2),3/2))</f>
        <v>-4.6711947189659577</v>
      </c>
      <c r="S626">
        <f>Graph!$D$40*((Graph!$D$36-Y626)/POWER((((Graph!$D$36-$Y626)^2)+((Graph!$E$36-$Z626)^2))+(Graph!$D$41^2),3/2))</f>
        <v>-252.10608733729728</v>
      </c>
      <c r="T626">
        <f>Graph!$D$40*((Graph!$E$36-Z626)/POWER((((Graph!$D$36-$Y626)^2)+((Graph!$E$36-$Z626)^2))+(Graph!$D$41^2),3/2))</f>
        <v>-280.48322422099</v>
      </c>
      <c r="U626">
        <f>O626+Q626+S626</f>
        <v>-4059.488810000973</v>
      </c>
      <c r="V626">
        <f>P626+R626+T626</f>
        <v>-1191.9086156476696</v>
      </c>
      <c r="W626">
        <f>W625+(U625*Graph!$D$5)</f>
        <v>8786.6980949248136</v>
      </c>
      <c r="X626">
        <f>X625+(V625*Graph!$D$5)</f>
        <v>6190.8057737684421</v>
      </c>
      <c r="Y626">
        <f>Y625+(W625*Graph!$D$5)+(U625*Graph!$D$5^2)</f>
        <v>24567.980062669827</v>
      </c>
      <c r="Z626">
        <f>Z625+(X625*Graph!$D$5)+(V625*Graph!$D$5^2)</f>
        <v>12333.359274880044</v>
      </c>
    </row>
    <row r="627" spans="14:26" x14ac:dyDescent="0.35">
      <c r="N627">
        <f>N626+1</f>
        <v>624</v>
      </c>
      <c r="O627">
        <f>Graph!$D$22*((Graph!$D$18-Y627)/POWER((((Graph!$D$18-$Y627)^2)+((Graph!$E$18-$Z627)^2))+(Graph!$D$23^2),(3/2)))</f>
        <v>-2092.5443559218634</v>
      </c>
      <c r="P627" s="84">
        <f>Graph!$D$22*((Graph!$E$18-Z627)/POWER((((Graph!$D$18-$Y627)^2)+((Graph!$E$18-$Z627)^2))+(Graph!$D$23^2),3/2))</f>
        <v>-829.29215971829296</v>
      </c>
      <c r="Q627">
        <f>Graph!$D$31*((Graph!$D$27-Y627)/POWER((((Graph!$D$27-$Y627)^2)+((Graph!$E$27-$Z627)^2))+(Graph!$D$32^2),3/2))</f>
        <v>-76.197232804500814</v>
      </c>
      <c r="R627">
        <f>Graph!$D$31*((Graph!$E$27-Z627)/POWER((((Graph!$D$27-$Y627)^2)+((Graph!$E$27-$Z627)^2))+(Graph!$D$32^2),3/2))</f>
        <v>-8.1539209553341845</v>
      </c>
      <c r="S627">
        <f>Graph!$D$40*((Graph!$D$36-Y627)/POWER((((Graph!$D$36-$Y627)^2)+((Graph!$E$36-$Z627)^2))+(Graph!$D$41^2),3/2))</f>
        <v>-206.23343339935138</v>
      </c>
      <c r="T627">
        <f>Graph!$D$40*((Graph!$E$36-Z627)/POWER((((Graph!$D$36-$Y627)^2)+((Graph!$E$36-$Z627)^2))+(Graph!$D$41^2),3/2))</f>
        <v>-222.35288228935016</v>
      </c>
      <c r="U627">
        <f>O627+Q627+S627</f>
        <v>-2374.9750221257154</v>
      </c>
      <c r="V627">
        <f>P627+R627+T627</f>
        <v>-1059.7989629629774</v>
      </c>
      <c r="W627">
        <f>W626+(U626*Graph!$D$5)</f>
        <v>6756.9536899243267</v>
      </c>
      <c r="X627">
        <f>X626+(V626*Graph!$D$5)</f>
        <v>5594.8514659446073</v>
      </c>
      <c r="Y627">
        <f>Y626+(W626*Graph!$D$5)+(U626*Graph!$D$5^2)</f>
        <v>27946.456907631989</v>
      </c>
      <c r="Z627">
        <f>Z626+(X626*Graph!$D$5)+(V626*Graph!$D$5^2)</f>
        <v>15130.785007852348</v>
      </c>
    </row>
    <row r="628" spans="14:26" x14ac:dyDescent="0.35">
      <c r="N628">
        <f>N627+1</f>
        <v>625</v>
      </c>
      <c r="O628">
        <f>Graph!$D$22*((Graph!$D$18-Y628)/POWER((((Graph!$D$18-$Y628)^2)+((Graph!$E$18-$Z628)^2))+(Graph!$D$23^2),(3/2)))</f>
        <v>-1366.5727466957233</v>
      </c>
      <c r="P628" s="84">
        <f>Graph!$D$22*((Graph!$E$18-Z628)/POWER((((Graph!$D$18-$Y628)^2)+((Graph!$E$18-$Z628)^2))+(Graph!$D$23^2),3/2))</f>
        <v>-665.70956396091174</v>
      </c>
      <c r="Q628">
        <f>Graph!$D$31*((Graph!$D$27-Y628)/POWER((((Graph!$D$27-$Y628)^2)+((Graph!$E$27-$Z628)^2))+(Graph!$D$32^2),3/2))</f>
        <v>-66.991639568098009</v>
      </c>
      <c r="R628">
        <f>Graph!$D$31*((Graph!$E$27-Z628)/POWER((((Graph!$D$27-$Y628)^2)+((Graph!$E$27-$Z628)^2))+(Graph!$D$32^2),3/2))</f>
        <v>-10.119502792337558</v>
      </c>
      <c r="S628">
        <f>Graph!$D$40*((Graph!$D$36-Y628)/POWER((((Graph!$D$36-$Y628)^2)+((Graph!$E$36-$Z628)^2))+(Graph!$D$41^2),3/2))</f>
        <v>-175.1124672773733</v>
      </c>
      <c r="T628">
        <f>Graph!$D$40*((Graph!$E$36-Z628)/POWER((((Graph!$D$36-$Y628)^2)+((Graph!$E$36-$Z628)^2))+(Graph!$D$41^2),3/2))</f>
        <v>-186.12179429420689</v>
      </c>
      <c r="U628">
        <f>O628+Q628+S628</f>
        <v>-1608.6768535411945</v>
      </c>
      <c r="V628">
        <f>P628+R628+T628</f>
        <v>-861.95086104745621</v>
      </c>
      <c r="W628">
        <f>W627+(U627*Graph!$D$5)</f>
        <v>5569.4661788614685</v>
      </c>
      <c r="X628">
        <f>X627+(V627*Graph!$D$5)</f>
        <v>5064.9519844631186</v>
      </c>
      <c r="Y628">
        <f>Y627+(W627*Graph!$D$5)+(U627*Graph!$D$5^2)</f>
        <v>30731.189997062724</v>
      </c>
      <c r="Z628">
        <f>Z627+(X627*Graph!$D$5)+(V627*Graph!$D$5^2)</f>
        <v>17663.261000083909</v>
      </c>
    </row>
    <row r="629" spans="14:26" x14ac:dyDescent="0.35">
      <c r="N629">
        <f>N628+1</f>
        <v>626</v>
      </c>
      <c r="O629">
        <f>Graph!$D$22*((Graph!$D$18-Y629)/POWER((((Graph!$D$18-$Y629)^2)+((Graph!$E$18-$Z629)^2))+(Graph!$D$23^2),(3/2)))</f>
        <v>-984.62754548618261</v>
      </c>
      <c r="P629" s="84">
        <f>Graph!$D$22*((Graph!$E$18-Z629)/POWER((((Graph!$D$18-$Y629)^2)+((Graph!$E$18-$Z629)^2))+(Graph!$D$23^2),3/2))</f>
        <v>-542.5064521603407</v>
      </c>
      <c r="Q629">
        <f>Graph!$D$31*((Graph!$D$27-Y629)/POWER((((Graph!$D$27-$Y629)^2)+((Graph!$E$27-$Z629)^2))+(Graph!$D$32^2),3/2))</f>
        <v>-60.054842257943285</v>
      </c>
      <c r="R629">
        <f>Graph!$D$31*((Graph!$E$27-Z629)/POWER((((Graph!$D$27-$Y629)^2)+((Graph!$E$27-$Z629)^2))+(Graph!$D$32^2),3/2))</f>
        <v>-11.284502644273987</v>
      </c>
      <c r="S629">
        <f>Graph!$D$40*((Graph!$D$36-Y629)/POWER((((Graph!$D$36-$Y629)^2)+((Graph!$E$36-$Z629)^2))+(Graph!$D$41^2),3/2))</f>
        <v>-152.67020341528618</v>
      </c>
      <c r="T629">
        <f>Graph!$D$40*((Graph!$E$36-Z629)/POWER((((Graph!$D$36-$Y629)^2)+((Graph!$E$36-$Z629)^2))+(Graph!$D$41^2),3/2))</f>
        <v>-161.27563770358847</v>
      </c>
      <c r="U629">
        <f>O629+Q629+S629</f>
        <v>-1197.352591159412</v>
      </c>
      <c r="V629">
        <f>P629+R629+T629</f>
        <v>-715.06659250820314</v>
      </c>
      <c r="W629">
        <f>W628+(U628*Graph!$D$5)</f>
        <v>4765.1277520908716</v>
      </c>
      <c r="X629">
        <f>X628+(V628*Graph!$D$5)</f>
        <v>4633.9765539393902</v>
      </c>
      <c r="Y629">
        <f>Y628+(W628*Graph!$D$5)+(U628*Graph!$D$5^2)</f>
        <v>33113.753873108159</v>
      </c>
      <c r="Z629">
        <f>Z628+(X628*Graph!$D$5)+(V628*Graph!$D$5^2)</f>
        <v>19980.249277053605</v>
      </c>
    </row>
    <row r="630" spans="14:26" x14ac:dyDescent="0.35">
      <c r="N630">
        <f>N629+1</f>
        <v>627</v>
      </c>
      <c r="O630">
        <f>Graph!$D$22*((Graph!$D$18-Y630)/POWER((((Graph!$D$18-$Y630)^2)+((Graph!$E$18-$Z630)^2))+(Graph!$D$23^2),(3/2)))</f>
        <v>-757.52236665658029</v>
      </c>
      <c r="P630" s="84">
        <f>Graph!$D$22*((Graph!$E$18-Z630)/POWER((((Graph!$D$18-$Y630)^2)+((Graph!$E$18-$Z630)^2))+(Graph!$D$23^2),3/2))</f>
        <v>-454.52403983581712</v>
      </c>
      <c r="Q630">
        <f>Graph!$D$31*((Graph!$D$27-Y630)/POWER((((Graph!$D$27-$Y630)^2)+((Graph!$E$27-$Z630)^2))+(Graph!$D$32^2),3/2))</f>
        <v>-54.613573665535561</v>
      </c>
      <c r="R630">
        <f>Graph!$D$31*((Graph!$E$27-Z630)/POWER((((Graph!$D$27-$Y630)^2)+((Graph!$E$27-$Z630)^2))+(Graph!$D$32^2),3/2))</f>
        <v>-11.99038440712909</v>
      </c>
      <c r="S630">
        <f>Graph!$D$40*((Graph!$D$36-Y630)/POWER((((Graph!$D$36-$Y630)^2)+((Graph!$E$36-$Z630)^2))+(Graph!$D$41^2),3/2))</f>
        <v>-135.73798535584692</v>
      </c>
      <c r="T630">
        <f>Graph!$D$40*((Graph!$E$36-Z630)/POWER((((Graph!$D$36-$Y630)^2)+((Graph!$E$36-$Z630)^2))+(Graph!$D$41^2),3/2))</f>
        <v>-143.14826207589576</v>
      </c>
      <c r="U630">
        <f>O630+Q630+S630</f>
        <v>-947.8739256779628</v>
      </c>
      <c r="V630">
        <f>P630+R630+T630</f>
        <v>-609.66268631884202</v>
      </c>
      <c r="W630">
        <f>W629+(U629*Graph!$D$5)</f>
        <v>4166.4514565111658</v>
      </c>
      <c r="X630">
        <f>X629+(V629*Graph!$D$5)</f>
        <v>4276.4432576852887</v>
      </c>
      <c r="Y630">
        <f>Y629+(W629*Graph!$D$5)+(U629*Graph!$D$5^2)</f>
        <v>35196.979601363746</v>
      </c>
      <c r="Z630">
        <f>Z629+(X629*Graph!$D$5)+(V629*Graph!$D$5^2)</f>
        <v>22118.470905896251</v>
      </c>
    </row>
    <row r="631" spans="14:26" x14ac:dyDescent="0.35">
      <c r="N631">
        <f>N630+1</f>
        <v>628</v>
      </c>
      <c r="O631">
        <f>Graph!$D$22*((Graph!$D$18-Y631)/POWER((((Graph!$D$18-$Y631)^2)+((Graph!$E$18-$Z631)^2))+(Graph!$D$23^2),(3/2)))</f>
        <v>-610.29238610896766</v>
      </c>
      <c r="P631" s="84">
        <f>Graph!$D$22*((Graph!$E$18-Z631)/POWER((((Graph!$D$18-$Y631)^2)+((Graph!$E$18-$Z631)^2))+(Graph!$D$23^2),3/2))</f>
        <v>-390.49314038749611</v>
      </c>
      <c r="Q631">
        <f>Graph!$D$31*((Graph!$D$27-Y631)/POWER((((Graph!$D$27-$Y631)^2)+((Graph!$E$27-$Z631)^2))+(Graph!$D$32^2),3/2))</f>
        <v>-50.225131602074555</v>
      </c>
      <c r="R631">
        <f>Graph!$D$31*((Graph!$E$27-Z631)/POWER((((Graph!$D$27-$Y631)^2)+((Graph!$E$27-$Z631)^2))+(Graph!$D$32^2),3/2))</f>
        <v>-12.418460114551172</v>
      </c>
      <c r="S631">
        <f>Graph!$D$40*((Graph!$D$36-Y631)/POWER((((Graph!$D$36-$Y631)^2)+((Graph!$E$36-$Z631)^2))+(Graph!$D$41^2),3/2))</f>
        <v>-122.52340836473141</v>
      </c>
      <c r="T631">
        <f>Graph!$D$40*((Graph!$E$36-Z631)/POWER((((Graph!$D$36-$Y631)^2)+((Graph!$E$36-$Z631)^2))+(Graph!$D$41^2),3/2))</f>
        <v>-129.34045970513523</v>
      </c>
      <c r="U631">
        <f>O631+Q631+S631</f>
        <v>-783.04092607577365</v>
      </c>
      <c r="V631">
        <f>P631+R631+T631</f>
        <v>-532.25206020718247</v>
      </c>
      <c r="W631">
        <f>W630+(U630*Graph!$D$5)</f>
        <v>3692.5144936721845</v>
      </c>
      <c r="X631">
        <f>X630+(V630*Graph!$D$5)</f>
        <v>3971.6119145258676</v>
      </c>
      <c r="Y631">
        <f>Y630+(W630*Graph!$D$5)+(U630*Graph!$D$5^2)</f>
        <v>37043.236848199835</v>
      </c>
      <c r="Z631">
        <f>Z630+(X630*Graph!$D$5)+(V630*Graph!$D$5^2)</f>
        <v>24104.276863159186</v>
      </c>
    </row>
    <row r="632" spans="14:26" x14ac:dyDescent="0.35">
      <c r="N632">
        <f>N631+1</f>
        <v>629</v>
      </c>
      <c r="O632">
        <f>Graph!$D$22*((Graph!$D$18-Y632)/POWER((((Graph!$D$18-$Y632)^2)+((Graph!$E$18-$Z632)^2))+(Graph!$D$23^2),(3/2)))</f>
        <v>-508.65465786096348</v>
      </c>
      <c r="P632" s="84">
        <f>Graph!$D$22*((Graph!$E$18-Z632)/POWER((((Graph!$D$18-$Y632)^2)+((Graph!$E$18-$Z632)^2))+(Graph!$D$23^2),3/2))</f>
        <v>-342.56367089861743</v>
      </c>
      <c r="Q632">
        <f>Graph!$D$31*((Graph!$D$27-Y632)/POWER((((Graph!$D$27-$Y632)^2)+((Graph!$E$27-$Z632)^2))+(Graph!$D$32^2),3/2))</f>
        <v>-46.612480086030651</v>
      </c>
      <c r="R632">
        <f>Graph!$D$31*((Graph!$E$27-Z632)/POWER((((Graph!$D$27-$Y632)^2)+((Graph!$E$27-$Z632)^2))+(Graph!$D$32^2),3/2))</f>
        <v>-12.672498731121822</v>
      </c>
      <c r="S632">
        <f>Graph!$D$40*((Graph!$D$36-Y632)/POWER((((Graph!$D$36-$Y632)^2)+((Graph!$E$36-$Z632)^2))+(Graph!$D$41^2),3/2))</f>
        <v>-111.9383577680771</v>
      </c>
      <c r="T632">
        <f>Graph!$D$40*((Graph!$E$36-Z632)/POWER((((Graph!$D$36-$Y632)^2)+((Graph!$E$36-$Z632)^2))+(Graph!$D$41^2),3/2))</f>
        <v>-118.48589108146227</v>
      </c>
      <c r="U632">
        <f>O632+Q632+S632</f>
        <v>-667.20549571507127</v>
      </c>
      <c r="V632">
        <f>P632+R632+T632</f>
        <v>-473.72206071120155</v>
      </c>
      <c r="W632">
        <f>W631+(U631*Graph!$D$5)</f>
        <v>3300.9940306342978</v>
      </c>
      <c r="X632">
        <f>X631+(V631*Graph!$D$5)</f>
        <v>3705.4858844222763</v>
      </c>
      <c r="Y632">
        <f>Y631+(W631*Graph!$D$5)+(U631*Graph!$D$5^2)</f>
        <v>38693.733863516987</v>
      </c>
      <c r="Z632">
        <f>Z631+(X631*Graph!$D$5)+(V631*Graph!$D$5^2)</f>
        <v>25957.019805370324</v>
      </c>
    </row>
    <row r="633" spans="14:26" x14ac:dyDescent="0.35">
      <c r="N633">
        <f>N632+1</f>
        <v>630</v>
      </c>
      <c r="O633">
        <f>Graph!$D$22*((Graph!$D$18-Y633)/POWER((((Graph!$D$18-$Y633)^2)+((Graph!$E$18-$Z633)^2))+(Graph!$D$23^2),(3/2)))</f>
        <v>-435.09780523823764</v>
      </c>
      <c r="P633" s="84">
        <f>Graph!$D$22*((Graph!$E$18-Z633)/POWER((((Graph!$D$18-$Y633)^2)+((Graph!$E$18-$Z633)^2))+(Graph!$D$23^2),3/2))</f>
        <v>-305.72858220334268</v>
      </c>
      <c r="Q633">
        <f>Graph!$D$31*((Graph!$D$27-Y633)/POWER((((Graph!$D$27-$Y633)^2)+((Graph!$E$27-$Z633)^2))+(Graph!$D$32^2),3/2))</f>
        <v>-43.591210382913289</v>
      </c>
      <c r="R633">
        <f>Graph!$D$31*((Graph!$E$27-Z633)/POWER((((Graph!$D$27-$Y633)^2)+((Graph!$E$27-$Z633)^2))+(Graph!$D$32^2),3/2))</f>
        <v>-12.815213139568545</v>
      </c>
      <c r="S633">
        <f>Graph!$D$40*((Graph!$D$36-Y633)/POWER((((Graph!$D$36-$Y633)^2)+((Graph!$E$36-$Z633)^2))+(Graph!$D$41^2),3/2))</f>
        <v>-103.28384195750948</v>
      </c>
      <c r="T633">
        <f>Graph!$D$40*((Graph!$E$36-Z633)/POWER((((Graph!$D$36-$Y633)^2)+((Graph!$E$36-$Z633)^2))+(Graph!$D$41^2),3/2))</f>
        <v>-109.74631442533587</v>
      </c>
      <c r="U633">
        <f>O633+Q633+S633</f>
        <v>-581.97285757866041</v>
      </c>
      <c r="V633">
        <f>P633+R633+T633</f>
        <v>-428.29010976824708</v>
      </c>
      <c r="W633">
        <f>W632+(U632*Graph!$D$5)</f>
        <v>2967.3912827767622</v>
      </c>
      <c r="X633">
        <f>X632+(V632*Graph!$D$5)</f>
        <v>3468.6248540666757</v>
      </c>
      <c r="Y633">
        <f>Y632+(W632*Graph!$D$5)+(U632*Graph!$D$5^2)</f>
        <v>40177.429504905362</v>
      </c>
      <c r="Z633">
        <f>Z632+(X632*Graph!$D$5)+(V632*Graph!$D$5^2)</f>
        <v>27691.332232403664</v>
      </c>
    </row>
    <row r="634" spans="14:26" x14ac:dyDescent="0.35">
      <c r="N634">
        <f>N633+1</f>
        <v>631</v>
      </c>
      <c r="O634">
        <f>Graph!$D$22*((Graph!$D$18-Y634)/POWER((((Graph!$D$18-$Y634)^2)+((Graph!$E$18-$Z634)^2))+(Graph!$D$23^2),(3/2)))</f>
        <v>-379.88351413620592</v>
      </c>
      <c r="P634" s="84">
        <f>Graph!$D$22*((Graph!$E$18-Z634)/POWER((((Graph!$D$18-$Y634)^2)+((Graph!$E$18-$Z634)^2))+(Graph!$D$23^2),3/2))</f>
        <v>-276.77285189523298</v>
      </c>
      <c r="Q634">
        <f>Graph!$D$31*((Graph!$D$27-Y634)/POWER((((Graph!$D$27-$Y634)^2)+((Graph!$E$27-$Z634)^2))+(Graph!$D$32^2),3/2))</f>
        <v>-41.032872670144727</v>
      </c>
      <c r="R634">
        <f>Graph!$D$31*((Graph!$E$27-Z634)/POWER((((Graph!$D$27-$Y634)^2)+((Graph!$E$27-$Z634)^2))+(Graph!$D$32^2),3/2))</f>
        <v>-12.886098794184702</v>
      </c>
      <c r="S634">
        <f>Graph!$D$40*((Graph!$D$36-Y634)/POWER((((Graph!$D$36-$Y634)^2)+((Graph!$E$36-$Z634)^2))+(Graph!$D$41^2),3/2))</f>
        <v>-96.09004084660684</v>
      </c>
      <c r="T634">
        <f>Graph!$D$40*((Graph!$E$36-Z634)/POWER((((Graph!$D$36-$Y634)^2)+((Graph!$E$36-$Z634)^2))+(Graph!$D$41^2),3/2))</f>
        <v>-102.57758844698097</v>
      </c>
      <c r="U634">
        <f>O634+Q634+S634</f>
        <v>-517.00642765295754</v>
      </c>
      <c r="V634">
        <f>P634+R634+T634</f>
        <v>-392.23653913639862</v>
      </c>
      <c r="W634">
        <f>W633+(U633*Graph!$D$5)</f>
        <v>2676.404853987432</v>
      </c>
      <c r="X634">
        <f>X633+(V633*Graph!$D$5)</f>
        <v>3254.4797991825521</v>
      </c>
      <c r="Y634">
        <f>Y633+(W633*Graph!$D$5)+(U633*Graph!$D$5^2)</f>
        <v>41515.631931899079</v>
      </c>
      <c r="Z634">
        <f>Z633+(X633*Graph!$D$5)+(V633*Graph!$D$5^2)</f>
        <v>29318.572131994941</v>
      </c>
    </row>
    <row r="635" spans="14:26" x14ac:dyDescent="0.35">
      <c r="N635">
        <f>N634+1</f>
        <v>632</v>
      </c>
      <c r="O635">
        <f>Graph!$D$22*((Graph!$D$18-Y635)/POWER((((Graph!$D$18-$Y635)^2)+((Graph!$E$18-$Z635)^2))+(Graph!$D$23^2),(3/2)))</f>
        <v>-337.22276633233099</v>
      </c>
      <c r="P635" s="84">
        <f>Graph!$D$22*((Graph!$E$18-Z635)/POWER((((Graph!$D$18-$Y635)^2)+((Graph!$E$18-$Z635)^2))+(Graph!$D$23^2),3/2))</f>
        <v>-253.57773520218285</v>
      </c>
      <c r="Q635">
        <f>Graph!$D$31*((Graph!$D$27-Y635)/POWER((((Graph!$D$27-$Y635)^2)+((Graph!$E$27-$Z635)^2))+(Graph!$D$32^2),3/2))</f>
        <v>-38.84482424635948</v>
      </c>
      <c r="R635">
        <f>Graph!$D$31*((Graph!$E$27-Z635)/POWER((((Graph!$D$27-$Y635)^2)+((Graph!$E$27-$Z635)^2))+(Graph!$D$32^2),3/2))</f>
        <v>-12.91084390963529</v>
      </c>
      <c r="S635">
        <f>Graph!$D$40*((Graph!$D$36-Y635)/POWER((((Graph!$D$36-$Y635)^2)+((Graph!$E$36-$Z635)^2))+(Graph!$D$41^2),3/2))</f>
        <v>-90.029338433102396</v>
      </c>
      <c r="T635">
        <f>Graph!$D$40*((Graph!$E$36-Z635)/POWER((((Graph!$D$36-$Y635)^2)+((Graph!$E$36-$Z635)^2))+(Graph!$D$41^2),3/2))</f>
        <v>-96.610489701089065</v>
      </c>
      <c r="U635">
        <f>O635+Q635+S635</f>
        <v>-466.09692901179284</v>
      </c>
      <c r="V635">
        <f>P635+R635+T635</f>
        <v>-363.09906881290721</v>
      </c>
      <c r="W635">
        <f>W634+(U634*Graph!$D$5)</f>
        <v>2417.9016401609533</v>
      </c>
      <c r="X635">
        <f>X634+(V634*Graph!$D$5)</f>
        <v>3058.361529614353</v>
      </c>
      <c r="Y635">
        <f>Y634+(W634*Graph!$D$5)+(U634*Graph!$D$5^2)</f>
        <v>42724.582751979557</v>
      </c>
      <c r="Z635">
        <f>Z634+(X634*Graph!$D$5)+(V634*Graph!$D$5^2)</f>
        <v>30847.752896802118</v>
      </c>
    </row>
    <row r="636" spans="14:26" x14ac:dyDescent="0.35">
      <c r="N636">
        <f>N635+1</f>
        <v>633</v>
      </c>
      <c r="O636">
        <f>Graph!$D$22*((Graph!$D$18-Y636)/POWER((((Graph!$D$18-$Y636)^2)+((Graph!$E$18-$Z636)^2))+(Graph!$D$23^2),(3/2)))</f>
        <v>-303.48534795417396</v>
      </c>
      <c r="P636" s="84">
        <f>Graph!$D$22*((Graph!$E$18-Z636)/POWER((((Graph!$D$18-$Y636)^2)+((Graph!$E$18-$Z636)^2))+(Graph!$D$23^2),3/2))</f>
        <v>-234.70591992653016</v>
      </c>
      <c r="Q636">
        <f>Graph!$D$31*((Graph!$D$27-Y636)/POWER((((Graph!$D$27-$Y636)^2)+((Graph!$E$27-$Z636)^2))+(Graph!$D$32^2),3/2))</f>
        <v>-36.958376230067849</v>
      </c>
      <c r="R636">
        <f>Graph!$D$31*((Graph!$E$27-Z636)/POWER((((Graph!$D$27-$Y636)^2)+((Graph!$E$27-$Z636)^2))+(Graph!$D$32^2),3/2))</f>
        <v>-12.906594239739128</v>
      </c>
      <c r="S636">
        <f>Graph!$D$40*((Graph!$D$36-Y636)/POWER((((Graph!$D$36-$Y636)^2)+((Graph!$E$36-$Z636)^2))+(Graph!$D$41^2),3/2))</f>
        <v>-84.866237825863863</v>
      </c>
      <c r="T636">
        <f>Graph!$D$40*((Graph!$E$36-Z636)/POWER((((Graph!$D$36-$Y636)^2)+((Graph!$E$36-$Z636)^2))+(Graph!$D$41^2),3/2))</f>
        <v>-91.585401812407696</v>
      </c>
      <c r="U636">
        <f>O636+Q636+S636</f>
        <v>-425.30996201010566</v>
      </c>
      <c r="V636">
        <f>P636+R636+T636</f>
        <v>-339.19791597867697</v>
      </c>
      <c r="W636">
        <f>W635+(U635*Graph!$D$5)</f>
        <v>2184.8531756550569</v>
      </c>
      <c r="X636">
        <f>X635+(V635*Graph!$D$5)</f>
        <v>2876.8119952078996</v>
      </c>
      <c r="Y636">
        <f>Y635+(W635*Graph!$D$5)+(U635*Graph!$D$5^2)</f>
        <v>43817.009339807089</v>
      </c>
      <c r="Z636">
        <f>Z635+(X635*Graph!$D$5)+(V635*Graph!$D$5^2)</f>
        <v>32286.158894406068</v>
      </c>
    </row>
    <row r="637" spans="14:26" x14ac:dyDescent="0.35">
      <c r="N637">
        <f>N636+1</f>
        <v>634</v>
      </c>
      <c r="O637">
        <f>Graph!$D$22*((Graph!$D$18-Y637)/POWER((((Graph!$D$18-$Y637)^2)+((Graph!$E$18-$Z637)^2))+(Graph!$D$23^2),(3/2)))</f>
        <v>-276.2932303583645</v>
      </c>
      <c r="P637" s="84">
        <f>Graph!$D$22*((Graph!$E$18-Z637)/POWER((((Graph!$D$18-$Y637)^2)+((Graph!$E$18-$Z637)^2))+(Graph!$D$23^2),3/2))</f>
        <v>-219.15523223538173</v>
      </c>
      <c r="Q637">
        <f>Graph!$D$31*((Graph!$D$27-Y637)/POWER((((Graph!$D$27-$Y637)^2)+((Graph!$E$27-$Z637)^2))+(Graph!$D$32^2),3/2))</f>
        <v>-35.321443711630117</v>
      </c>
      <c r="R637">
        <f>Graph!$D$31*((Graph!$E$27-Z637)/POWER((((Graph!$D$27-$Y637)^2)+((Graph!$E$27-$Z637)^2))+(Graph!$D$32^2),3/2))</f>
        <v>-12.885039985420111</v>
      </c>
      <c r="S637">
        <f>Graph!$D$40*((Graph!$D$36-Y637)/POWER((((Graph!$D$36-$Y637)^2)+((Graph!$E$36-$Z637)^2))+(Graph!$D$41^2),3/2))</f>
        <v>-80.427099846565</v>
      </c>
      <c r="T637">
        <f>Graph!$D$40*((Graph!$E$36-Z637)/POWER((((Graph!$D$36-$Y637)^2)+((Graph!$E$36-$Z637)^2))+(Graph!$D$41^2),3/2))</f>
        <v>-87.314371833716777</v>
      </c>
      <c r="U637">
        <f>O637+Q637+S637</f>
        <v>-392.04177391655963</v>
      </c>
      <c r="V637">
        <f>P637+R637+T637</f>
        <v>-319.35464405451864</v>
      </c>
      <c r="W637">
        <f>W636+(U636*Graph!$D$5)</f>
        <v>1972.1981946500041</v>
      </c>
      <c r="X637">
        <f>X636+(V636*Graph!$D$5)</f>
        <v>2707.2130372185611</v>
      </c>
      <c r="Y637">
        <f>Y636+(W636*Graph!$D$5)+(U636*Graph!$D$5^2)</f>
        <v>44803.10843713209</v>
      </c>
      <c r="Z637">
        <f>Z636+(X636*Graph!$D$5)+(V636*Graph!$D$5^2)</f>
        <v>33639.765413015353</v>
      </c>
    </row>
    <row r="638" spans="14:26" x14ac:dyDescent="0.35">
      <c r="N638">
        <f>N637+1</f>
        <v>635</v>
      </c>
      <c r="O638">
        <f>Graph!$D$22*((Graph!$D$18-Y638)/POWER((((Graph!$D$18-$Y638)^2)+((Graph!$E$18-$Z638)^2))+(Graph!$D$23^2),(3/2)))</f>
        <v>-254.03115296200497</v>
      </c>
      <c r="P638" s="84">
        <f>Graph!$D$22*((Graph!$E$18-Z638)/POWER((((Graph!$D$18-$Y638)^2)+((Graph!$E$18-$Z638)^2))+(Graph!$D$23^2),3/2))</f>
        <v>-206.20940793967978</v>
      </c>
      <c r="Q638">
        <f>Graph!$D$31*((Graph!$D$27-Y638)/POWER((((Graph!$D$27-$Y638)^2)+((Graph!$E$27-$Z638)^2))+(Graph!$D$32^2),3/2))</f>
        <v>-33.893792203169909</v>
      </c>
      <c r="R638">
        <f>Graph!$D$31*((Graph!$E$27-Z638)/POWER((((Graph!$D$27-$Y638)^2)+((Graph!$E$27-$Z638)^2))+(Graph!$D$32^2),3/2))</f>
        <v>-12.854296421960344</v>
      </c>
      <c r="S638">
        <f>Graph!$D$40*((Graph!$D$36-Y638)/POWER((((Graph!$D$36-$Y638)^2)+((Graph!$E$36-$Z638)^2))+(Graph!$D$41^2),3/2))</f>
        <v>-76.581106300484706</v>
      </c>
      <c r="T638">
        <f>Graph!$D$40*((Graph!$E$36-Z638)/POWER((((Graph!$D$36-$Y638)^2)+((Graph!$E$36-$Z638)^2))+(Graph!$D$41^2),3/2))</f>
        <v>-83.657987546669204</v>
      </c>
      <c r="U638">
        <f>O638+Q638+S638</f>
        <v>-364.5060514656596</v>
      </c>
      <c r="V638">
        <f>P638+R638+T638</f>
        <v>-302.72169190830937</v>
      </c>
      <c r="W638">
        <f>W637+(U637*Graph!$D$5)</f>
        <v>1776.1773076917243</v>
      </c>
      <c r="X638">
        <f>X637+(V637*Graph!$D$5)</f>
        <v>2547.5357151913017</v>
      </c>
      <c r="Y638">
        <f>Y637+(W637*Graph!$D$5)+(U637*Graph!$D$5^2)</f>
        <v>45691.197090977948</v>
      </c>
      <c r="Z638">
        <f>Z637+(X637*Graph!$D$5)+(V637*Graph!$D$5^2)</f>
        <v>34913.533270611006</v>
      </c>
    </row>
    <row r="639" spans="14:26" x14ac:dyDescent="0.35">
      <c r="N639">
        <f>N638+1</f>
        <v>636</v>
      </c>
      <c r="O639">
        <f>Graph!$D$22*((Graph!$D$18-Y639)/POWER((((Graph!$D$18-$Y639)^2)+((Graph!$E$18-$Z639)^2))+(Graph!$D$23^2),(3/2)))</f>
        <v>-235.56798171170712</v>
      </c>
      <c r="P639" s="84">
        <f>Graph!$D$22*((Graph!$E$18-Z639)/POWER((((Graph!$D$18-$Y639)^2)+((Graph!$E$18-$Z639)^2))+(Graph!$D$23^2),3/2))</f>
        <v>-195.34523258221552</v>
      </c>
      <c r="Q639">
        <f>Graph!$D$31*((Graph!$D$27-Y639)/POWER((((Graph!$D$27-$Y639)^2)+((Graph!$E$27-$Z639)^2))+(Graph!$D$32^2),3/2))</f>
        <v>-32.64385553926153</v>
      </c>
      <c r="R639">
        <f>Graph!$D$31*((Graph!$E$27-Z639)/POWER((((Graph!$D$27-$Y639)^2)+((Graph!$E$27-$Z639)^2))+(Graph!$D$32^2),3/2))</f>
        <v>-12.820086825141161</v>
      </c>
      <c r="S639">
        <f>Graph!$D$40*((Graph!$D$36-Y639)/POWER((((Graph!$D$36-$Y639)^2)+((Graph!$E$36-$Z639)^2))+(Graph!$D$41^2),3/2))</f>
        <v>-73.227866472202095</v>
      </c>
      <c r="T639">
        <f>Graph!$D$40*((Graph!$E$36-Z639)/POWER((((Graph!$D$36-$Y639)^2)+((Graph!$E$36-$Z639)^2))+(Graph!$D$41^2),3/2))</f>
        <v>-80.510714943677073</v>
      </c>
      <c r="U639">
        <f>O639+Q639+S639</f>
        <v>-341.43970372317074</v>
      </c>
      <c r="V639">
        <f>P639+R639+T639</f>
        <v>-288.67603435103376</v>
      </c>
      <c r="W639">
        <f>W638+(U638*Graph!$D$5)</f>
        <v>1593.9242819588944</v>
      </c>
      <c r="X639">
        <f>X638+(V638*Graph!$D$5)</f>
        <v>2396.174869237147</v>
      </c>
      <c r="Y639">
        <f>Y638+(W638*Graph!$D$5)+(U638*Graph!$D$5^2)</f>
        <v>46488.159231957397</v>
      </c>
      <c r="Z639">
        <f>Z638+(X638*Graph!$D$5)+(V638*Graph!$D$5^2)</f>
        <v>36111.620705229579</v>
      </c>
    </row>
    <row r="640" spans="14:26" x14ac:dyDescent="0.35">
      <c r="N640">
        <f>N639+1</f>
        <v>637</v>
      </c>
      <c r="O640">
        <f>Graph!$D$22*((Graph!$D$18-Y640)/POWER((((Graph!$D$18-$Y640)^2)+((Graph!$E$18-$Z640)^2))+(Graph!$D$23^2),(3/2)))</f>
        <v>-220.09078833244374</v>
      </c>
      <c r="P640" s="84">
        <f>Graph!$D$22*((Graph!$E$18-Z640)/POWER((((Graph!$D$18-$Y640)^2)+((Graph!$E$18-$Z640)^2))+(Graph!$D$23^2),3/2))</f>
        <v>-186.17316372051192</v>
      </c>
      <c r="Q640">
        <f>Graph!$D$31*((Graph!$D$27-Y640)/POWER((((Graph!$D$27-$Y640)^2)+((Graph!$E$27-$Z640)^2))+(Graph!$D$32^2),3/2))</f>
        <v>-31.54654378435848</v>
      </c>
      <c r="R640">
        <f>Graph!$D$31*((Graph!$E$27-Z640)/POWER((((Graph!$D$27-$Y640)^2)+((Graph!$E$27-$Z640)^2))+(Graph!$D$32^2),3/2))</f>
        <v>-12.786507009553761</v>
      </c>
      <c r="S640">
        <f>Graph!$D$40*((Graph!$D$36-Y640)/POWER((((Graph!$D$36-$Y640)^2)+((Graph!$E$36-$Z640)^2))+(Graph!$D$41^2),3/2))</f>
        <v>-70.289107212101484</v>
      </c>
      <c r="T640">
        <f>Graph!$D$40*((Graph!$E$36-Z640)/POWER((((Graph!$D$36-$Y640)^2)+((Graph!$E$36-$Z640)^2))+(Graph!$D$41^2),3/2))</f>
        <v>-77.791282750782031</v>
      </c>
      <c r="U640">
        <f>O640+Q640+S640</f>
        <v>-321.92643932890371</v>
      </c>
      <c r="V640">
        <f>P640+R640+T640</f>
        <v>-276.75095348084773</v>
      </c>
      <c r="W640">
        <f>W639+(U639*Graph!$D$5)</f>
        <v>1423.2044300973091</v>
      </c>
      <c r="X640">
        <f>X639+(V639*Graph!$D$5)</f>
        <v>2251.83685206163</v>
      </c>
      <c r="Y640">
        <f>Y639+(W639*Graph!$D$5)+(U639*Graph!$D$5^2)</f>
        <v>47199.761447006051</v>
      </c>
      <c r="Z640">
        <f>Z639+(X639*Graph!$D$5)+(V639*Graph!$D$5^2)</f>
        <v>37237.539131260397</v>
      </c>
    </row>
    <row r="641" spans="14:26" x14ac:dyDescent="0.35">
      <c r="N641">
        <f>N640+1</f>
        <v>638</v>
      </c>
      <c r="O641">
        <f>Graph!$D$22*((Graph!$D$18-Y641)/POWER((((Graph!$D$18-$Y641)^2)+((Graph!$E$18-$Z641)^2))+(Graph!$D$23^2),(3/2)))</f>
        <v>-207.00219254597991</v>
      </c>
      <c r="P641" s="84">
        <f>Graph!$D$22*((Graph!$E$18-Z641)/POWER((((Graph!$D$18-$Y641)^2)+((Graph!$E$18-$Z641)^2))+(Graph!$D$23^2),3/2))</f>
        <v>-178.3983713775277</v>
      </c>
      <c r="Q641">
        <f>Graph!$D$31*((Graph!$D$27-Y641)/POWER((((Graph!$D$27-$Y641)^2)+((Graph!$E$27-$Z641)^2))+(Graph!$D$32^2),3/2))</f>
        <v>-30.581696146677835</v>
      </c>
      <c r="R641">
        <f>Graph!$D$31*((Graph!$E$27-Z641)/POWER((((Graph!$D$27-$Y641)^2)+((Graph!$E$27-$Z641)^2))+(Graph!$D$32^2),3/2))</f>
        <v>-12.756531186313957</v>
      </c>
      <c r="S641">
        <f>Graph!$D$40*((Graph!$D$36-Y641)/POWER((((Graph!$D$36-$Y641)^2)+((Graph!$E$36-$Z641)^2))+(Graph!$D$41^2),3/2))</f>
        <v>-67.702956846587341</v>
      </c>
      <c r="T641">
        <f>Graph!$D$40*((Graph!$E$36-Z641)/POWER((((Graph!$D$36-$Y641)^2)+((Graph!$E$36-$Z641)^2))+(Graph!$D$41^2),3/2))</f>
        <v>-75.436192997263277</v>
      </c>
      <c r="U641">
        <f>O641+Q641+S641</f>
        <v>-305.28684553924506</v>
      </c>
      <c r="V641">
        <f>P641+R641+T641</f>
        <v>-266.59109556110491</v>
      </c>
      <c r="W641">
        <f>W640+(U640*Graph!$D$5)</f>
        <v>1262.2412104328573</v>
      </c>
      <c r="X641">
        <f>X640+(V640*Graph!$D$5)</f>
        <v>2113.4613753212061</v>
      </c>
      <c r="Y641">
        <f>Y640+(W640*Graph!$D$5)+(U640*Graph!$D$5^2)</f>
        <v>47830.882052222478</v>
      </c>
      <c r="Z641">
        <f>Z640+(X640*Graph!$D$5)+(V640*Graph!$D$5^2)</f>
        <v>38294.269818921006</v>
      </c>
    </row>
    <row r="642" spans="14:26" x14ac:dyDescent="0.35">
      <c r="N642">
        <f>N641+1</f>
        <v>639</v>
      </c>
      <c r="O642">
        <f>Graph!$D$22*((Graph!$D$18-Y642)/POWER((((Graph!$D$18-$Y642)^2)+((Graph!$E$18-$Z642)^2))+(Graph!$D$23^2),(3/2)))</f>
        <v>-195.85471206568039</v>
      </c>
      <c r="P642" s="84">
        <f>Graph!$D$22*((Graph!$E$18-Z642)/POWER((((Graph!$D$18-$Y642)^2)+((Graph!$E$18-$Z642)^2))+(Graph!$D$23^2),3/2))</f>
        <v>-171.794563117005</v>
      </c>
      <c r="Q642">
        <f>Graph!$D$31*((Graph!$D$27-Y642)/POWER((((Graph!$D$27-$Y642)^2)+((Graph!$E$27-$Z642)^2))+(Graph!$D$32^2),3/2))</f>
        <v>-29.732966349578007</v>
      </c>
      <c r="R642">
        <f>Graph!$D$31*((Graph!$E$27-Z642)/POWER((((Graph!$D$27-$Y642)^2)+((Graph!$E$27-$Z642)^2))+(Graph!$D$32^2),3/2))</f>
        <v>-12.732353649547518</v>
      </c>
      <c r="S642">
        <f>Graph!$D$40*((Graph!$D$36-Y642)/POWER((((Graph!$D$36-$Y642)^2)+((Graph!$E$36-$Z642)^2))+(Graph!$D$41^2),3/2))</f>
        <v>-65.419924478761857</v>
      </c>
      <c r="T642">
        <f>Graph!$D$40*((Graph!$E$36-Z642)/POWER((((Graph!$D$36-$Y642)^2)+((Graph!$E$36-$Z642)^2))+(Graph!$D$41^2),3/2))</f>
        <v>-73.395231537828508</v>
      </c>
      <c r="U642">
        <f>O642+Q642+S642</f>
        <v>-291.00760289402024</v>
      </c>
      <c r="V642">
        <f>P642+R642+T642</f>
        <v>-257.92214830438104</v>
      </c>
      <c r="W642">
        <f>W641+(U641*Graph!$D$5)</f>
        <v>1109.5977876632348</v>
      </c>
      <c r="X642">
        <f>X641+(V641*Graph!$D$5)</f>
        <v>1980.1658275406537</v>
      </c>
      <c r="Y642">
        <f>Y641+(W641*Graph!$D$5)+(U641*Graph!$D$5^2)</f>
        <v>48385.680946054097</v>
      </c>
      <c r="Z642">
        <f>Z641+(X641*Graph!$D$5)+(V641*Graph!$D$5^2)</f>
        <v>39284.352732691332</v>
      </c>
    </row>
    <row r="643" spans="14:26" x14ac:dyDescent="0.35">
      <c r="N643">
        <f>N642+1</f>
        <v>640</v>
      </c>
      <c r="O643">
        <f>Graph!$D$22*((Graph!$D$18-Y643)/POWER((((Graph!$D$18-$Y643)^2)+((Graph!$E$18-$Z643)^2))+(Graph!$D$23^2),(3/2)))</f>
        <v>-186.30755435261</v>
      </c>
      <c r="P643" s="84">
        <f>Graph!$D$22*((Graph!$E$18-Z643)/POWER((((Graph!$D$18-$Y643)^2)+((Graph!$E$18-$Z643)^2))+(Graph!$D$23^2),3/2))</f>
        <v>-166.18601825437324</v>
      </c>
      <c r="Q643">
        <f>Graph!$D$31*((Graph!$D$27-Y643)/POWER((((Graph!$D$27-$Y643)^2)+((Graph!$E$27-$Z643)^2))+(Graph!$D$32^2),3/2))</f>
        <v>-28.987005258890004</v>
      </c>
      <c r="R643">
        <f>Graph!$D$31*((Graph!$E$27-Z643)/POWER((((Graph!$D$27-$Y643)^2)+((Graph!$E$27-$Z643)^2))+(Graph!$D$32^2),3/2))</f>
        <v>-12.715623904424156</v>
      </c>
      <c r="S643">
        <f>Graph!$D$40*((Graph!$D$36-Y643)/POWER((((Graph!$D$36-$Y643)^2)+((Graph!$E$36-$Z643)^2))+(Graph!$D$41^2),3/2))</f>
        <v>-63.400015752939787</v>
      </c>
      <c r="T643">
        <f>Graph!$D$40*((Graph!$E$36-Z643)/POWER((((Graph!$D$36-$Y643)^2)+((Graph!$E$36-$Z643)^2))+(Graph!$D$41^2),3/2))</f>
        <v>-71.628294812720782</v>
      </c>
      <c r="U643">
        <f>O643+Q643+S643</f>
        <v>-278.6945753644398</v>
      </c>
      <c r="V643">
        <f>P643+R643+T643</f>
        <v>-250.52993697151817</v>
      </c>
      <c r="W643">
        <f>W642+(U642*Graph!$D$5)</f>
        <v>964.09398621622472</v>
      </c>
      <c r="X643">
        <f>X642+(V642*Graph!$D$5)</f>
        <v>1851.2047533884631</v>
      </c>
      <c r="Y643">
        <f>Y642+(W642*Graph!$D$5)+(U642*Graph!$D$5^2)</f>
        <v>48867.727939162214</v>
      </c>
      <c r="Z643">
        <f>Z642+(X642*Graph!$D$5)+(V642*Graph!$D$5^2)</f>
        <v>40209.955109385563</v>
      </c>
    </row>
    <row r="644" spans="14:26" x14ac:dyDescent="0.35">
      <c r="N644">
        <f>N643+1</f>
        <v>641</v>
      </c>
      <c r="O644">
        <f>Graph!$D$22*((Graph!$D$18-Y644)/POWER((((Graph!$D$18-$Y644)^2)+((Graph!$E$18-$Z644)^2))+(Graph!$D$23^2),(3/2)))</f>
        <v>-178.09745306993298</v>
      </c>
      <c r="P644" s="84">
        <f>Graph!$D$22*((Graph!$E$18-Z644)/POWER((((Graph!$D$18-$Y644)^2)+((Graph!$E$18-$Z644)^2))+(Graph!$D$23^2),3/2))</f>
        <v>-161.43501898368447</v>
      </c>
      <c r="Q644">
        <f>Graph!$D$31*((Graph!$D$27-Y644)/POWER((((Graph!$D$27-$Y644)^2)+((Graph!$E$27-$Z644)^2))+(Graph!$D$32^2),3/2))</f>
        <v>-28.332852369986959</v>
      </c>
      <c r="R644">
        <f>Graph!$D$31*((Graph!$E$27-Z644)/POWER((((Graph!$D$27-$Y644)^2)+((Graph!$E$27-$Z644)^2))+(Graph!$D$32^2),3/2))</f>
        <v>-12.707611282429793</v>
      </c>
      <c r="S644">
        <f>Graph!$D$40*((Graph!$D$36-Y644)/POWER((((Graph!$D$36-$Y644)^2)+((Graph!$E$36-$Z644)^2))+(Graph!$D$41^2),3/2))</f>
        <v>-61.610627707216636</v>
      </c>
      <c r="T644">
        <f>Graph!$D$40*((Graph!$E$36-Z644)/POWER((((Graph!$D$36-$Y644)^2)+((Graph!$E$36-$Z644)^2))+(Graph!$D$41^2),3/2))</f>
        <v>-70.103104831767098</v>
      </c>
      <c r="U644">
        <f>O644+Q644+S644</f>
        <v>-268.04093314713657</v>
      </c>
      <c r="V644">
        <f>P644+R644+T644</f>
        <v>-244.24573509788135</v>
      </c>
      <c r="W644">
        <f>W643+(U643*Graph!$D$5)</f>
        <v>824.74669853400485</v>
      </c>
      <c r="X644">
        <f>X643+(V643*Graph!$D$5)</f>
        <v>1725.9397849027041</v>
      </c>
      <c r="Y644">
        <f>Y643+(W643*Graph!$D$5)+(U643*Graph!$D$5^2)</f>
        <v>49280.101288429214</v>
      </c>
      <c r="Z644">
        <f>Z643+(X643*Graph!$D$5)+(V643*Graph!$D$5^2)</f>
        <v>41072.925001836913</v>
      </c>
    </row>
    <row r="645" spans="14:26" x14ac:dyDescent="0.35">
      <c r="N645">
        <f>N644+1</f>
        <v>642</v>
      </c>
      <c r="O645">
        <f>Graph!$D$22*((Graph!$D$18-Y645)/POWER((((Graph!$D$18-$Y645)^2)+((Graph!$E$18-$Z645)^2))+(Graph!$D$23^2),(3/2)))</f>
        <v>-171.01854271842524</v>
      </c>
      <c r="P645" s="84">
        <f>Graph!$D$22*((Graph!$E$18-Z645)/POWER((((Graph!$D$18-$Y645)^2)+((Graph!$E$18-$Z645)^2))+(Graph!$D$23^2),3/2))</f>
        <v>-157.432908455529</v>
      </c>
      <c r="Q645">
        <f>Graph!$D$31*((Graph!$D$27-Y645)/POWER((((Graph!$D$27-$Y645)^2)+((Graph!$E$27-$Z645)^2))+(Graph!$D$32^2),3/2))</f>
        <v>-27.761476969865555</v>
      </c>
      <c r="R645">
        <f>Graph!$D$31*((Graph!$E$27-Z645)/POWER((((Graph!$D$27-$Y645)^2)+((Graph!$E$27-$Z645)^2))+(Graph!$D$32^2),3/2))</f>
        <v>-12.709322122328462</v>
      </c>
      <c r="S645">
        <f>Graph!$D$40*((Graph!$D$36-Y645)/POWER((((Graph!$D$36-$Y645)^2)+((Graph!$E$36-$Z645)^2))+(Graph!$D$41^2),3/2))</f>
        <v>-60.024988587627533</v>
      </c>
      <c r="T645">
        <f>Graph!$D$40*((Graph!$E$36-Z645)/POWER((((Graph!$D$36-$Y645)^2)+((Graph!$E$36-$Z645)^2))+(Graph!$D$41^2),3/2))</f>
        <v>-68.793537156041538</v>
      </c>
      <c r="U645">
        <f>O645+Q645+S645</f>
        <v>-258.80500827591834</v>
      </c>
      <c r="V645">
        <f>P645+R645+T645</f>
        <v>-238.93576773389901</v>
      </c>
      <c r="W645">
        <f>W644+(U644*Graph!$D$5)</f>
        <v>690.72623196043651</v>
      </c>
      <c r="X645">
        <f>X644+(V644*Graph!$D$5)</f>
        <v>1603.8169173537635</v>
      </c>
      <c r="Y645">
        <f>Y644+(W644*Graph!$D$5)+(U644*Graph!$D$5^2)</f>
        <v>49625.464404409431</v>
      </c>
      <c r="Z645">
        <f>Z644+(X644*Graph!$D$5)+(V644*Graph!$D$5^2)</f>
        <v>41874.833460513793</v>
      </c>
    </row>
    <row r="646" spans="14:26" x14ac:dyDescent="0.35">
      <c r="N646">
        <f>N645+1</f>
        <v>643</v>
      </c>
      <c r="O646">
        <f>Graph!$D$22*((Graph!$D$18-Y646)/POWER((((Graph!$D$18-$Y646)^2)+((Graph!$E$18-$Z646)^2))+(Graph!$D$23^2),(3/2)))</f>
        <v>-164.90819630391528</v>
      </c>
      <c r="P646" s="84">
        <f>Graph!$D$22*((Graph!$E$18-Z646)/POWER((((Graph!$D$18-$Y646)^2)+((Graph!$E$18-$Z646)^2))+(Graph!$D$23^2),3/2))</f>
        <v>-154.09363711726112</v>
      </c>
      <c r="Q646">
        <f>Graph!$D$31*((Graph!$D$27-Y646)/POWER((((Graph!$D$27-$Y646)^2)+((Graph!$E$27-$Z646)^2))+(Graph!$D$32^2),3/2))</f>
        <v>-27.265428522194448</v>
      </c>
      <c r="R646">
        <f>Graph!$D$31*((Graph!$E$27-Z646)/POWER((((Graph!$D$27-$Y646)^2)+((Graph!$E$27-$Z646)^2))+(Graph!$D$32^2),3/2))</f>
        <v>-12.721584603304841</v>
      </c>
      <c r="S646">
        <f>Graph!$D$40*((Graph!$D$36-Y646)/POWER((((Graph!$D$36-$Y646)^2)+((Graph!$E$36-$Z646)^2))+(Graph!$D$41^2),3/2))</f>
        <v>-58.620985883584062</v>
      </c>
      <c r="T646">
        <f>Graph!$D$40*((Graph!$E$36-Z646)/POWER((((Graph!$D$36-$Y646)^2)+((Graph!$E$36-$Z646)^2))+(Graph!$D$41^2),3/2))</f>
        <v>-67.678380668730668</v>
      </c>
      <c r="U646">
        <f>O646+Q646+S646</f>
        <v>-250.79461070969379</v>
      </c>
      <c r="V646">
        <f>P646+R646+T646</f>
        <v>-234.49360238929665</v>
      </c>
      <c r="W646">
        <f>W645+(U645*Graph!$D$5)</f>
        <v>561.32372782247739</v>
      </c>
      <c r="X646">
        <f>X645+(V645*Graph!$D$5)</f>
        <v>1484.3490334868141</v>
      </c>
      <c r="Y646">
        <f>Y645+(W645*Graph!$D$5)+(U645*Graph!$D$5^2)</f>
        <v>49906.126268320666</v>
      </c>
      <c r="Z646">
        <f>Z645+(X645*Graph!$D$5)+(V645*Graph!$D$5^2)</f>
        <v>42617.007977257199</v>
      </c>
    </row>
    <row r="647" spans="14:26" x14ac:dyDescent="0.35">
      <c r="N647">
        <f>N646+1</f>
        <v>644</v>
      </c>
      <c r="O647">
        <f>Graph!$D$22*((Graph!$D$18-Y647)/POWER((((Graph!$D$18-$Y647)^2)+((Graph!$E$18-$Z647)^2))+(Graph!$D$23^2),(3/2)))</f>
        <v>-159.6368865866819</v>
      </c>
      <c r="P647" s="84">
        <f>Graph!$D$22*((Graph!$E$18-Z647)/POWER((((Graph!$D$18-$Y647)^2)+((Graph!$E$18-$Z647)^2))+(Graph!$D$23^2),3/2))</f>
        <v>-151.34905001199041</v>
      </c>
      <c r="Q647">
        <f>Graph!$D$31*((Graph!$D$27-Y647)/POWER((((Graph!$D$27-$Y647)^2)+((Graph!$E$27-$Z647)^2))+(Graph!$D$32^2),3/2))</f>
        <v>-26.838568130517228</v>
      </c>
      <c r="R647">
        <f>Graph!$D$31*((Graph!$E$27-Z647)/POWER((((Graph!$D$27-$Y647)^2)+((Graph!$E$27-$Z647)^2))+(Graph!$D$32^2),3/2))</f>
        <v>-12.745111282666983</v>
      </c>
      <c r="S647">
        <f>Graph!$D$40*((Graph!$D$36-Y647)/POWER((((Graph!$D$36-$Y647)^2)+((Graph!$E$36-$Z647)^2))+(Graph!$D$41^2),3/2))</f>
        <v>-57.38027560215339</v>
      </c>
      <c r="T647">
        <f>Graph!$D$40*((Graph!$E$36-Z647)/POWER((((Graph!$D$36-$Y647)^2)+((Graph!$E$36-$Z647)^2))+(Graph!$D$41^2),3/2))</f>
        <v>-66.74040732258392</v>
      </c>
      <c r="U647">
        <f>O647+Q647+S647</f>
        <v>-243.85573031935252</v>
      </c>
      <c r="V647">
        <f>P647+R647+T647</f>
        <v>-230.8345686172413</v>
      </c>
      <c r="W647">
        <f>W646+(U646*Graph!$D$5)</f>
        <v>435.92642246763052</v>
      </c>
      <c r="X647">
        <f>X646+(V646*Graph!$D$5)</f>
        <v>1367.1022322921658</v>
      </c>
      <c r="Y647">
        <f>Y646+(W646*Graph!$D$5)+(U646*Graph!$D$5^2)</f>
        <v>50124.089479554488</v>
      </c>
      <c r="Z647">
        <f>Z646+(X646*Graph!$D$5)+(V646*Graph!$D$5^2)</f>
        <v>43300.559093403281</v>
      </c>
    </row>
    <row r="648" spans="14:26" x14ac:dyDescent="0.35">
      <c r="N648">
        <f>N647+1</f>
        <v>645</v>
      </c>
      <c r="O648">
        <f>Graph!$D$22*((Graph!$D$18-Y648)/POWER((((Graph!$D$18-$Y648)^2)+((Graph!$E$18-$Z648)^2))+(Graph!$D$23^2),(3/2)))</f>
        <v>-155.1008185640618</v>
      </c>
      <c r="P648" s="84">
        <f>Graph!$D$22*((Graph!$E$18-Z648)/POWER((((Graph!$D$18-$Y648)^2)+((Graph!$E$18-$Z648)^2))+(Graph!$D$23^2),3/2))</f>
        <v>-149.14541583730991</v>
      </c>
      <c r="Q648">
        <f>Graph!$D$31*((Graph!$D$27-Y648)/POWER((((Graph!$D$27-$Y648)^2)+((Graph!$E$27-$Z648)^2))+(Graph!$D$32^2),3/2))</f>
        <v>-26.475861200529732</v>
      </c>
      <c r="R648">
        <f>Graph!$D$31*((Graph!$E$27-Z648)/POWER((((Graph!$D$27-$Y648)^2)+((Graph!$E$27-$Z648)^2))+(Graph!$D$32^2),3/2))</f>
        <v>-12.780546158327363</v>
      </c>
      <c r="S648">
        <f>Graph!$D$40*((Graph!$D$36-Y648)/POWER((((Graph!$D$36-$Y648)^2)+((Graph!$E$36-$Z648)^2))+(Graph!$D$41^2),3/2))</f>
        <v>-56.287598488711588</v>
      </c>
      <c r="T648">
        <f>Graph!$D$40*((Graph!$E$36-Z648)/POWER((((Graph!$D$36-$Y648)^2)+((Graph!$E$36-$Z648)^2))+(Graph!$D$41^2),3/2))</f>
        <v>-65.965668479456724</v>
      </c>
      <c r="U648">
        <f>O648+Q648+S648</f>
        <v>-237.8642782533031</v>
      </c>
      <c r="V648">
        <f>P648+R648+T648</f>
        <v>-227.89163047509399</v>
      </c>
      <c r="W648">
        <f>W647+(U647*Graph!$D$5)</f>
        <v>313.99855730795423</v>
      </c>
      <c r="X648">
        <f>X647+(V647*Graph!$D$5)</f>
        <v>1251.684947983545</v>
      </c>
      <c r="Y648">
        <f>Y647+(W647*Graph!$D$5)+(U647*Graph!$D$5^2)</f>
        <v>50281.088758208462</v>
      </c>
      <c r="Z648">
        <f>Z647+(X647*Graph!$D$5)+(V647*Graph!$D$5^2)</f>
        <v>43926.401567395049</v>
      </c>
    </row>
    <row r="649" spans="14:26" x14ac:dyDescent="0.35">
      <c r="N649">
        <f>N648+1</f>
        <v>646</v>
      </c>
      <c r="O649">
        <f>Graph!$D$22*((Graph!$D$18-Y649)/POWER((((Graph!$D$18-$Y649)^2)+((Graph!$E$18-$Z649)^2))+(Graph!$D$23^2),(3/2)))</f>
        <v>-151.21650735608694</v>
      </c>
      <c r="P649" s="84">
        <f>Graph!$D$22*((Graph!$E$18-Z649)/POWER((((Graph!$D$18-$Y649)^2)+((Graph!$E$18-$Z649)^2))+(Graph!$D$23^2),3/2))</f>
        <v>-147.44085922767417</v>
      </c>
      <c r="Q649">
        <f>Graph!$D$31*((Graph!$D$27-Y649)/POWER((((Graph!$D$27-$Y649)^2)+((Graph!$E$27-$Z649)^2))+(Graph!$D$32^2),3/2))</f>
        <v>-26.173217088839266</v>
      </c>
      <c r="R649">
        <f>Graph!$D$31*((Graph!$E$27-Z649)/POWER((((Graph!$D$27-$Y649)^2)+((Graph!$E$27-$Z649)^2))+(Graph!$D$32^2),3/2))</f>
        <v>-12.828500966415413</v>
      </c>
      <c r="S649">
        <f>Graph!$D$40*((Graph!$D$36-Y649)/POWER((((Graph!$D$36-$Y649)^2)+((Graph!$E$36-$Z649)^2))+(Graph!$D$41^2),3/2))</f>
        <v>-55.330250805839178</v>
      </c>
      <c r="T649">
        <f>Graph!$D$40*((Graph!$E$36-Z649)/POWER((((Graph!$D$36-$Y649)^2)+((Graph!$E$36-$Z649)^2))+(Graph!$D$41^2),3/2))</f>
        <v>-65.342959871541609</v>
      </c>
      <c r="U649">
        <f>O649+Q649+S649</f>
        <v>-232.71997525076537</v>
      </c>
      <c r="V649">
        <f>P649+R649+T649</f>
        <v>-225.6123200656312</v>
      </c>
      <c r="W649">
        <f>W648+(U648*Graph!$D$5)</f>
        <v>195.06641818130268</v>
      </c>
      <c r="X649">
        <f>X648+(V648*Graph!$D$5)</f>
        <v>1137.7391327459979</v>
      </c>
      <c r="Y649">
        <f>Y648+(W648*Graph!$D$5)+(U648*Graph!$D$5^2)</f>
        <v>50378.621967299114</v>
      </c>
      <c r="Z649">
        <f>Z648+(X648*Graph!$D$5)+(V648*Graph!$D$5^2)</f>
        <v>44495.271133768052</v>
      </c>
    </row>
    <row r="650" spans="14:26" x14ac:dyDescent="0.35">
      <c r="N650">
        <f>N649+1</f>
        <v>647</v>
      </c>
      <c r="O650">
        <f>Graph!$D$22*((Graph!$D$18-Y650)/POWER((((Graph!$D$18-$Y650)^2)+((Graph!$E$18-$Z650)^2))+(Graph!$D$23^2),(3/2)))</f>
        <v>-147.91674670615708</v>
      </c>
      <c r="P650" s="84">
        <f>Graph!$D$22*((Graph!$E$18-Z650)/POWER((((Graph!$D$18-$Y650)^2)+((Graph!$E$18-$Z650)^2))+(Graph!$D$23^2),3/2))</f>
        <v>-146.20346396478573</v>
      </c>
      <c r="Q650">
        <f>Graph!$D$31*((Graph!$D$27-Y650)/POWER((((Graph!$D$27-$Y650)^2)+((Graph!$E$27-$Z650)^2))+(Graph!$D$32^2),3/2))</f>
        <v>-25.927365488278916</v>
      </c>
      <c r="R650">
        <f>Graph!$D$31*((Graph!$E$27-Z650)/POWER((((Graph!$D$27-$Y650)^2)+((Graph!$E$27-$Z650)^2))+(Graph!$D$32^2),3/2))</f>
        <v>-12.88958402796162</v>
      </c>
      <c r="S650">
        <f>Graph!$D$40*((Graph!$D$36-Y650)/POWER((((Graph!$D$36-$Y650)^2)+((Graph!$E$36-$Z650)^2))+(Graph!$D$41^2),3/2))</f>
        <v>-54.497672230569208</v>
      </c>
      <c r="T650">
        <f>Graph!$D$40*((Graph!$E$36-Z650)/POWER((((Graph!$D$36-$Y650)^2)+((Graph!$E$36-$Z650)^2))+(Graph!$D$41^2),3/2))</f>
        <v>-64.863414373087721</v>
      </c>
      <c r="U650">
        <f>O650+Q650+S650</f>
        <v>-228.34178442500522</v>
      </c>
      <c r="V650">
        <f>P650+R650+T650</f>
        <v>-223.95646236583508</v>
      </c>
      <c r="W650">
        <f>W649+(U649*Graph!$D$5)</f>
        <v>78.706430555919994</v>
      </c>
      <c r="X650">
        <f>X649+(V649*Graph!$D$5)</f>
        <v>1024.9329727131824</v>
      </c>
      <c r="Y650">
        <f>Y649+(W649*Graph!$D$5)+(U649*Graph!$D$5^2)</f>
        <v>50417.975182577073</v>
      </c>
      <c r="Z650">
        <f>Z649+(X649*Graph!$D$5)+(V649*Graph!$D$5^2)</f>
        <v>45007.737620124637</v>
      </c>
    </row>
    <row r="651" spans="14:26" x14ac:dyDescent="0.35">
      <c r="N651">
        <f>N650+1</f>
        <v>648</v>
      </c>
      <c r="O651">
        <f>Graph!$D$22*((Graph!$D$18-Y651)/POWER((((Graph!$D$18-$Y651)^2)+((Graph!$E$18-$Z651)^2))+(Graph!$D$23^2),(3/2)))</f>
        <v>-145.14758932877061</v>
      </c>
      <c r="P651" s="84">
        <f>Graph!$D$22*((Graph!$E$18-Z651)/POWER((((Graph!$D$18-$Y651)^2)+((Graph!$E$18-$Z651)^2))+(Graph!$D$23^2),3/2))</f>
        <v>-145.40988660391687</v>
      </c>
      <c r="Q651">
        <f>Graph!$D$31*((Graph!$D$27-Y651)/POWER((((Graph!$D$27-$Y651)^2)+((Graph!$E$27-$Z651)^2))+(Graph!$D$32^2),3/2))</f>
        <v>-25.735762127901666</v>
      </c>
      <c r="R651">
        <f>Graph!$D$31*((Graph!$E$27-Z651)/POWER((((Graph!$D$27-$Y651)^2)+((Graph!$E$27-$Z651)^2))+(Graph!$D$32^2),3/2))</f>
        <v>-12.964424024557029</v>
      </c>
      <c r="S651">
        <f>Graph!$D$40*((Graph!$D$36-Y651)/POWER((((Graph!$D$36-$Y651)^2)+((Graph!$E$36-$Z651)^2))+(Graph!$D$41^2),3/2))</f>
        <v>-53.781123809458336</v>
      </c>
      <c r="T651">
        <f>Graph!$D$40*((Graph!$E$36-Z651)/POWER((((Graph!$D$36-$Y651)^2)+((Graph!$E$36-$Z651)^2))+(Graph!$D$41^2),3/2))</f>
        <v>-64.520193594700075</v>
      </c>
      <c r="U651">
        <f>O651+Q651+S651</f>
        <v>-224.66447526613061</v>
      </c>
      <c r="V651">
        <f>P651+R651+T651</f>
        <v>-222.89450422317395</v>
      </c>
      <c r="W651">
        <f>W650+(U650*Graph!$D$5)</f>
        <v>-35.464461656582614</v>
      </c>
      <c r="X651">
        <f>X650+(V650*Graph!$D$5)</f>
        <v>912.95474153026487</v>
      </c>
      <c r="Y651">
        <f>Y650+(W650*Graph!$D$5)+(U650*Graph!$D$5^2)</f>
        <v>50400.242951748784</v>
      </c>
      <c r="Z651">
        <f>Z650+(X650*Graph!$D$5)+(V650*Graph!$D$5^2)</f>
        <v>45464.21499088977</v>
      </c>
    </row>
    <row r="652" spans="14:26" x14ac:dyDescent="0.35">
      <c r="N652">
        <f>N651+1</f>
        <v>649</v>
      </c>
      <c r="O652">
        <f>Graph!$D$22*((Graph!$D$18-Y652)/POWER((((Graph!$D$18-$Y652)^2)+((Graph!$E$18-$Z652)^2))+(Graph!$D$23^2),(3/2)))</f>
        <v>-142.86607702145707</v>
      </c>
      <c r="P652" s="84">
        <f>Graph!$D$22*((Graph!$E$18-Z652)/POWER((((Graph!$D$18-$Y652)^2)+((Graph!$E$18-$Z652)^2))+(Graph!$D$23^2),3/2))</f>
        <v>-145.04436967551646</v>
      </c>
      <c r="Q652">
        <f>Graph!$D$31*((Graph!$D$27-Y652)/POWER((((Graph!$D$27-$Y652)^2)+((Graph!$E$27-$Z652)^2))+(Graph!$D$32^2),3/2))</f>
        <v>-25.596518429642689</v>
      </c>
      <c r="R652">
        <f>Graph!$D$31*((Graph!$E$27-Z652)/POWER((((Graph!$D$27-$Y652)^2)+((Graph!$E$27-$Z652)^2))+(Graph!$D$32^2),3/2))</f>
        <v>-13.053690454314573</v>
      </c>
      <c r="S652">
        <f>Graph!$D$40*((Graph!$D$36-Y652)/POWER((((Graph!$D$36-$Y652)^2)+((Graph!$E$36-$Z652)^2))+(Graph!$D$41^2),3/2))</f>
        <v>-53.173436240542735</v>
      </c>
      <c r="T652">
        <f>Graph!$D$40*((Graph!$E$36-Z652)/POWER((((Graph!$D$36-$Y652)^2)+((Graph!$E$36-$Z652)^2))+(Graph!$D$41^2),3/2))</f>
        <v>-64.308257631922359</v>
      </c>
      <c r="U652">
        <f>O652+Q652+S652</f>
        <v>-221.6360316916425</v>
      </c>
      <c r="V652">
        <f>P652+R652+T652</f>
        <v>-222.40631776175337</v>
      </c>
      <c r="W652">
        <f>W651+(U651*Graph!$D$5)</f>
        <v>-147.7966992896479</v>
      </c>
      <c r="X652">
        <f>X651+(V651*Graph!$D$5)</f>
        <v>801.50748941867789</v>
      </c>
      <c r="Y652">
        <f>Y651+(W651*Graph!$D$5)+(U651*Graph!$D$5^2)</f>
        <v>50326.344602103964</v>
      </c>
      <c r="Z652">
        <f>Z651+(X651*Graph!$D$5)+(V651*Graph!$D$5^2)</f>
        <v>45864.968735599112</v>
      </c>
    </row>
    <row r="653" spans="14:26" x14ac:dyDescent="0.35">
      <c r="N653">
        <f>N652+1</f>
        <v>650</v>
      </c>
      <c r="O653">
        <f>Graph!$D$22*((Graph!$D$18-Y653)/POWER((((Graph!$D$18-$Y653)^2)+((Graph!$E$18-$Z653)^2))+(Graph!$D$23^2),(3/2)))</f>
        <v>-141.03853738938642</v>
      </c>
      <c r="P653" s="84">
        <f>Graph!$D$22*((Graph!$E$18-Z653)/POWER((((Graph!$D$18-$Y653)^2)+((Graph!$E$18-$Z653)^2))+(Graph!$D$23^2),3/2))</f>
        <v>-145.0980789965229</v>
      </c>
      <c r="Q653">
        <f>Graph!$D$31*((Graph!$D$27-Y653)/POWER((((Graph!$D$27-$Y653)^2)+((Graph!$E$27-$Z653)^2))+(Graph!$D$32^2),3/2))</f>
        <v>-25.508351310143933</v>
      </c>
      <c r="R653">
        <f>Graph!$D$31*((Graph!$E$27-Z653)/POWER((((Graph!$D$27-$Y653)^2)+((Graph!$E$27-$Z653)^2))+(Graph!$D$32^2),3/2))</f>
        <v>-13.158112096732685</v>
      </c>
      <c r="S653">
        <f>Graph!$D$40*((Graph!$D$36-Y653)/POWER((((Graph!$D$36-$Y653)^2)+((Graph!$E$36-$Z653)^2))+(Graph!$D$41^2),3/2))</f>
        <v>-52.668814017145714</v>
      </c>
      <c r="T653">
        <f>Graph!$D$40*((Graph!$E$36-Z653)/POWER((((Graph!$D$36-$Y653)^2)+((Graph!$E$36-$Z653)^2))+(Graph!$D$41^2),3/2))</f>
        <v>-64.224198292613934</v>
      </c>
      <c r="U653">
        <f>O653+Q653+S653</f>
        <v>-219.21570271667605</v>
      </c>
      <c r="V653">
        <f>P653+R653+T653</f>
        <v>-222.4803893858695</v>
      </c>
      <c r="W653">
        <f>W652+(U652*Graph!$D$5)</f>
        <v>-258.61471513546917</v>
      </c>
      <c r="X653">
        <f>X652+(V652*Graph!$D$5)</f>
        <v>690.30433053780121</v>
      </c>
      <c r="Y653">
        <f>Y652+(W652*Graph!$D$5)+(U652*Graph!$D$5^2)</f>
        <v>50197.037244536223</v>
      </c>
      <c r="Z653">
        <f>Z652+(X652*Graph!$D$5)+(V652*Graph!$D$5^2)</f>
        <v>46210.120900868016</v>
      </c>
    </row>
    <row r="654" spans="14:26" x14ac:dyDescent="0.35">
      <c r="N654">
        <f>N653+1</f>
        <v>651</v>
      </c>
      <c r="O654">
        <f>Graph!$D$22*((Graph!$D$18-Y654)/POWER((((Graph!$D$18-$Y654)^2)+((Graph!$E$18-$Z654)^2))+(Graph!$D$23^2),(3/2)))</f>
        <v>-139.63931856124847</v>
      </c>
      <c r="P654" s="84">
        <f>Graph!$D$22*((Graph!$E$18-Z654)/POWER((((Graph!$D$18-$Y654)^2)+((Graph!$E$18-$Z654)^2))+(Graph!$D$23^2),3/2))</f>
        <v>-145.56871579139118</v>
      </c>
      <c r="Q654">
        <f>Graph!$D$31*((Graph!$D$27-Y654)/POWER((((Graph!$D$27-$Y654)^2)+((Graph!$E$27-$Z654)^2))+(Graph!$D$32^2),3/2))</f>
        <v>-25.470550514487499</v>
      </c>
      <c r="R654">
        <f>Graph!$D$31*((Graph!$E$27-Z654)/POWER((((Graph!$D$27-$Y654)^2)+((Graph!$E$27-$Z654)^2))+(Graph!$D$32^2),3/2))</f>
        <v>-13.27849453423587</v>
      </c>
      <c r="S654">
        <f>Graph!$D$40*((Graph!$D$36-Y654)/POWER((((Graph!$D$36-$Y654)^2)+((Graph!$E$36-$Z654)^2))+(Graph!$D$41^2),3/2))</f>
        <v>-52.262684823086985</v>
      </c>
      <c r="T654">
        <f>Graph!$D$40*((Graph!$E$36-Z654)/POWER((((Graph!$D$36-$Y654)^2)+((Graph!$E$36-$Z654)^2))+(Graph!$D$41^2),3/2))</f>
        <v>-64.266125567716358</v>
      </c>
      <c r="U654">
        <f>O654+Q654+S654</f>
        <v>-217.37255389882296</v>
      </c>
      <c r="V654">
        <f>P654+R654+T654</f>
        <v>-223.11333589334342</v>
      </c>
      <c r="W654">
        <f>W653+(U653*Graph!$D$5)</f>
        <v>-368.22256649380722</v>
      </c>
      <c r="X654">
        <f>X653+(V653*Graph!$D$5)</f>
        <v>579.06413584486643</v>
      </c>
      <c r="Y654">
        <f>Y653+(W653*Graph!$D$5)+(U653*Graph!$D$5^2)</f>
        <v>50012.925961289322</v>
      </c>
      <c r="Z654">
        <f>Z653+(X653*Graph!$D$5)+(V653*Graph!$D$5^2)</f>
        <v>46499.652968790448</v>
      </c>
    </row>
    <row r="655" spans="14:26" x14ac:dyDescent="0.35">
      <c r="N655">
        <f>N654+1</f>
        <v>652</v>
      </c>
      <c r="O655">
        <f>Graph!$D$22*((Graph!$D$18-Y655)/POWER((((Graph!$D$18-$Y655)^2)+((Graph!$E$18-$Z655)^2))+(Graph!$D$23^2),(3/2)))</f>
        <v>-138.64987185623508</v>
      </c>
      <c r="P655" s="84">
        <f>Graph!$D$22*((Graph!$E$18-Z655)/POWER((((Graph!$D$18-$Y655)^2)+((Graph!$E$18-$Z655)^2))+(Graph!$D$23^2),3/2))</f>
        <v>-146.46037471432751</v>
      </c>
      <c r="Q655">
        <f>Graph!$D$31*((Graph!$D$27-Y655)/POWER((((Graph!$D$27-$Y655)^2)+((Graph!$E$27-$Z655)^2))+(Graph!$D$32^2),3/2))</f>
        <v>-25.482961838571473</v>
      </c>
      <c r="R655">
        <f>Graph!$D$31*((Graph!$E$27-Z655)/POWER((((Graph!$D$27-$Y655)^2)+((Graph!$E$27-$Z655)^2))+(Graph!$D$32^2),3/2))</f>
        <v>-13.415737597895058</v>
      </c>
      <c r="S655">
        <f>Graph!$D$40*((Graph!$D$36-Y655)/POWER((((Graph!$D$36-$Y655)^2)+((Graph!$E$36-$Z655)^2))+(Graph!$D$41^2),3/2))</f>
        <v>-51.951586452608851</v>
      </c>
      <c r="T655">
        <f>Graph!$D$40*((Graph!$E$36-Z655)/POWER((((Graph!$D$36-$Y655)^2)+((Graph!$E$36-$Z655)^2))+(Graph!$D$41^2),3/2))</f>
        <v>-64.433600521141557</v>
      </c>
      <c r="U655">
        <f>O655+Q655+S655</f>
        <v>-216.08442014741541</v>
      </c>
      <c r="V655">
        <f>P655+R655+T655</f>
        <v>-224.30971283336413</v>
      </c>
      <c r="W655">
        <f>W654+(U654*Graph!$D$5)</f>
        <v>-476.9088434432187</v>
      </c>
      <c r="X655">
        <f>X654+(V654*Graph!$D$5)</f>
        <v>467.5074678981947</v>
      </c>
      <c r="Y655">
        <f>Y654+(W654*Graph!$D$5)+(U654*Graph!$D$5^2)</f>
        <v>49774.471539567712</v>
      </c>
      <c r="Z655">
        <f>Z654+(X654*Graph!$D$5)+(V654*Graph!$D$5^2)</f>
        <v>46733.406702739543</v>
      </c>
    </row>
    <row r="656" spans="14:26" x14ac:dyDescent="0.35">
      <c r="N656">
        <f>N655+1</f>
        <v>653</v>
      </c>
      <c r="O656">
        <f>Graph!$D$22*((Graph!$D$18-Y656)/POWER((((Graph!$D$18-$Y656)^2)+((Graph!$E$18-$Z656)^2))+(Graph!$D$23^2),(3/2)))</f>
        <v>-138.05812047810227</v>
      </c>
      <c r="P656" s="84">
        <f>Graph!$D$22*((Graph!$E$18-Z656)/POWER((((Graph!$D$18-$Y656)^2)+((Graph!$E$18-$Z656)^2))+(Graph!$D$23^2),3/2))</f>
        <v>-147.78363593189351</v>
      </c>
      <c r="Q656">
        <f>Graph!$D$31*((Graph!$D$27-Y656)/POWER((((Graph!$D$27-$Y656)^2)+((Graph!$E$27-$Z656)^2))+(Graph!$D$32^2),3/2))</f>
        <v>-25.545985428005359</v>
      </c>
      <c r="R656">
        <f>Graph!$D$31*((Graph!$E$27-Z656)/POWER((((Graph!$D$27-$Y656)^2)+((Graph!$E$27-$Z656)^2))+(Graph!$D$32^2),3/2))</f>
        <v>-13.570853498404123</v>
      </c>
      <c r="S656">
        <f>Graph!$D$40*((Graph!$D$36-Y656)/POWER((((Graph!$D$36-$Y656)^2)+((Graph!$E$36-$Z656)^2))+(Graph!$D$41^2),3/2))</f>
        <v>-51.733085745600071</v>
      </c>
      <c r="T656">
        <f>Graph!$D$40*((Graph!$E$36-Z656)/POWER((((Graph!$D$36-$Y656)^2)+((Graph!$E$36-$Z656)^2))+(Graph!$D$41^2),3/2))</f>
        <v>-64.727610524271554</v>
      </c>
      <c r="U656">
        <f>O656+Q656+S656</f>
        <v>-215.33719165170771</v>
      </c>
      <c r="V656">
        <f>P656+R656+T656</f>
        <v>-226.08209995456917</v>
      </c>
      <c r="W656">
        <f>W655+(U655*Graph!$D$5)</f>
        <v>-584.95105351692644</v>
      </c>
      <c r="X656">
        <f>X655+(V655*Graph!$D$5)</f>
        <v>355.35261148151267</v>
      </c>
      <c r="Y656">
        <f>Y655+(W655*Graph!$D$5)+(U655*Graph!$D$5^2)</f>
        <v>49481.99601280925</v>
      </c>
      <c r="Z656">
        <f>Z655+(X655*Graph!$D$5)+(V655*Graph!$D$5^2)</f>
        <v>46911.083008480295</v>
      </c>
    </row>
    <row r="657" spans="14:26" x14ac:dyDescent="0.35">
      <c r="N657">
        <f>N656+1</f>
        <v>654</v>
      </c>
      <c r="O657">
        <f>Graph!$D$22*((Graph!$D$18-Y657)/POWER((((Graph!$D$18-$Y657)^2)+((Graph!$E$18-$Z657)^2))+(Graph!$D$23^2),(3/2)))</f>
        <v>-137.85807362999915</v>
      </c>
      <c r="P657" s="84">
        <f>Graph!$D$22*((Graph!$E$18-Z657)/POWER((((Graph!$D$18-$Y657)^2)+((Graph!$E$18-$Z657)^2))+(Graph!$D$23^2),3/2))</f>
        <v>-149.5558950698277</v>
      </c>
      <c r="Q657">
        <f>Graph!$D$31*((Graph!$D$27-Y657)/POWER((((Graph!$D$27-$Y657)^2)+((Graph!$E$27-$Z657)^2))+(Graph!$D$32^2),3/2))</f>
        <v>-25.66058910522138</v>
      </c>
      <c r="R657">
        <f>Graph!$D$31*((Graph!$E$27-Z657)/POWER((((Graph!$D$27-$Y657)^2)+((Graph!$E$27-$Z657)^2))+(Graph!$D$32^2),3/2))</f>
        <v>-13.744986353805492</v>
      </c>
      <c r="S657">
        <f>Graph!$D$40*((Graph!$D$36-Y657)/POWER((((Graph!$D$36-$Y657)^2)+((Graph!$E$36-$Z657)^2))+(Graph!$D$41^2),3/2))</f>
        <v>-51.605725796108743</v>
      </c>
      <c r="T657">
        <f>Graph!$D$40*((Graph!$E$36-Z657)/POWER((((Graph!$D$36-$Y657)^2)+((Graph!$E$36-$Z657)^2))+(Graph!$D$41^2),3/2))</f>
        <v>-65.150585120935872</v>
      </c>
      <c r="U657">
        <f>O657+Q657+S657</f>
        <v>-215.12438853132929</v>
      </c>
      <c r="V657">
        <f>P657+R657+T657</f>
        <v>-228.45146654456909</v>
      </c>
      <c r="W657">
        <f>W656+(U656*Graph!$D$5)</f>
        <v>-692.61964934278035</v>
      </c>
      <c r="X657">
        <f>X656+(V656*Graph!$D$5)</f>
        <v>242.31156150422808</v>
      </c>
      <c r="Y657">
        <f>Y656+(W656*Graph!$D$5)+(U656*Graph!$D$5^2)</f>
        <v>49135.686188137857</v>
      </c>
      <c r="Z657">
        <f>Z656+(X656*Graph!$D$5)+(V656*Graph!$D$5^2)</f>
        <v>47032.238789232411</v>
      </c>
    </row>
    <row r="658" spans="14:26" x14ac:dyDescent="0.35">
      <c r="N658">
        <f>N657+1</f>
        <v>655</v>
      </c>
      <c r="O658">
        <f>Graph!$D$22*((Graph!$D$18-Y658)/POWER((((Graph!$D$18-$Y658)^2)+((Graph!$E$18-$Z658)^2))+(Graph!$D$23^2),(3/2)))</f>
        <v>-138.04966251948386</v>
      </c>
      <c r="P658" s="84">
        <f>Graph!$D$22*((Graph!$E$18-Z658)/POWER((((Graph!$D$18-$Y658)^2)+((Graph!$E$18-$Z658)^2))+(Graph!$D$23^2),3/2))</f>
        <v>-151.80195071244432</v>
      </c>
      <c r="Q658">
        <f>Graph!$D$31*((Graph!$D$27-Y658)/POWER((((Graph!$D$27-$Y658)^2)+((Graph!$E$27-$Z658)^2))+(Graph!$D$32^2),3/2))</f>
        <v>-25.828337435895936</v>
      </c>
      <c r="R658">
        <f>Graph!$D$31*((Graph!$E$27-Z658)/POWER((((Graph!$D$27-$Y658)^2)+((Graph!$E$27-$Z658)^2))+(Graph!$D$32^2),3/2))</f>
        <v>-13.939433822295342</v>
      </c>
      <c r="S658">
        <f>Graph!$D$40*((Graph!$D$36-Y658)/POWER((((Graph!$D$36-$Y658)^2)+((Graph!$E$36-$Z658)^2))+(Graph!$D$41^2),3/2))</f>
        <v>-51.568999170377168</v>
      </c>
      <c r="T658">
        <f>Graph!$D$40*((Graph!$E$36-Z658)/POWER((((Graph!$D$36-$Y658)^2)+((Graph!$E$36-$Z658)^2))+(Graph!$D$41^2),3/2))</f>
        <v>-65.706452996903835</v>
      </c>
      <c r="U658">
        <f>O658+Q658+S658</f>
        <v>-215.44699912575697</v>
      </c>
      <c r="V658">
        <f>P658+R658+T658</f>
        <v>-231.4478375316435</v>
      </c>
      <c r="W658">
        <f>W657+(U657*Graph!$D$5)</f>
        <v>-800.18184360844498</v>
      </c>
      <c r="X658">
        <f>X657+(V657*Graph!$D$5)</f>
        <v>128.08582823194354</v>
      </c>
      <c r="Y658">
        <f>Y657+(W657*Graph!$D$5)+(U657*Graph!$D$5^2)</f>
        <v>48735.595266333636</v>
      </c>
      <c r="Z658">
        <f>Z657+(X657*Graph!$D$5)+(V657*Graph!$D$5^2)</f>
        <v>47096.281703348388</v>
      </c>
    </row>
    <row r="659" spans="14:26" x14ac:dyDescent="0.35">
      <c r="N659">
        <f>N658+1</f>
        <v>656</v>
      </c>
      <c r="O659">
        <f>Graph!$D$22*((Graph!$D$18-Y659)/POWER((((Graph!$D$18-$Y659)^2)+((Graph!$E$18-$Z659)^2))+(Graph!$D$23^2),(3/2)))</f>
        <v>-138.63878945559557</v>
      </c>
      <c r="P659" s="84">
        <f>Graph!$D$22*((Graph!$E$18-Z659)/POWER((((Graph!$D$18-$Y659)^2)+((Graph!$E$18-$Z659)^2))+(Graph!$D$23^2),3/2))</f>
        <v>-154.55488694988802</v>
      </c>
      <c r="Q659">
        <f>Graph!$D$31*((Graph!$D$27-Y659)/POWER((((Graph!$D$27-$Y659)^2)+((Graph!$E$27-$Z659)^2))+(Graph!$D$32^2),3/2))</f>
        <v>-26.051438062852586</v>
      </c>
      <c r="R659">
        <f>Graph!$D$31*((Graph!$E$27-Z659)/POWER((((Graph!$D$27-$Y659)^2)+((Graph!$E$27-$Z659)^2))+(Graph!$D$32^2),3/2))</f>
        <v>-14.155671585889111</v>
      </c>
      <c r="S659">
        <f>Graph!$D$40*((Graph!$D$36-Y659)/POWER((((Graph!$D$36-$Y659)^2)+((Graph!$E$36-$Z659)^2))+(Graph!$D$41^2),3/2))</f>
        <v>-51.623346186488881</v>
      </c>
      <c r="T659">
        <f>Graph!$D$40*((Graph!$E$36-Z659)/POWER((((Graph!$D$36-$Y659)^2)+((Graph!$E$36-$Z659)^2))+(Graph!$D$41^2),3/2))</f>
        <v>-66.400742736544245</v>
      </c>
      <c r="U659">
        <f>O659+Q659+S659</f>
        <v>-216.31357370493703</v>
      </c>
      <c r="V659">
        <f>P659+R659+T659</f>
        <v>-235.11130127232138</v>
      </c>
      <c r="W659">
        <f>W658+(U658*Graph!$D$5)</f>
        <v>-907.90534317132347</v>
      </c>
      <c r="X659">
        <f>X658+(V658*Graph!$D$5)</f>
        <v>12.361909466121787</v>
      </c>
      <c r="Y659">
        <f>Y658+(W658*Graph!$D$5)+(U658*Graph!$D$5^2)</f>
        <v>48281.642594747973</v>
      </c>
      <c r="Z659">
        <f>Z658+(X658*Graph!$D$5)+(V658*Graph!$D$5^2)</f>
        <v>47102.462658081444</v>
      </c>
    </row>
    <row r="660" spans="14:26" x14ac:dyDescent="0.35">
      <c r="N660">
        <f>N659+1</f>
        <v>657</v>
      </c>
      <c r="O660">
        <f>Graph!$D$22*((Graph!$D$18-Y660)/POWER((((Graph!$D$18-$Y660)^2)+((Graph!$E$18-$Z660)^2))+(Graph!$D$23^2),(3/2)))</f>
        <v>-139.63759518067391</v>
      </c>
      <c r="P660" s="84">
        <f>Graph!$D$22*((Graph!$E$18-Z660)/POWER((((Graph!$D$18-$Y660)^2)+((Graph!$E$18-$Z660)^2))+(Graph!$D$23^2),3/2))</f>
        <v>-157.85731016060492</v>
      </c>
      <c r="Q660">
        <f>Graph!$D$31*((Graph!$D$27-Y660)/POWER((((Graph!$D$27-$Y660)^2)+((Graph!$E$27-$Z660)^2))+(Graph!$D$32^2),3/2))</f>
        <v>-26.33280777912702</v>
      </c>
      <c r="R660">
        <f>Graph!$D$31*((Graph!$E$27-Z660)/POWER((((Graph!$D$27-$Y660)^2)+((Graph!$E$27-$Z660)^2))+(Graph!$D$32^2),3/2))</f>
        <v>-14.395381506215523</v>
      </c>
      <c r="S660">
        <f>Graph!$D$40*((Graph!$D$36-Y660)/POWER((((Graph!$D$36-$Y660)^2)+((Graph!$E$36-$Z660)^2))+(Graph!$D$41^2),3/2))</f>
        <v>-51.770178570389746</v>
      </c>
      <c r="T660">
        <f>Graph!$D$40*((Graph!$E$36-Z660)/POWER((((Graph!$D$36-$Y660)^2)+((Graph!$E$36-$Z660)^2))+(Graph!$D$41^2),3/2))</f>
        <v>-67.24073247189888</v>
      </c>
      <c r="U660">
        <f>O660+Q660+S660</f>
        <v>-217.7405815301907</v>
      </c>
      <c r="V660">
        <f>P660+R660+T660</f>
        <v>-239.49342413871932</v>
      </c>
      <c r="W660">
        <f>W659+(U659*Graph!$D$5)</f>
        <v>-1016.062130023792</v>
      </c>
      <c r="X660">
        <f>X659+(V659*Graph!$D$5)</f>
        <v>-105.1937411700389</v>
      </c>
      <c r="Y660">
        <f>Y659+(W659*Graph!$D$5)+(U659*Graph!$D$5^2)</f>
        <v>47773.611529736074</v>
      </c>
      <c r="Z660">
        <f>Z659+(X659*Graph!$D$5)+(V659*Graph!$D$5^2)</f>
        <v>47049.865787496426</v>
      </c>
    </row>
    <row r="661" spans="14:26" x14ac:dyDescent="0.35">
      <c r="N661">
        <f>N660+1</f>
        <v>658</v>
      </c>
      <c r="O661">
        <f>Graph!$D$22*((Graph!$D$18-Y661)/POWER((((Graph!$D$18-$Y661)^2)+((Graph!$E$18-$Z661)^2))+(Graph!$D$23^2),(3/2)))</f>
        <v>-141.06496417099456</v>
      </c>
      <c r="P661" s="84">
        <f>Graph!$D$22*((Graph!$E$18-Z661)/POWER((((Graph!$D$18-$Y661)^2)+((Graph!$E$18-$Z661)^2))+(Graph!$D$23^2),3/2))</f>
        <v>-161.76302735302522</v>
      </c>
      <c r="Q661">
        <f>Graph!$D$31*((Graph!$D$27-Y661)/POWER((((Graph!$D$27-$Y661)^2)+((Graph!$E$27-$Z661)^2))+(Graph!$D$32^2),3/2))</f>
        <v>-26.676161965872893</v>
      </c>
      <c r="R661">
        <f>Graph!$D$31*((Graph!$E$27-Z661)/POWER((((Graph!$D$27-$Y661)^2)+((Graph!$E$27-$Z661)^2))+(Graph!$D$32^2),3/2))</f>
        <v>-14.660484386893856</v>
      </c>
      <c r="S661">
        <f>Graph!$D$40*((Graph!$D$36-Y661)/POWER((((Graph!$D$36-$Y661)^2)+((Graph!$E$36-$Z661)^2))+(Graph!$D$41^2),3/2))</f>
        <v>-52.011930117577585</v>
      </c>
      <c r="T661">
        <f>Graph!$D$40*((Graph!$E$36-Z661)/POWER((((Graph!$D$36-$Y661)^2)+((Graph!$E$36-$Z661)^2))+(Graph!$D$41^2),3/2))</f>
        <v>-68.235656385512257</v>
      </c>
      <c r="U661">
        <f>O661+Q661+S661</f>
        <v>-219.75305625444503</v>
      </c>
      <c r="V661">
        <f>P661+R661+T661</f>
        <v>-244.65916812543134</v>
      </c>
      <c r="W661">
        <f>W660+(U660*Graph!$D$5)</f>
        <v>-1124.9324207888874</v>
      </c>
      <c r="X661">
        <f>X660+(V660*Graph!$D$5)</f>
        <v>-224.94045323939855</v>
      </c>
      <c r="Y661">
        <f>Y660+(W660*Graph!$D$5)+(U660*Graph!$D$5^2)</f>
        <v>47211.145319341624</v>
      </c>
      <c r="Z661">
        <f>Z660+(X660*Graph!$D$5)+(V660*Graph!$D$5^2)</f>
        <v>46937.395560876728</v>
      </c>
    </row>
    <row r="662" spans="14:26" x14ac:dyDescent="0.35">
      <c r="N662">
        <f>N661+1</f>
        <v>659</v>
      </c>
      <c r="O662">
        <f>Graph!$D$22*((Graph!$D$18-Y662)/POWER((((Graph!$D$18-$Y662)^2)+((Graph!$E$18-$Z662)^2))+(Graph!$D$23^2),(3/2)))</f>
        <v>-142.947304432012</v>
      </c>
      <c r="P662" s="84">
        <f>Graph!$D$22*((Graph!$E$18-Z662)/POWER((((Graph!$D$18-$Y662)^2)+((Graph!$E$18-$Z662)^2))+(Graph!$D$23^2),3/2))</f>
        <v>-166.33929157351392</v>
      </c>
      <c r="Q662">
        <f>Graph!$D$31*((Graph!$D$27-Y662)/POWER((((Graph!$D$27-$Y662)^2)+((Graph!$E$27-$Z662)^2))+(Graph!$D$32^2),3/2))</f>
        <v>-27.086132495746199</v>
      </c>
      <c r="R662">
        <f>Graph!$D$31*((Graph!$E$27-Z662)/POWER((((Graph!$D$27-$Y662)^2)+((Graph!$E$27-$Z662)^2))+(Graph!$D$32^2),3/2))</f>
        <v>-14.953178428706899</v>
      </c>
      <c r="S662">
        <f>Graph!$D$40*((Graph!$D$36-Y662)/POWER((((Graph!$D$36-$Y662)^2)+((Graph!$E$36-$Z662)^2))+(Graph!$D$41^2),3/2))</f>
        <v>-52.352137470445797</v>
      </c>
      <c r="T662">
        <f>Graph!$D$40*((Graph!$E$36-Z662)/POWER((((Graph!$D$36-$Y662)^2)+((Graph!$E$36-$Z662)^2))+(Graph!$D$41^2),3/2))</f>
        <v>-69.396979593523213</v>
      </c>
      <c r="U662">
        <f>O662+Q662+S662</f>
        <v>-222.385574398204</v>
      </c>
      <c r="V662">
        <f>P662+R662+T662</f>
        <v>-250.68944959574404</v>
      </c>
      <c r="W662">
        <f>W661+(U661*Graph!$D$5)</f>
        <v>-1234.8089489161098</v>
      </c>
      <c r="X662">
        <f>X661+(V661*Graph!$D$5)</f>
        <v>-347.27003730211425</v>
      </c>
      <c r="Y662">
        <f>Y661+(W661*Graph!$D$5)+(U661*Graph!$D$5^2)</f>
        <v>46593.74084488357</v>
      </c>
      <c r="Z662">
        <f>Z661+(X661*Graph!$D$5)+(V661*Graph!$D$5^2)</f>
        <v>46763.760542225675</v>
      </c>
    </row>
    <row r="663" spans="14:26" x14ac:dyDescent="0.35">
      <c r="N663">
        <f>N662+1</f>
        <v>660</v>
      </c>
      <c r="O663">
        <f>Graph!$D$22*((Graph!$D$18-Y663)/POWER((((Graph!$D$18-$Y663)^2)+((Graph!$E$18-$Z663)^2))+(Graph!$D$23^2),(3/2)))</f>
        <v>-145.31965920162293</v>
      </c>
      <c r="P663" s="84">
        <f>Graph!$D$22*((Graph!$E$18-Z663)/POWER((((Graph!$D$18-$Y663)^2)+((Graph!$E$18-$Z663)^2))+(Graph!$D$23^2),3/2))</f>
        <v>-171.66979344166975</v>
      </c>
      <c r="Q663">
        <f>Graph!$D$31*((Graph!$D$27-Y663)/POWER((((Graph!$D$27-$Y663)^2)+((Graph!$E$27-$Z663)^2))+(Graph!$D$32^2),3/2))</f>
        <v>-27.568421150964948</v>
      </c>
      <c r="R663">
        <f>Graph!$D$31*((Graph!$E$27-Z663)/POWER((((Graph!$D$27-$Y663)^2)+((Graph!$E$27-$Z663)^2))+(Graph!$D$32^2),3/2))</f>
        <v>-15.275984654805805</v>
      </c>
      <c r="S663">
        <f>Graph!$D$40*((Graph!$D$36-Y663)/POWER((((Graph!$D$36-$Y663)^2)+((Graph!$E$36-$Z663)^2))+(Graph!$D$41^2),3/2))</f>
        <v>-52.795555906878562</v>
      </c>
      <c r="T663">
        <f>Graph!$D$40*((Graph!$E$36-Z663)/POWER((((Graph!$D$36-$Y663)^2)+((Graph!$E$36-$Z663)^2))+(Graph!$D$41^2),3/2))</f>
        <v>-70.738757581389265</v>
      </c>
      <c r="U663">
        <f>O663+Q663+S663</f>
        <v>-225.68363625946643</v>
      </c>
      <c r="V663">
        <f>P663+R663+T663</f>
        <v>-257.6845356778648</v>
      </c>
      <c r="W663">
        <f>W662+(U662*Graph!$D$5)</f>
        <v>-1346.0017361152118</v>
      </c>
      <c r="X663">
        <f>X662+(V662*Graph!$D$5)</f>
        <v>-472.61476209998625</v>
      </c>
      <c r="Y663">
        <f>Y662+(W662*Graph!$D$5)+(U662*Graph!$D$5^2)</f>
        <v>45920.739976825964</v>
      </c>
      <c r="Z663">
        <f>Z662+(X662*Graph!$D$5)+(V662*Graph!$D$5^2)</f>
        <v>46527.453161175683</v>
      </c>
    </row>
    <row r="664" spans="14:26" x14ac:dyDescent="0.35">
      <c r="N664">
        <f>N663+1</f>
        <v>661</v>
      </c>
      <c r="O664">
        <f>Graph!$D$22*((Graph!$D$18-Y664)/POWER((((Graph!$D$18-$Y664)^2)+((Graph!$E$18-$Z664)^2))+(Graph!$D$23^2),(3/2)))</f>
        <v>-148.2272355123732</v>
      </c>
      <c r="P664" s="84">
        <f>Graph!$D$22*((Graph!$E$18-Z664)/POWER((((Graph!$D$18-$Y664)^2)+((Graph!$E$18-$Z664)^2))+(Graph!$D$23^2),3/2))</f>
        <v>-177.85865494365336</v>
      </c>
      <c r="Q664">
        <f>Graph!$D$31*((Graph!$D$27-Y664)/POWER((((Graph!$D$27-$Y664)^2)+((Graph!$E$27-$Z664)^2))+(Graph!$D$32^2),3/2))</f>
        <v>-28.12999824580384</v>
      </c>
      <c r="R664">
        <f>Graph!$D$31*((Graph!$E$27-Z664)/POWER((((Graph!$D$27-$Y664)^2)+((Graph!$E$27-$Z664)^2))+(Graph!$D$32^2),3/2))</f>
        <v>-15.631800811685917</v>
      </c>
      <c r="S664">
        <f>Graph!$D$40*((Graph!$D$36-Y664)/POWER((((Graph!$D$36-$Y664)^2)+((Graph!$E$36-$Z664)^2))+(Graph!$D$41^2),3/2))</f>
        <v>-53.348317309798688</v>
      </c>
      <c r="T664">
        <f>Graph!$D$40*((Graph!$E$36-Z664)/POWER((((Graph!$D$36-$Y664)^2)+((Graph!$E$36-$Z664)^2))+(Graph!$D$41^2),3/2))</f>
        <v>-72.278102617659698</v>
      </c>
      <c r="U664">
        <f>O664+Q664+S664</f>
        <v>-229.70555106797573</v>
      </c>
      <c r="V664">
        <f>P664+R664+T664</f>
        <v>-265.768558372999</v>
      </c>
      <c r="W664">
        <f>W663+(U663*Graph!$D$5)</f>
        <v>-1458.8435542449449</v>
      </c>
      <c r="X664">
        <f>X663+(V663*Graph!$D$5)</f>
        <v>-601.45702993891859</v>
      </c>
      <c r="Y664">
        <f>Y663+(W663*Graph!$D$5)+(U663*Graph!$D$5^2)</f>
        <v>45191.318199703492</v>
      </c>
      <c r="Z664">
        <f>Z663+(X663*Graph!$D$5)+(V663*Graph!$D$5^2)</f>
        <v>46226.724646206225</v>
      </c>
    </row>
    <row r="665" spans="14:26" x14ac:dyDescent="0.35">
      <c r="N665">
        <f>N664+1</f>
        <v>662</v>
      </c>
      <c r="O665">
        <f>Graph!$D$22*((Graph!$D$18-Y665)/POWER((((Graph!$D$18-$Y665)^2)+((Graph!$E$18-$Z665)^2))+(Graph!$D$23^2),(3/2)))</f>
        <v>-151.72747241603957</v>
      </c>
      <c r="P665" s="84">
        <f>Graph!$D$22*((Graph!$E$18-Z665)/POWER((((Graph!$D$18-$Y665)^2)+((Graph!$E$18-$Z665)^2))+(Graph!$D$23^2),3/2))</f>
        <v>-185.03579498888209</v>
      </c>
      <c r="Q665">
        <f>Graph!$D$31*((Graph!$D$27-Y665)/POWER((((Graph!$D$27-$Y665)^2)+((Graph!$E$27-$Z665)^2))+(Graph!$D$32^2),3/2))</f>
        <v>-28.779359796278726</v>
      </c>
      <c r="R665">
        <f>Graph!$D$31*((Graph!$E$27-Z665)/POWER((((Graph!$D$27-$Y665)^2)+((Graph!$E$27-$Z665)^2))+(Graph!$D$32^2),3/2))</f>
        <v>-16.02396550894267</v>
      </c>
      <c r="S665">
        <f>Graph!$D$40*((Graph!$D$36-Y665)/POWER((((Graph!$D$36-$Y665)^2)+((Graph!$E$36-$Z665)^2))+(Graph!$D$41^2),3/2))</f>
        <v>-54.018140508012905</v>
      </c>
      <c r="T665">
        <f>Graph!$D$40*((Graph!$E$36-Z665)/POWER((((Graph!$D$36-$Y665)^2)+((Graph!$E$36-$Z665)^2))+(Graph!$D$41^2),3/2))</f>
        <v>-74.035788203262271</v>
      </c>
      <c r="U665">
        <f>O665+Q665+S665</f>
        <v>-234.52497272033122</v>
      </c>
      <c r="V665">
        <f>P665+R665+T665</f>
        <v>-275.09554870108701</v>
      </c>
      <c r="W665">
        <f>W664+(U664*Graph!$D$5)</f>
        <v>-1573.6963297789327</v>
      </c>
      <c r="X665">
        <f>X664+(V664*Graph!$D$5)</f>
        <v>-734.34130912541809</v>
      </c>
      <c r="Y665">
        <f>Y664+(W664*Graph!$D$5)+(U664*Graph!$D$5^2)</f>
        <v>44404.470034814025</v>
      </c>
      <c r="Z665">
        <f>Z664+(X664*Graph!$D$5)+(V664*Graph!$D$5^2)</f>
        <v>45859.553991643515</v>
      </c>
    </row>
    <row r="666" spans="14:26" x14ac:dyDescent="0.35">
      <c r="N666">
        <f>N665+1</f>
        <v>663</v>
      </c>
      <c r="O666">
        <f>Graph!$D$22*((Graph!$D$18-Y666)/POWER((((Graph!$D$18-$Y666)^2)+((Graph!$E$18-$Z666)^2))+(Graph!$D$23^2),(3/2)))</f>
        <v>-155.89282532323742</v>
      </c>
      <c r="P666" s="84">
        <f>Graph!$D$22*((Graph!$E$18-Z666)/POWER((((Graph!$D$18-$Y666)^2)+((Graph!$E$18-$Z666)^2))+(Graph!$D$23^2),3/2))</f>
        <v>-193.36420647588579</v>
      </c>
      <c r="Q666">
        <f>Graph!$D$31*((Graph!$D$27-Y666)/POWER((((Graph!$D$27-$Y666)^2)+((Graph!$E$27-$Z666)^2))+(Graph!$D$32^2),3/2))</f>
        <v>-29.526861725452502</v>
      </c>
      <c r="R666">
        <f>Graph!$D$31*((Graph!$E$27-Z666)/POWER((((Graph!$D$27-$Y666)^2)+((Graph!$E$27-$Z666)^2))+(Graph!$D$32^2),3/2))</f>
        <v>-16.456334622842125</v>
      </c>
      <c r="S666">
        <f>Graph!$D$40*((Graph!$D$36-Y666)/POWER((((Graph!$D$36-$Y666)^2)+((Graph!$E$36-$Z666)^2))+(Graph!$D$41^2),3/2))</f>
        <v>-54.814608324751191</v>
      </c>
      <c r="T666">
        <f>Graph!$D$40*((Graph!$E$36-Z666)/POWER((((Graph!$D$36-$Y666)^2)+((Graph!$E$36-$Z666)^2))+(Graph!$D$41^2),3/2))</f>
        <v>-76.037034786814743</v>
      </c>
      <c r="U666">
        <f>O666+Q666+S666</f>
        <v>-240.23429537344111</v>
      </c>
      <c r="V666">
        <f>P666+R666+T666</f>
        <v>-285.85757588554264</v>
      </c>
      <c r="W666">
        <f>W665+(U665*Graph!$D$5)</f>
        <v>-1690.9588161390984</v>
      </c>
      <c r="X666">
        <f>X665+(V665*Graph!$D$5)</f>
        <v>-871.88908347596157</v>
      </c>
      <c r="Y666">
        <f>Y665+(W665*Graph!$D$5)+(U665*Graph!$D$5^2)</f>
        <v>43558.990626744475</v>
      </c>
      <c r="Z666">
        <f>Z665+(X665*Graph!$D$5)+(V665*Graph!$D$5^2)</f>
        <v>45423.609449905533</v>
      </c>
    </row>
    <row r="667" spans="14:26" x14ac:dyDescent="0.35">
      <c r="N667">
        <f>N666+1</f>
        <v>664</v>
      </c>
      <c r="O667">
        <f>Graph!$D$22*((Graph!$D$18-Y667)/POWER((((Graph!$D$18-$Y667)^2)+((Graph!$E$18-$Z667)^2))+(Graph!$D$23^2),(3/2)))</f>
        <v>-160.814520788865</v>
      </c>
      <c r="P667" s="84">
        <f>Graph!$D$22*((Graph!$E$18-Z667)/POWER((((Graph!$D$18-$Y667)^2)+((Graph!$E$18-$Z667)^2))+(Graph!$D$23^2),3/2))</f>
        <v>-203.04994553755398</v>
      </c>
      <c r="Q667">
        <f>Graph!$D$31*((Graph!$D$27-Y667)/POWER((((Graph!$D$27-$Y667)^2)+((Graph!$E$27-$Z667)^2))+(Graph!$D$32^2),3/2))</f>
        <v>-30.385156964434358</v>
      </c>
      <c r="R667">
        <f>Graph!$D$31*((Graph!$E$27-Z667)/POWER((((Graph!$D$27-$Y667)^2)+((Graph!$E$27-$Z667)^2))+(Graph!$D$32^2),3/2))</f>
        <v>-16.933372199609067</v>
      </c>
      <c r="S667">
        <f>Graph!$D$40*((Graph!$D$36-Y667)/POWER((((Graph!$D$36-$Y667)^2)+((Graph!$E$36-$Z667)^2))+(Graph!$D$41^2),3/2))</f>
        <v>-55.749531516010343</v>
      </c>
      <c r="T667">
        <f>Graph!$D$40*((Graph!$E$36-Z667)/POWER((((Graph!$D$36-$Y667)^2)+((Graph!$E$36-$Z667)^2))+(Graph!$D$41^2),3/2))</f>
        <v>-78.312537479671704</v>
      </c>
      <c r="U667">
        <f>O667+Q667+S667</f>
        <v>-246.94920926930968</v>
      </c>
      <c r="V667">
        <f>P667+R667+T667</f>
        <v>-298.29585521683475</v>
      </c>
      <c r="W667">
        <f>W666+(U666*Graph!$D$5)</f>
        <v>-1811.0759638258189</v>
      </c>
      <c r="X667">
        <f>X666+(V666*Graph!$D$5)</f>
        <v>-1014.8178714187329</v>
      </c>
      <c r="Y667">
        <f>Y666+(W666*Graph!$D$5)+(U666*Graph!$D$5^2)</f>
        <v>42653.452644831566</v>
      </c>
      <c r="Z667">
        <f>Z666+(X666*Graph!$D$5)+(V666*Graph!$D$5^2)</f>
        <v>44916.200514196164</v>
      </c>
    </row>
    <row r="668" spans="14:26" x14ac:dyDescent="0.35">
      <c r="N668">
        <f>N667+1</f>
        <v>665</v>
      </c>
      <c r="O668">
        <f>Graph!$D$22*((Graph!$D$18-Y668)/POWER((((Graph!$D$18-$Y668)^2)+((Graph!$E$18-$Z668)^2))+(Graph!$D$23^2),(3/2)))</f>
        <v>-166.60765143554903</v>
      </c>
      <c r="P668" s="84">
        <f>Graph!$D$22*((Graph!$E$18-Z668)/POWER((((Graph!$D$18-$Y668)^2)+((Graph!$E$18-$Z668)^2))+(Graph!$D$23^2),3/2))</f>
        <v>-214.35604220725398</v>
      </c>
      <c r="Q668">
        <f>Graph!$D$31*((Graph!$D$27-Y668)/POWER((((Graph!$D$27-$Y668)^2)+((Graph!$E$27-$Z668)^2))+(Graph!$D$32^2),3/2))</f>
        <v>-31.369772047553145</v>
      </c>
      <c r="R668">
        <f>Graph!$D$31*((Graph!$E$27-Z668)/POWER((((Graph!$D$27-$Y668)^2)+((Graph!$E$27-$Z668)^2))+(Graph!$D$32^2),3/2))</f>
        <v>-17.460258133803368</v>
      </c>
      <c r="S668">
        <f>Graph!$D$40*((Graph!$D$36-Y668)/POWER((((Graph!$D$36-$Y668)^2)+((Graph!$E$36-$Z668)^2))+(Graph!$D$41^2),3/2))</f>
        <v>-56.837428221162284</v>
      </c>
      <c r="T668">
        <f>Graph!$D$40*((Graph!$E$36-Z668)/POWER((((Graph!$D$36-$Y668)^2)+((Graph!$E$36-$Z668)^2))+(Graph!$D$41^2),3/2))</f>
        <v>-80.899822153534515</v>
      </c>
      <c r="U668">
        <f>O668+Q668+S668</f>
        <v>-254.81485170426447</v>
      </c>
      <c r="V668">
        <f>P668+R668+T668</f>
        <v>-312.71612249459184</v>
      </c>
      <c r="W668">
        <f>W667+(U667*Graph!$D$5)</f>
        <v>-1934.5505684604736</v>
      </c>
      <c r="X668">
        <f>X667+(V667*Graph!$D$5)</f>
        <v>-1163.9657990271503</v>
      </c>
      <c r="Y668">
        <f>Y667+(W667*Graph!$D$5)+(U667*Graph!$D$5^2)</f>
        <v>41686.17736060133</v>
      </c>
      <c r="Z668">
        <f>Z667+(X667*Graph!$D$5)+(V667*Graph!$D$5^2)</f>
        <v>44334.217614682588</v>
      </c>
    </row>
    <row r="669" spans="14:26" x14ac:dyDescent="0.35">
      <c r="N669">
        <f>N668+1</f>
        <v>666</v>
      </c>
      <c r="O669">
        <f>Graph!$D$22*((Graph!$D$18-Y669)/POWER((((Graph!$D$18-$Y669)^2)+((Graph!$E$18-$Z669)^2))+(Graph!$D$23^2),(3/2)))</f>
        <v>-173.41815476510158</v>
      </c>
      <c r="P669" s="84">
        <f>Graph!$D$22*((Graph!$E$18-Z669)/POWER((((Graph!$D$18-$Y669)^2)+((Graph!$E$18-$Z669)^2))+(Graph!$D$23^2),3/2))</f>
        <v>-227.62219638854395</v>
      </c>
      <c r="Q669">
        <f>Graph!$D$31*((Graph!$D$27-Y669)/POWER((((Graph!$D$27-$Y669)^2)+((Graph!$E$27-$Z669)^2))+(Graph!$D$32^2),3/2))</f>
        <v>-32.499875713900146</v>
      </c>
      <c r="R669">
        <f>Graph!$D$31*((Graph!$E$27-Z669)/POWER((((Graph!$D$27-$Y669)^2)+((Graph!$E$27-$Z669)^2))+(Graph!$D$32^2),3/2))</f>
        <v>-18.043014515805108</v>
      </c>
      <c r="S669">
        <f>Graph!$D$40*((Graph!$D$36-Y669)/POWER((((Graph!$D$36-$Y669)^2)+((Graph!$E$36-$Z669)^2))+(Graph!$D$41^2),3/2))</f>
        <v>-58.096160013901034</v>
      </c>
      <c r="T669">
        <f>Graph!$D$40*((Graph!$E$36-Z669)/POWER((((Graph!$D$36-$Y669)^2)+((Graph!$E$36-$Z669)^2))+(Graph!$D$41^2),3/2))</f>
        <v>-83.845054628459039</v>
      </c>
      <c r="U669">
        <f>O669+Q669+S669</f>
        <v>-264.01419049290274</v>
      </c>
      <c r="V669">
        <f>P669+R669+T669</f>
        <v>-329.51026553280809</v>
      </c>
      <c r="W669">
        <f>W668+(U668*Graph!$D$5)</f>
        <v>-2061.9579943126059</v>
      </c>
      <c r="X669">
        <f>X668+(V668*Graph!$D$5)</f>
        <v>-1320.3238602744461</v>
      </c>
      <c r="Y669">
        <f>Y668+(W668*Graph!$D$5)+(U668*Graph!$D$5^2)</f>
        <v>40655.19836344503</v>
      </c>
      <c r="Z669">
        <f>Z668+(X668*Graph!$D$5)+(V668*Graph!$D$5^2)</f>
        <v>43674.055684545361</v>
      </c>
    </row>
    <row r="670" spans="14:26" x14ac:dyDescent="0.35">
      <c r="N670">
        <f>N669+1</f>
        <v>667</v>
      </c>
      <c r="O670">
        <f>Graph!$D$22*((Graph!$D$18-Y670)/POWER((((Graph!$D$18-$Y670)^2)+((Graph!$E$18-$Z670)^2))+(Graph!$D$23^2),(3/2)))</f>
        <v>-181.43248684892671</v>
      </c>
      <c r="P670" s="84">
        <f>Graph!$D$22*((Graph!$E$18-Z670)/POWER((((Graph!$D$18-$Y670)^2)+((Graph!$E$18-$Z670)^2))+(Graph!$D$23^2),3/2))</f>
        <v>-243.29319857014454</v>
      </c>
      <c r="Q670">
        <f>Graph!$D$31*((Graph!$D$27-Y670)/POWER((((Graph!$D$27-$Y670)^2)+((Graph!$E$27-$Z670)^2))+(Graph!$D$32^2),3/2))</f>
        <v>-33.799316041761713</v>
      </c>
      <c r="R670">
        <f>Graph!$D$31*((Graph!$E$27-Z670)/POWER((((Graph!$D$27-$Y670)^2)+((Graph!$E$27-$Z670)^2))+(Graph!$D$32^2),3/2))</f>
        <v>-18.688651230962723</v>
      </c>
      <c r="S670">
        <f>Graph!$D$40*((Graph!$D$36-Y670)/POWER((((Graph!$D$36-$Y670)^2)+((Graph!$E$36-$Z670)^2))+(Graph!$D$41^2),3/2))</f>
        <v>-59.547784480332318</v>
      </c>
      <c r="T670">
        <f>Graph!$D$40*((Graph!$E$36-Z670)/POWER((((Graph!$D$36-$Y670)^2)+((Graph!$E$36-$Z670)^2))+(Graph!$D$41^2),3/2))</f>
        <v>-87.205486121941235</v>
      </c>
      <c r="U670">
        <f>O670+Q670+S670</f>
        <v>-274.77958737102074</v>
      </c>
      <c r="V670">
        <f>P670+R670+T670</f>
        <v>-349.18733592304852</v>
      </c>
      <c r="W670">
        <f>W669+(U669*Graph!$D$5)</f>
        <v>-2193.9650895590571</v>
      </c>
      <c r="X670">
        <f>X669+(V669*Graph!$D$5)</f>
        <v>-1485.0789930408503</v>
      </c>
      <c r="Y670">
        <f>Y669+(W669*Graph!$D$5)+(U669*Graph!$D$5^2)</f>
        <v>39558.215818665507</v>
      </c>
      <c r="Z670">
        <f>Z669+(X669*Graph!$D$5)+(V669*Graph!$D$5^2)</f>
        <v>42931.516188024936</v>
      </c>
    </row>
    <row r="671" spans="14:26" x14ac:dyDescent="0.35">
      <c r="N671">
        <f>N670+1</f>
        <v>668</v>
      </c>
      <c r="O671">
        <f>Graph!$D$22*((Graph!$D$18-Y671)/POWER((((Graph!$D$18-$Y671)^2)+((Graph!$E$18-$Z671)^2))+(Graph!$D$23^2),(3/2)))</f>
        <v>-190.89121910797513</v>
      </c>
      <c r="P671" s="84">
        <f>Graph!$D$22*((Graph!$E$18-Z671)/POWER((((Graph!$D$18-$Y671)^2)+((Graph!$E$18-$Z671)^2))+(Graph!$D$23^2),3/2))</f>
        <v>-261.96083146882489</v>
      </c>
      <c r="Q671">
        <f>Graph!$D$31*((Graph!$D$27-Y671)/POWER((((Graph!$D$27-$Y671)^2)+((Graph!$E$27-$Z671)^2))+(Graph!$D$32^2),3/2))</f>
        <v>-35.298039591354964</v>
      </c>
      <c r="R671">
        <f>Graph!$D$31*((Graph!$E$27-Z671)/POWER((((Graph!$D$27-$Y671)^2)+((Graph!$E$27-$Z671)^2))+(Graph!$D$32^2),3/2))</f>
        <v>-19.405328113041225</v>
      </c>
      <c r="S671">
        <f>Graph!$D$40*((Graph!$D$36-Y671)/POWER((((Graph!$D$36-$Y671)^2)+((Graph!$E$36-$Z671)^2))+(Graph!$D$41^2),3/2))</f>
        <v>-61.219713424224103</v>
      </c>
      <c r="T671">
        <f>Graph!$D$40*((Graph!$E$36-Z671)/POWER((((Graph!$D$36-$Y671)^2)+((Graph!$E$36-$Z671)^2))+(Graph!$D$41^2),3/2))</f>
        <v>-91.052809339891752</v>
      </c>
      <c r="U671">
        <f>O671+Q671+S671</f>
        <v>-287.40897212355418</v>
      </c>
      <c r="V671">
        <f>P671+R671+T671</f>
        <v>-372.41896892175782</v>
      </c>
      <c r="W671">
        <f>W670+(U670*Graph!$D$5)</f>
        <v>-2331.3548832445676</v>
      </c>
      <c r="X671">
        <f>X670+(V670*Graph!$D$5)</f>
        <v>-1659.6726610023745</v>
      </c>
      <c r="Y671">
        <f>Y670+(W670*Graph!$D$5)+(U670*Graph!$D$5^2)</f>
        <v>38392.538377043224</v>
      </c>
      <c r="Z671">
        <f>Z670+(X670*Graph!$D$5)+(V670*Graph!$D$5^2)</f>
        <v>42101.679857523748</v>
      </c>
    </row>
    <row r="672" spans="14:26" x14ac:dyDescent="0.35">
      <c r="N672">
        <f>N671+1</f>
        <v>669</v>
      </c>
      <c r="O672">
        <f>Graph!$D$22*((Graph!$D$18-Y672)/POWER((((Graph!$D$18-$Y672)^2)+((Graph!$E$18-$Z672)^2))+(Graph!$D$23^2),(3/2)))</f>
        <v>-202.10844789698783</v>
      </c>
      <c r="P672" s="84">
        <f>Graph!$D$22*((Graph!$E$18-Z672)/POWER((((Graph!$D$18-$Y672)^2)+((Graph!$E$18-$Z672)^2))+(Graph!$D$23^2),3/2))</f>
        <v>-284.42717358736252</v>
      </c>
      <c r="Q672">
        <f>Graph!$D$31*((Graph!$D$27-Y672)/POWER((((Graph!$D$27-$Y672)^2)+((Graph!$E$27-$Z672)^2))+(Graph!$D$32^2),3/2))</f>
        <v>-37.03406408932377</v>
      </c>
      <c r="R672">
        <f>Graph!$D$31*((Graph!$E$27-Z672)/POWER((((Graph!$D$27-$Y672)^2)+((Graph!$E$27-$Z672)^2))+(Graph!$D$32^2),3/2))</f>
        <v>-20.202523572251966</v>
      </c>
      <c r="S672">
        <f>Graph!$D$40*((Graph!$D$36-Y672)/POWER((((Graph!$D$36-$Y672)^2)+((Graph!$E$36-$Z672)^2))+(Graph!$D$41^2),3/2))</f>
        <v>-63.146312199130065</v>
      </c>
      <c r="T672">
        <f>Graph!$D$40*((Graph!$E$36-Z672)/POWER((((Graph!$D$36-$Y672)^2)+((Graph!$E$36-$Z672)^2))+(Graph!$D$41^2),3/2))</f>
        <v>-95.477845467021567</v>
      </c>
      <c r="U672">
        <f>O672+Q672+S672</f>
        <v>-302.28882418544168</v>
      </c>
      <c r="V672">
        <f>P672+R672+T672</f>
        <v>-400.10754262663602</v>
      </c>
      <c r="W672">
        <f>W671+(U671*Graph!$D$5)</f>
        <v>-2475.0593693063447</v>
      </c>
      <c r="X672">
        <f>X671+(V671*Graph!$D$5)</f>
        <v>-1845.8821454632534</v>
      </c>
      <c r="Y672">
        <f>Y671+(W671*Graph!$D$5)+(U671*Graph!$D$5^2)</f>
        <v>37155.008692390053</v>
      </c>
      <c r="Z672">
        <f>Z671+(X671*Graph!$D$5)+(V671*Graph!$D$5^2)</f>
        <v>41178.73878479212</v>
      </c>
    </row>
    <row r="673" spans="14:26" x14ac:dyDescent="0.35">
      <c r="N673">
        <f>N672+1</f>
        <v>670</v>
      </c>
      <c r="O673">
        <f>Graph!$D$22*((Graph!$D$18-Y673)/POWER((((Graph!$D$18-$Y673)^2)+((Graph!$E$18-$Z673)^2))+(Graph!$D$23^2),(3/2)))</f>
        <v>-215.49996875321312</v>
      </c>
      <c r="P673" s="84">
        <f>Graph!$D$22*((Graph!$E$18-Z673)/POWER((((Graph!$D$18-$Y673)^2)+((Graph!$E$18-$Z673)^2))+(Graph!$D$23^2),3/2))</f>
        <v>-311.80293303547307</v>
      </c>
      <c r="Q673">
        <f>Graph!$D$31*((Graph!$D$27-Y673)/POWER((((Graph!$D$27-$Y673)^2)+((Graph!$E$27-$Z673)^2))+(Graph!$D$32^2),3/2))</f>
        <v>-39.056269529362361</v>
      </c>
      <c r="R673">
        <f>Graph!$D$31*((Graph!$E$27-Z673)/POWER((((Graph!$D$27-$Y673)^2)+((Graph!$E$27-$Z673)^2))+(Graph!$D$32^2),3/2))</f>
        <v>-21.091183677597044</v>
      </c>
      <c r="S673">
        <f>Graph!$D$40*((Graph!$D$36-Y673)/POWER((((Graph!$D$36-$Y673)^2)+((Graph!$E$36-$Z673)^2))+(Graph!$D$41^2),3/2))</f>
        <v>-65.371151700173854</v>
      </c>
      <c r="T673">
        <f>Graph!$D$40*((Graph!$E$36-Z673)/POWER((((Graph!$D$36-$Y673)^2)+((Graph!$E$36-$Z673)^2))+(Graph!$D$41^2),3/2))</f>
        <v>-100.59722217855905</v>
      </c>
      <c r="U673">
        <f>O673+Q673+S673</f>
        <v>-319.92738998274933</v>
      </c>
      <c r="V673">
        <f>P673+R673+T673</f>
        <v>-433.49133889162914</v>
      </c>
      <c r="W673">
        <f>W672+(U672*Graph!$D$5)</f>
        <v>-2626.2037813990655</v>
      </c>
      <c r="X673">
        <f>X672+(V672*Graph!$D$5)</f>
        <v>-2045.9359167765715</v>
      </c>
      <c r="Y673">
        <f>Y672+(W672*Graph!$D$5)+(U672*Graph!$D$5^2)</f>
        <v>35841.906801690522</v>
      </c>
      <c r="Z673">
        <f>Z672+(X672*Graph!$D$5)+(V672*Graph!$D$5^2)</f>
        <v>40155.77082640383</v>
      </c>
    </row>
    <row r="674" spans="14:26" x14ac:dyDescent="0.35">
      <c r="N674">
        <f>N673+1</f>
        <v>671</v>
      </c>
      <c r="O674">
        <f>Graph!$D$22*((Graph!$D$18-Y674)/POWER((((Graph!$D$18-$Y674)^2)+((Graph!$E$18-$Z674)^2))+(Graph!$D$23^2),(3/2)))</f>
        <v>-231.62488318669944</v>
      </c>
      <c r="P674" s="84">
        <f>Graph!$D$22*((Graph!$E$18-Z674)/POWER((((Graph!$D$18-$Y674)^2)+((Graph!$E$18-$Z674)^2))+(Graph!$D$23^2),3/2))</f>
        <v>-345.66514354487282</v>
      </c>
      <c r="Q674">
        <f>Graph!$D$31*((Graph!$D$27-Y674)/POWER((((Graph!$D$27-$Y674)^2)+((Graph!$E$27-$Z674)^2))+(Graph!$D$32^2),3/2))</f>
        <v>-41.428426436186648</v>
      </c>
      <c r="R674">
        <f>Graph!$D$31*((Graph!$E$27-Z674)/POWER((((Graph!$D$27-$Y674)^2)+((Graph!$E$27-$Z674)^2))+(Graph!$D$32^2),3/2))</f>
        <v>-22.083791656695567</v>
      </c>
      <c r="S674">
        <f>Graph!$D$40*((Graph!$D$36-Y674)/POWER((((Graph!$D$36-$Y674)^2)+((Graph!$E$36-$Z674)^2))+(Graph!$D$41^2),3/2))</f>
        <v>-67.950253431304944</v>
      </c>
      <c r="T674">
        <f>Graph!$D$40*((Graph!$E$36-Z674)/POWER((((Graph!$D$36-$Y674)^2)+((Graph!$E$36-$Z674)^2))+(Graph!$D$41^2),3/2))</f>
        <v>-106.56310973172522</v>
      </c>
      <c r="U674">
        <f>O674+Q674+S674</f>
        <v>-341.00356305419103</v>
      </c>
      <c r="V674">
        <f>P674+R674+T674</f>
        <v>-474.31204493329358</v>
      </c>
      <c r="W674">
        <f>W673+(U673*Graph!$D$5)</f>
        <v>-2786.1674763904402</v>
      </c>
      <c r="X674">
        <f>X673+(V673*Graph!$D$5)</f>
        <v>-2262.6815862223862</v>
      </c>
      <c r="Y674">
        <f>Y673+(W673*Graph!$D$5)+(U673*Graph!$D$5^2)</f>
        <v>34448.823063495307</v>
      </c>
      <c r="Z674">
        <f>Z673+(X673*Graph!$D$5)+(V673*Graph!$D$5^2)</f>
        <v>39024.430033292643</v>
      </c>
    </row>
    <row r="675" spans="14:26" x14ac:dyDescent="0.35">
      <c r="N675">
        <f>N674+1</f>
        <v>672</v>
      </c>
      <c r="O675">
        <f>Graph!$D$22*((Graph!$D$18-Y675)/POWER((((Graph!$D$18-$Y675)^2)+((Graph!$E$18-$Z675)^2))+(Graph!$D$23^2),(3/2)))</f>
        <v>-251.24805362608834</v>
      </c>
      <c r="P675" s="84">
        <f>Graph!$D$22*((Graph!$E$18-Z675)/POWER((((Graph!$D$18-$Y675)^2)+((Graph!$E$18-$Z675)^2))+(Graph!$D$23^2),3/2))</f>
        <v>-388.31954468627242</v>
      </c>
      <c r="Q675">
        <f>Graph!$D$31*((Graph!$D$27-Y675)/POWER((((Graph!$D$27-$Y675)^2)+((Graph!$E$27-$Z675)^2))+(Graph!$D$32^2),3/2))</f>
        <v>-44.235140753821661</v>
      </c>
      <c r="R675">
        <f>Graph!$D$31*((Graph!$E$27-Z675)/POWER((((Graph!$D$27-$Y675)^2)+((Graph!$E$27-$Z675)^2))+(Graph!$D$32^2),3/2))</f>
        <v>-23.194224744585753</v>
      </c>
      <c r="S675">
        <f>Graph!$D$40*((Graph!$D$36-Y675)/POWER((((Graph!$D$36-$Y675)^2)+((Graph!$E$36-$Z675)^2))+(Graph!$D$41^2),3/2))</f>
        <v>-70.956895205851552</v>
      </c>
      <c r="T675">
        <f>Graph!$D$40*((Graph!$E$36-Z675)/POWER((((Graph!$D$36-$Y675)^2)+((Graph!$E$36-$Z675)^2))+(Graph!$D$41^2),3/2))</f>
        <v>-113.57779761885251</v>
      </c>
      <c r="U675">
        <f>O675+Q675+S675</f>
        <v>-366.44008958576154</v>
      </c>
      <c r="V675">
        <f>P675+R675+T675</f>
        <v>-525.09156704971065</v>
      </c>
      <c r="W675">
        <f>W674+(U674*Graph!$D$5)</f>
        <v>-2956.6692579175356</v>
      </c>
      <c r="X675">
        <f>X674+(V674*Graph!$D$5)</f>
        <v>-2499.837608689033</v>
      </c>
      <c r="Y675">
        <f>Y674+(W674*Graph!$D$5)+(U674*Graph!$D$5^2)</f>
        <v>32970.488434536535</v>
      </c>
      <c r="Z675">
        <f>Z674+(X674*Graph!$D$5)+(V674*Graph!$D$5^2)</f>
        <v>37774.511228948126</v>
      </c>
    </row>
    <row r="676" spans="14:26" x14ac:dyDescent="0.35">
      <c r="N676">
        <f>N675+1</f>
        <v>673</v>
      </c>
      <c r="O676">
        <f>Graph!$D$22*((Graph!$D$18-Y676)/POWER((((Graph!$D$18-$Y676)^2)+((Graph!$E$18-$Z676)^2))+(Graph!$D$23^2),(3/2)))</f>
        <v>-275.43501460937381</v>
      </c>
      <c r="P676" s="84">
        <f>Graph!$D$22*((Graph!$E$18-Z676)/POWER((((Graph!$D$18-$Y676)^2)+((Graph!$E$18-$Z676)^2))+(Graph!$D$23^2),3/2))</f>
        <v>-443.25629974372953</v>
      </c>
      <c r="Q676">
        <f>Graph!$D$31*((Graph!$D$27-Y676)/POWER((((Graph!$D$27-$Y676)^2)+((Graph!$E$27-$Z676)^2))+(Graph!$D$32^2),3/2))</f>
        <v>-47.590849985901279</v>
      </c>
      <c r="R676">
        <f>Graph!$D$31*((Graph!$E$27-Z676)/POWER((((Graph!$D$27-$Y676)^2)+((Graph!$E$27-$Z676)^2))+(Graph!$D$32^2),3/2))</f>
        <v>-24.437105486973511</v>
      </c>
      <c r="S676">
        <f>Graph!$D$40*((Graph!$D$36-Y676)/POWER((((Graph!$D$36-$Y676)^2)+((Graph!$E$36-$Z676)^2))+(Graph!$D$41^2),3/2))</f>
        <v>-74.488963915916401</v>
      </c>
      <c r="T676">
        <f>Graph!$D$40*((Graph!$E$36-Z676)/POWER((((Graph!$D$36-$Y676)^2)+((Graph!$E$36-$Z676)^2))+(Graph!$D$41^2),3/2))</f>
        <v>-121.9162047203602</v>
      </c>
      <c r="U676">
        <f>O676+Q676+S676</f>
        <v>-397.51482851119147</v>
      </c>
      <c r="V676">
        <f>P676+R676+T676</f>
        <v>-589.60960995106325</v>
      </c>
      <c r="W676">
        <f>W675+(U675*Graph!$D$5)</f>
        <v>-3139.8893027104164</v>
      </c>
      <c r="X676">
        <f>X675+(V675*Graph!$D$5)</f>
        <v>-2762.3833922138883</v>
      </c>
      <c r="Y676">
        <f>Y675+(W675*Graph!$D$5)+(U675*Graph!$D$5^2)</f>
        <v>31400.543783181329</v>
      </c>
      <c r="Z676">
        <f>Z675+(X675*Graph!$D$5)+(V675*Graph!$D$5^2)</f>
        <v>36393.319532841182</v>
      </c>
    </row>
    <row r="677" spans="14:26" x14ac:dyDescent="0.35">
      <c r="N677">
        <f>N676+1</f>
        <v>674</v>
      </c>
      <c r="O677">
        <f>Graph!$D$22*((Graph!$D$18-Y677)/POWER((((Graph!$D$18-$Y677)^2)+((Graph!$E$18-$Z677)^2))+(Graph!$D$23^2),(3/2)))</f>
        <v>-305.6962851713929</v>
      </c>
      <c r="P677" s="84">
        <f>Graph!$D$22*((Graph!$E$18-Z677)/POWER((((Graph!$D$18-$Y677)^2)+((Graph!$E$18-$Z677)^2))+(Graph!$D$23^2),3/2))</f>
        <v>-515.98265302662151</v>
      </c>
      <c r="Q677">
        <f>Graph!$D$31*((Graph!$D$27-Y677)/POWER((((Graph!$D$27-$Y677)^2)+((Graph!$E$27-$Z677)^2))+(Graph!$D$32^2),3/2))</f>
        <v>-51.653826006162099</v>
      </c>
      <c r="R677">
        <f>Graph!$D$31*((Graph!$E$27-Z677)/POWER((((Graph!$D$27-$Y677)^2)+((Graph!$E$27-$Z677)^2))+(Graph!$D$32^2),3/2))</f>
        <v>-25.825994019517406</v>
      </c>
      <c r="S677">
        <f>Graph!$D$40*((Graph!$D$36-Y677)/POWER((((Graph!$D$36-$Y677)^2)+((Graph!$E$36-$Z677)^2))+(Graph!$D$41^2),3/2))</f>
        <v>-78.680656701827743</v>
      </c>
      <c r="T677">
        <f>Graph!$D$40*((Graph!$E$36-Z677)/POWER((((Graph!$D$36-$Y677)^2)+((Graph!$E$36-$Z677)^2))+(Graph!$D$41^2),3/2))</f>
        <v>-131.96193386543953</v>
      </c>
      <c r="U677">
        <f>O677+Q677+S677</f>
        <v>-436.03076787938272</v>
      </c>
      <c r="V677">
        <f>P677+R677+T677</f>
        <v>-673.77058091157846</v>
      </c>
      <c r="W677">
        <f>W676+(U676*Graph!$D$5)</f>
        <v>-3338.6467169660123</v>
      </c>
      <c r="X677">
        <f>X676+(V676*Graph!$D$5)</f>
        <v>-3057.18819718942</v>
      </c>
      <c r="Y677">
        <f>Y676+(W676*Graph!$D$5)+(U676*Graph!$D$5^2)</f>
        <v>29731.220424698324</v>
      </c>
      <c r="Z677">
        <f>Z676+(X676*Graph!$D$5)+(V676*Graph!$D$5^2)</f>
        <v>34864.725434246473</v>
      </c>
    </row>
    <row r="678" spans="14:26" x14ac:dyDescent="0.35">
      <c r="N678">
        <f>N677+1</f>
        <v>675</v>
      </c>
      <c r="O678">
        <f>Graph!$D$22*((Graph!$D$18-Y678)/POWER((((Graph!$D$18-$Y678)^2)+((Graph!$E$18-$Z678)^2))+(Graph!$D$23^2),(3/2)))</f>
        <v>-344.19950424484318</v>
      </c>
      <c r="P678" s="84">
        <f>Graph!$D$22*((Graph!$E$18-Z678)/POWER((((Graph!$D$18-$Y678)^2)+((Graph!$E$18-$Z678)^2))+(Graph!$D$23^2),3/2))</f>
        <v>-615.63923934981278</v>
      </c>
      <c r="Q678">
        <f>Graph!$D$31*((Graph!$D$27-Y678)/POWER((((Graph!$D$27-$Y678)^2)+((Graph!$E$27-$Z678)^2))+(Graph!$D$32^2),3/2))</f>
        <v>-56.648671339002746</v>
      </c>
      <c r="R678">
        <f>Graph!$D$31*((Graph!$E$27-Z678)/POWER((((Graph!$D$27-$Y678)^2)+((Graph!$E$27-$Z678)^2))+(Graph!$D$32^2),3/2))</f>
        <v>-27.368919775937975</v>
      </c>
      <c r="S678">
        <f>Graph!$D$40*((Graph!$D$36-Y678)/POWER((((Graph!$D$36-$Y678)^2)+((Graph!$E$36-$Z678)^2))+(Graph!$D$41^2),3/2))</f>
        <v>-83.722021958424904</v>
      </c>
      <c r="T678">
        <f>Graph!$D$40*((Graph!$E$36-Z678)/POWER((((Graph!$D$36-$Y678)^2)+((Graph!$E$36-$Z678)^2))+(Graph!$D$41^2),3/2))</f>
        <v>-144.26760097086012</v>
      </c>
      <c r="U678">
        <f>O678+Q678+S678</f>
        <v>-484.57019754227088</v>
      </c>
      <c r="V678">
        <f>P678+R678+T678</f>
        <v>-787.27576009661095</v>
      </c>
      <c r="W678">
        <f>W677+(U677*Graph!$D$5)</f>
        <v>-3556.6621009057035</v>
      </c>
      <c r="X678">
        <f>X677+(V677*Graph!$D$5)</f>
        <v>-3394.0734876452093</v>
      </c>
      <c r="Y678">
        <f>Y677+(W677*Graph!$D$5)+(U677*Graph!$D$5^2)</f>
        <v>27952.889374245475</v>
      </c>
      <c r="Z678">
        <f>Z677+(X677*Graph!$D$5)+(V677*Graph!$D$5^2)</f>
        <v>33167.688690423871</v>
      </c>
    </row>
    <row r="679" spans="14:26" x14ac:dyDescent="0.35">
      <c r="N679">
        <f>N678+1</f>
        <v>676</v>
      </c>
      <c r="O679">
        <f>Graph!$D$22*((Graph!$D$18-Y679)/POWER((((Graph!$D$18-$Y679)^2)+((Graph!$E$18-$Z679)^2))+(Graph!$D$23^2),(3/2)))</f>
        <v>-394.03557230806706</v>
      </c>
      <c r="P679" s="84">
        <f>Graph!$D$22*((Graph!$E$18-Z679)/POWER((((Graph!$D$18-$Y679)^2)+((Graph!$E$18-$Z679)^2))+(Graph!$D$23^2),3/2))</f>
        <v>-758.37615584333105</v>
      </c>
      <c r="Q679">
        <f>Graph!$D$31*((Graph!$D$27-Y679)/POWER((((Graph!$D$27-$Y679)^2)+((Graph!$E$27-$Z679)^2))+(Graph!$D$32^2),3/2))</f>
        <v>-62.903749644793642</v>
      </c>
      <c r="R679">
        <f>Graph!$D$31*((Graph!$E$27-Z679)/POWER((((Graph!$D$27-$Y679)^2)+((Graph!$E$27-$Z679)^2))+(Graph!$D$32^2),3/2))</f>
        <v>-29.057646277228912</v>
      </c>
      <c r="S679">
        <f>Graph!$D$40*((Graph!$D$36-Y679)/POWER((((Graph!$D$36-$Y679)^2)+((Graph!$E$36-$Z679)^2))+(Graph!$D$41^2),3/2))</f>
        <v>-89.893620869327989</v>
      </c>
      <c r="T679">
        <f>Graph!$D$40*((Graph!$E$36-Z679)/POWER((((Graph!$D$36-$Y679)^2)+((Graph!$E$36-$Z679)^2))+(Graph!$D$41^2),3/2))</f>
        <v>-159.66130646677209</v>
      </c>
      <c r="U679">
        <f>O679+Q679+S679</f>
        <v>-546.83294282218867</v>
      </c>
      <c r="V679">
        <f>P679+R679+T679</f>
        <v>-947.09510858733199</v>
      </c>
      <c r="W679">
        <f>W678+(U678*Graph!$D$5)</f>
        <v>-3798.9471996768389</v>
      </c>
      <c r="X679">
        <f>X678+(V678*Graph!$D$5)</f>
        <v>-3787.7113676935146</v>
      </c>
      <c r="Y679">
        <f>Y678+(W678*Graph!$D$5)+(U678*Graph!$D$5^2)</f>
        <v>26053.415774407054</v>
      </c>
      <c r="Z679">
        <f>Z678+(X678*Graph!$D$5)+(V678*Graph!$D$5^2)</f>
        <v>31273.833006577112</v>
      </c>
    </row>
    <row r="680" spans="14:26" x14ac:dyDescent="0.35">
      <c r="N680">
        <f>N679+1</f>
        <v>677</v>
      </c>
      <c r="O680">
        <f>Graph!$D$22*((Graph!$D$18-Y680)/POWER((((Graph!$D$18-$Y680)^2)+((Graph!$E$18-$Z680)^2))+(Graph!$D$23^2),(3/2)))</f>
        <v>-459.29667852262276</v>
      </c>
      <c r="P680" s="84">
        <f>Graph!$D$22*((Graph!$E$18-Z680)/POWER((((Graph!$D$18-$Y680)^2)+((Graph!$E$18-$Z680)^2))+(Graph!$D$23^2),3/2))</f>
        <v>-975.06728386793668</v>
      </c>
      <c r="Q680">
        <f>Graph!$D$31*((Graph!$D$27-Y680)/POWER((((Graph!$D$27-$Y680)^2)+((Graph!$E$27-$Z680)^2))+(Graph!$D$32^2),3/2))</f>
        <v>-70.915833650721524</v>
      </c>
      <c r="R680">
        <f>Graph!$D$31*((Graph!$E$27-Z680)/POWER((((Graph!$D$27-$Y680)^2)+((Graph!$E$27-$Z680)^2))+(Graph!$D$32^2),3/2))</f>
        <v>-30.841470867207509</v>
      </c>
      <c r="S680">
        <f>Graph!$D$40*((Graph!$D$36-Y680)/POWER((((Graph!$D$36-$Y680)^2)+((Graph!$E$36-$Z680)^2))+(Graph!$D$41^2),3/2))</f>
        <v>-97.632948194672878</v>
      </c>
      <c r="T680">
        <f>Graph!$D$40*((Graph!$E$36-Z680)/POWER((((Graph!$D$36-$Y680)^2)+((Graph!$E$36-$Z680)^2))+(Graph!$D$41^2),3/2))</f>
        <v>-179.44743828051634</v>
      </c>
      <c r="U680">
        <f>O680+Q680+S680</f>
        <v>-627.84546036801714</v>
      </c>
      <c r="V680">
        <f>P680+R680+T680</f>
        <v>-1185.3561930156604</v>
      </c>
      <c r="W680">
        <f>W679+(U679*Graph!$D$5)</f>
        <v>-4072.3636710879332</v>
      </c>
      <c r="X680">
        <f>X679+(V679*Graph!$D$5)</f>
        <v>-4261.2589219871807</v>
      </c>
      <c r="Y680">
        <f>Y679+(W679*Graph!$D$5)+(U679*Graph!$D$5^2)</f>
        <v>24017.233938863086</v>
      </c>
      <c r="Z680">
        <f>Z679+(X679*Graph!$D$5)+(V679*Graph!$D$5^2)</f>
        <v>29143.203545583521</v>
      </c>
    </row>
    <row r="681" spans="14:26" x14ac:dyDescent="0.35">
      <c r="N681">
        <f>N680+1</f>
        <v>678</v>
      </c>
      <c r="O681">
        <f>Graph!$D$22*((Graph!$D$18-Y681)/POWER((((Graph!$D$18-$Y681)^2)+((Graph!$E$18-$Z681)^2))+(Graph!$D$23^2),(3/2)))</f>
        <v>-543.3521489373984</v>
      </c>
      <c r="P681" s="84">
        <f>Graph!$D$22*((Graph!$E$18-Z681)/POWER((((Graph!$D$18-$Y681)^2)+((Graph!$E$18-$Z681)^2))+(Graph!$D$23^2),3/2))</f>
        <v>-1330.9908349043287</v>
      </c>
      <c r="Q681">
        <f>Graph!$D$31*((Graph!$D$27-Y681)/POWER((((Graph!$D$27-$Y681)^2)+((Graph!$E$27-$Z681)^2))+(Graph!$D$32^2),3/2))</f>
        <v>-81.465706158905974</v>
      </c>
      <c r="R681">
        <f>Graph!$D$31*((Graph!$E$27-Z681)/POWER((((Graph!$D$27-$Y681)^2)+((Graph!$E$27-$Z681)^2))+(Graph!$D$32^2),3/2))</f>
        <v>-32.560179253548654</v>
      </c>
      <c r="S681">
        <f>Graph!$D$40*((Graph!$D$36-Y681)/POWER((((Graph!$D$36-$Y681)^2)+((Graph!$E$36-$Z681)^2))+(Graph!$D$41^2),3/2))</f>
        <v>-107.67538555449937</v>
      </c>
      <c r="T681">
        <f>Graph!$D$40*((Graph!$E$36-Z681)/POWER((((Graph!$D$36-$Y681)^2)+((Graph!$E$36-$Z681)^2))+(Graph!$D$41^2),3/2))</f>
        <v>-205.81896149981316</v>
      </c>
      <c r="U681">
        <f>O681+Q681+S681</f>
        <v>-732.49324065080373</v>
      </c>
      <c r="V681">
        <f>P681+R681+T681</f>
        <v>-1569.3699756576907</v>
      </c>
      <c r="W681">
        <f>W680+(U680*Graph!$D$5)</f>
        <v>-4386.2864012719419</v>
      </c>
      <c r="X681">
        <f>X680+(V680*Graph!$D$5)</f>
        <v>-4853.9370184950112</v>
      </c>
      <c r="Y681">
        <f>Y680+(W680*Graph!$D$5)+(U680*Graph!$D$5^2)</f>
        <v>21824.090738227114</v>
      </c>
      <c r="Z681">
        <f>Z680+(X680*Graph!$D$5)+(V680*Graph!$D$5^2)</f>
        <v>26716.235036336016</v>
      </c>
    </row>
    <row r="682" spans="14:26" x14ac:dyDescent="0.35">
      <c r="N682">
        <f>N681+1</f>
        <v>679</v>
      </c>
      <c r="O682">
        <f>Graph!$D$22*((Graph!$D$18-Y682)/POWER((((Graph!$D$18-$Y682)^2)+((Graph!$E$18-$Z682)^2))+(Graph!$D$23^2),(3/2)))</f>
        <v>-634.64908863673566</v>
      </c>
      <c r="P682" s="84">
        <f>Graph!$D$22*((Graph!$E$18-Z682)/POWER((((Graph!$D$18-$Y682)^2)+((Graph!$E$18-$Z682)^2))+(Graph!$D$23^2),3/2))</f>
        <v>-1982.9178765922304</v>
      </c>
      <c r="Q682">
        <f>Graph!$D$31*((Graph!$D$27-Y682)/POWER((((Graph!$D$27-$Y682)^2)+((Graph!$E$27-$Z682)^2))+(Graph!$D$32^2),3/2))</f>
        <v>-95.827432635825147</v>
      </c>
      <c r="R682">
        <f>Graph!$D$31*((Graph!$E$27-Z682)/POWER((((Graph!$D$27-$Y682)^2)+((Graph!$E$27-$Z682)^2))+(Graph!$D$32^2),3/2))</f>
        <v>-33.758681947995029</v>
      </c>
      <c r="S682">
        <f>Graph!$D$40*((Graph!$D$36-Y682)/POWER((((Graph!$D$36-$Y682)^2)+((Graph!$E$36-$Z682)^2))+(Graph!$D$41^2),3/2))</f>
        <v>-121.39820805826754</v>
      </c>
      <c r="T682">
        <f>Graph!$D$40*((Graph!$E$36-Z682)/POWER((((Graph!$D$36-$Y682)^2)+((Graph!$E$36-$Z682)^2))+(Graph!$D$41^2),3/2))</f>
        <v>-242.80437859707456</v>
      </c>
      <c r="U682">
        <f>O682+Q682+S682</f>
        <v>-851.87472933082836</v>
      </c>
      <c r="V682">
        <f>P682+R682+T682</f>
        <v>-2259.4809371372999</v>
      </c>
      <c r="W682">
        <f>W681+(U681*Graph!$D$5)</f>
        <v>-4752.5330215973436</v>
      </c>
      <c r="X682">
        <f>X681+(V681*Graph!$D$5)</f>
        <v>-5638.6220063238561</v>
      </c>
      <c r="Y682">
        <f>Y681+(W681*Graph!$D$5)+(U681*Graph!$D$5^2)</f>
        <v>19447.824227428442</v>
      </c>
      <c r="Z682">
        <f>Z681+(X681*Graph!$D$5)+(V681*Graph!$D$5^2)</f>
        <v>23896.924033174088</v>
      </c>
    </row>
    <row r="683" spans="14:26" x14ac:dyDescent="0.35">
      <c r="N683">
        <f>N682+1</f>
        <v>680</v>
      </c>
      <c r="O683">
        <f>Graph!$D$22*((Graph!$D$18-Y683)/POWER((((Graph!$D$18-$Y683)^2)+((Graph!$E$18-$Z683)^2))+(Graph!$D$23^2),(3/2)))</f>
        <v>-594.00554015366549</v>
      </c>
      <c r="P683" s="84">
        <f>Graph!$D$22*((Graph!$E$18-Z683)/POWER((((Graph!$D$18-$Y683)^2)+((Graph!$E$18-$Z683)^2))+(Graph!$D$23^2),3/2))</f>
        <v>-3359.8753396469101</v>
      </c>
      <c r="Q683">
        <f>Graph!$D$31*((Graph!$D$27-Y683)/POWER((((Graph!$D$27-$Y683)^2)+((Graph!$E$27-$Z683)^2))+(Graph!$D$32^2),3/2))</f>
        <v>-116.10653033415529</v>
      </c>
      <c r="R683">
        <f>Graph!$D$31*((Graph!$E$27-Z683)/POWER((((Graph!$D$27-$Y683)^2)+((Graph!$E$27-$Z683)^2))+(Graph!$D$32^2),3/2))</f>
        <v>-33.115703077282063</v>
      </c>
      <c r="S683">
        <f>Graph!$D$40*((Graph!$D$36-Y683)/POWER((((Graph!$D$36-$Y683)^2)+((Graph!$E$36-$Z683)^2))+(Graph!$D$41^2),3/2))</f>
        <v>-141.84634078418017</v>
      </c>
      <c r="T683">
        <f>Graph!$D$40*((Graph!$E$36-Z683)/POWER((((Graph!$D$36-$Y683)^2)+((Graph!$E$36-$Z683)^2))+(Graph!$D$41^2),3/2))</f>
        <v>-298.80036855609768</v>
      </c>
      <c r="U683">
        <f>O683+Q683+S683</f>
        <v>-851.95841127200094</v>
      </c>
      <c r="V683">
        <f>P683+R683+T683</f>
        <v>-3691.7914112802896</v>
      </c>
      <c r="W683">
        <f>W682+(U682*Graph!$D$5)</f>
        <v>-5178.4703862627575</v>
      </c>
      <c r="X683">
        <f>X682+(V682*Graph!$D$5)</f>
        <v>-6768.3624748925058</v>
      </c>
      <c r="Y683">
        <f>Y682+(W682*Graph!$D$5)+(U682*Graph!$D$5^2)</f>
        <v>16858.589034297063</v>
      </c>
      <c r="Z683">
        <f>Z682+(X682*Graph!$D$5)+(V682*Graph!$D$5^2)</f>
        <v>20512.742795727834</v>
      </c>
    </row>
    <row r="684" spans="14:26" x14ac:dyDescent="0.35">
      <c r="N684">
        <f>N683+1</f>
        <v>681</v>
      </c>
      <c r="O684">
        <f>Graph!$D$22*((Graph!$D$18-Y684)/POWER((((Graph!$D$18-$Y684)^2)+((Graph!$E$18-$Z684)^2))+(Graph!$D$23^2),(3/2)))</f>
        <v>956.03392392078104</v>
      </c>
      <c r="P684" s="84">
        <f>Graph!$D$22*((Graph!$E$18-Z684)/POWER((((Graph!$D$18-$Y684)^2)+((Graph!$E$18-$Z684)^2))+(Graph!$D$23^2),3/2))</f>
        <v>-6287.1475014687721</v>
      </c>
      <c r="Q684">
        <f>Graph!$D$31*((Graph!$D$27-Y684)/POWER((((Graph!$D$27-$Y684)^2)+((Graph!$E$27-$Z684)^2))+(Graph!$D$32^2),3/2))</f>
        <v>-145.20861894993351</v>
      </c>
      <c r="R684">
        <f>Graph!$D$31*((Graph!$E$27-Z684)/POWER((((Graph!$D$27-$Y684)^2)+((Graph!$E$27-$Z684)^2))+(Graph!$D$32^2),3/2))</f>
        <v>-26.459330467583825</v>
      </c>
      <c r="S684">
        <f>Graph!$D$40*((Graph!$D$36-Y684)/POWER((((Graph!$D$36-$Y684)^2)+((Graph!$E$36-$Z684)^2))+(Graph!$D$41^2),3/2))</f>
        <v>-177.85759949962642</v>
      </c>
      <c r="T684">
        <f>Graph!$D$40*((Graph!$E$36-Z684)/POWER((((Graph!$D$36-$Y684)^2)+((Graph!$E$36-$Z684)^2))+(Graph!$D$41^2),3/2))</f>
        <v>-394.85000889664224</v>
      </c>
      <c r="U684">
        <f>O684+Q684+S684</f>
        <v>632.96770547122117</v>
      </c>
      <c r="V684">
        <f>P684+R684+T684</f>
        <v>-6708.4568408329978</v>
      </c>
      <c r="W684">
        <f>W683+(U683*Graph!$D$5)</f>
        <v>-5604.4495918987577</v>
      </c>
      <c r="X684">
        <f>X683+(V683*Graph!$D$5)</f>
        <v>-8614.2581805326499</v>
      </c>
      <c r="Y684">
        <f>Y683+(W683*Graph!$D$5)+(U683*Graph!$D$5^2)</f>
        <v>14056.364238347684</v>
      </c>
      <c r="Z684">
        <f>Z683+(X683*Graph!$D$5)+(V683*Graph!$D$5^2)</f>
        <v>16205.613705461508</v>
      </c>
    </row>
    <row r="685" spans="14:26" x14ac:dyDescent="0.35">
      <c r="N685">
        <f>N684+1</f>
        <v>682</v>
      </c>
      <c r="O685">
        <f>Graph!$D$22*((Graph!$D$18-Y685)/POWER((((Graph!$D$18-$Y685)^2)+((Graph!$E$18-$Z685)^2))+(Graph!$D$23^2),(3/2)))</f>
        <v>8044.5580281402381</v>
      </c>
      <c r="P685" s="84">
        <f>Graph!$D$22*((Graph!$E$18-Z685)/POWER((((Graph!$D$18-$Y685)^2)+((Graph!$E$18-$Z685)^2))+(Graph!$D$23^2),3/2))</f>
        <v>-496.38137485583695</v>
      </c>
      <c r="Q685">
        <f>Graph!$D$31*((Graph!$D$27-Y685)/POWER((((Graph!$D$27-$Y685)^2)+((Graph!$E$27-$Z685)^2))+(Graph!$D$32^2),3/2))</f>
        <v>-178.65757498386759</v>
      </c>
      <c r="R685">
        <f>Graph!$D$31*((Graph!$E$27-Z685)/POWER((((Graph!$D$27-$Y685)^2)+((Graph!$E$27-$Z685)^2))+(Graph!$D$32^2),3/2))</f>
        <v>-1.2590417537553216</v>
      </c>
      <c r="S685">
        <f>Graph!$D$40*((Graph!$D$36-Y685)/POWER((((Graph!$D$36-$Y685)^2)+((Graph!$E$36-$Z685)^2))+(Graph!$D$41^2),3/2))</f>
        <v>-268.41932389139185</v>
      </c>
      <c r="T685">
        <f>Graph!$D$40*((Graph!$E$36-Z685)/POWER((((Graph!$D$36-$Y685)^2)+((Graph!$E$36-$Z685)^2))+(Graph!$D$41^2),3/2))</f>
        <v>-593.20688408197714</v>
      </c>
      <c r="U685">
        <f>O685+Q685+S685</f>
        <v>7597.4811292649783</v>
      </c>
      <c r="V685">
        <f>P685+R685+T685</f>
        <v>-1090.8473006915694</v>
      </c>
      <c r="W685">
        <f>W684+(U684*Graph!$D$5)</f>
        <v>-5287.9657391631472</v>
      </c>
      <c r="X685">
        <f>X684+(V684*Graph!$D$5)</f>
        <v>-11968.486600949149</v>
      </c>
      <c r="Y685">
        <f>Y684+(W684*Graph!$D$5)+(U684*Graph!$D$5^2)</f>
        <v>11412.38136876611</v>
      </c>
      <c r="Z685">
        <f>Z684+(X684*Graph!$D$5)+(V684*Graph!$D$5^2)</f>
        <v>10221.370404986934</v>
      </c>
    </row>
    <row r="686" spans="14:26" x14ac:dyDescent="0.35">
      <c r="N686">
        <f>N685+1</f>
        <v>683</v>
      </c>
      <c r="O686">
        <f>Graph!$D$22*((Graph!$D$18-Y686)/POWER((((Graph!$D$18-$Y686)^2)+((Graph!$E$18-$Z686)^2))+(Graph!$D$23^2),(3/2)))</f>
        <v>3158.4720955148759</v>
      </c>
      <c r="P686" s="84">
        <f>Graph!$D$22*((Graph!$E$18-Z686)/POWER((((Graph!$D$18-$Y686)^2)+((Graph!$E$18-$Z686)^2))+(Graph!$D$23^2),3/2))</f>
        <v>4400.3251347526548</v>
      </c>
      <c r="Q686">
        <f>Graph!$D$31*((Graph!$D$27-Y686)/POWER((((Graph!$D$27-$Y686)^2)+((Graph!$E$27-$Z686)^2))+(Graph!$D$32^2),3/2))</f>
        <v>-177.03336836567223</v>
      </c>
      <c r="R686">
        <f>Graph!$D$31*((Graph!$E$27-Z686)/POWER((((Graph!$D$27-$Y686)^2)+((Graph!$E$27-$Z686)^2))+(Graph!$D$32^2),3/2))</f>
        <v>34.841135681166769</v>
      </c>
      <c r="S686">
        <f>Graph!$D$40*((Graph!$D$36-Y686)/POWER((((Graph!$D$36-$Y686)^2)+((Graph!$E$36-$Z686)^2))+(Graph!$D$41^2),3/2))</f>
        <v>-501.92563200660908</v>
      </c>
      <c r="T686">
        <f>Graph!$D$40*((Graph!$E$36-Z686)/POWER((((Graph!$D$36-$Y686)^2)+((Graph!$E$36-$Z686)^2))+(Graph!$D$41^2),3/2))</f>
        <v>-892.28838004296608</v>
      </c>
      <c r="U686">
        <f>O686+Q686+S686</f>
        <v>2479.5130951425945</v>
      </c>
      <c r="V686">
        <f>P686+R686+T686</f>
        <v>3542.8778903908551</v>
      </c>
      <c r="W686">
        <f>W685+(U685*Graph!$D$5)</f>
        <v>-1489.225174530658</v>
      </c>
      <c r="X686">
        <f>X685+(V685*Graph!$D$5)</f>
        <v>-12513.910251294934</v>
      </c>
      <c r="Y686">
        <f>Y685+(W685*Graph!$D$5)+(U685*Graph!$D$5^2)</f>
        <v>10667.768781500779</v>
      </c>
      <c r="Z686">
        <f>Z685+(X685*Graph!$D$5)+(V685*Graph!$D$5^2)</f>
        <v>3964.4152793394669</v>
      </c>
    </row>
    <row r="687" spans="14:26" x14ac:dyDescent="0.35">
      <c r="N687">
        <f>N686+1</f>
        <v>684</v>
      </c>
      <c r="O687">
        <f>Graph!$D$22*((Graph!$D$18-Y687)/POWER((((Graph!$D$18-$Y687)^2)+((Graph!$E$18-$Z687)^2))+(Graph!$D$23^2),(3/2)))</f>
        <v>1008.219131231871</v>
      </c>
      <c r="P687" s="84">
        <f>Graph!$D$22*((Graph!$E$18-Z687)/POWER((((Graph!$D$18-$Y687)^2)+((Graph!$E$18-$Z687)^2))+(Graph!$D$23^2),3/2))</f>
        <v>2580.3597637861735</v>
      </c>
      <c r="Q687">
        <f>Graph!$D$31*((Graph!$D$27-Y687)/POWER((((Graph!$D$27-$Y687)^2)+((Graph!$E$27-$Z687)^2))+(Graph!$D$32^2),3/2))</f>
        <v>-155.57696260534232</v>
      </c>
      <c r="R687">
        <f>Graph!$D$31*((Graph!$E$27-Z687)/POWER((((Graph!$D$27-$Y687)^2)+((Graph!$E$27-$Z687)^2))+(Graph!$D$32^2),3/2))</f>
        <v>58.102886554531722</v>
      </c>
      <c r="S687">
        <f>Graph!$D$40*((Graph!$D$36-Y687)/POWER((((Graph!$D$36-$Y687)^2)+((Graph!$E$36-$Z687)^2))+(Graph!$D$41^2),3/2))</f>
        <v>-960.1709339091891</v>
      </c>
      <c r="T687">
        <f>Graph!$D$40*((Graph!$E$36-Z687)/POWER((((Graph!$D$36-$Y687)^2)+((Graph!$E$36-$Z687)^2))+(Graph!$D$41^2),3/2))</f>
        <v>-1237.9525094182623</v>
      </c>
      <c r="U687">
        <f>O687+Q687+S687</f>
        <v>-107.5287652826604</v>
      </c>
      <c r="V687">
        <f>P687+R687+T687</f>
        <v>1400.510140922443</v>
      </c>
      <c r="W687">
        <f>W686+(U686*Graph!$D$5)</f>
        <v>-249.46862695936079</v>
      </c>
      <c r="X687">
        <f>X686+(V686*Graph!$D$5)</f>
        <v>-10742.471306099505</v>
      </c>
      <c r="Y687">
        <f>Y686+(W686*Graph!$D$5)+(U686*Graph!$D$5^2)</f>
        <v>10543.0344680211</v>
      </c>
      <c r="Z687">
        <f>Z686+(X686*Graph!$D$5)+(V686*Graph!$D$5^2)</f>
        <v>-1406.8203737102863</v>
      </c>
    </row>
    <row r="688" spans="14:26" x14ac:dyDescent="0.35">
      <c r="N688">
        <f>N687+1</f>
        <v>685</v>
      </c>
      <c r="O688">
        <f>Graph!$D$22*((Graph!$D$18-Y688)/POWER((((Graph!$D$18-$Y688)^2)+((Graph!$E$18-$Z688)^2))+(Graph!$D$23^2),(3/2)))</f>
        <v>429.33521395208442</v>
      </c>
      <c r="P688" s="84">
        <f>Graph!$D$22*((Graph!$E$18-Z688)/POWER((((Graph!$D$18-$Y688)^2)+((Graph!$E$18-$Z688)^2))+(Graph!$D$23^2),3/2))</f>
        <v>1530.4247895366645</v>
      </c>
      <c r="Q688">
        <f>Graph!$D$31*((Graph!$D$27-Y688)/POWER((((Graph!$D$27-$Y688)^2)+((Graph!$E$27-$Z688)^2))+(Graph!$D$32^2),3/2))</f>
        <v>-130.36158452500996</v>
      </c>
      <c r="R688">
        <f>Graph!$D$31*((Graph!$E$27-Z688)/POWER((((Graph!$D$27-$Y688)^2)+((Graph!$E$27-$Z688)^2))+(Graph!$D$32^2),3/2))</f>
        <v>70.466300427674355</v>
      </c>
      <c r="S688">
        <f>Graph!$D$40*((Graph!$D$36-Y688)/POWER((((Graph!$D$36-$Y688)^2)+((Graph!$E$36-$Z688)^2))+(Graph!$D$41^2),3/2))</f>
        <v>-1834.0590423179335</v>
      </c>
      <c r="T688">
        <f>Graph!$D$40*((Graph!$E$36-Z688)/POWER((((Graph!$D$36-$Y688)^2)+((Graph!$E$36-$Z688)^2))+(Graph!$D$41^2),3/2))</f>
        <v>-1512.9489851290268</v>
      </c>
      <c r="U688">
        <f>O688+Q688+S688</f>
        <v>-1535.0854128908591</v>
      </c>
      <c r="V688">
        <f>P688+R688+T688</f>
        <v>87.942104835311966</v>
      </c>
      <c r="W688">
        <f>W687+(U687*Graph!$D$5)</f>
        <v>-303.23300960069099</v>
      </c>
      <c r="X688">
        <f>X687+(V687*Graph!$D$5)</f>
        <v>-10042.216235638283</v>
      </c>
      <c r="Y688">
        <f>Y687+(W687*Graph!$D$5)+(U687*Graph!$D$5^2)</f>
        <v>10391.417963220754</v>
      </c>
      <c r="Z688">
        <f>Z687+(X687*Graph!$D$5)+(V687*Graph!$D$5^2)</f>
        <v>-6427.9284915294284</v>
      </c>
    </row>
    <row r="689" spans="14:26" x14ac:dyDescent="0.35">
      <c r="N689">
        <f>N688+1</f>
        <v>686</v>
      </c>
      <c r="O689">
        <f>Graph!$D$22*((Graph!$D$18-Y689)/POWER((((Graph!$D$18-$Y689)^2)+((Graph!$E$18-$Z689)^2))+(Graph!$D$23^2),(3/2)))</f>
        <v>233.45473607924214</v>
      </c>
      <c r="P689" s="84">
        <f>Graph!$D$22*((Graph!$E$18-Z689)/POWER((((Graph!$D$18-$Y689)^2)+((Graph!$E$18-$Z689)^2))+(Graph!$D$23^2),3/2))</f>
        <v>972.44864528179244</v>
      </c>
      <c r="Q689">
        <f>Graph!$D$31*((Graph!$D$27-Y689)/POWER((((Graph!$D$27-$Y689)^2)+((Graph!$E$27-$Z689)^2))+(Graph!$D$32^2),3/2))</f>
        <v>-106.58596303058191</v>
      </c>
      <c r="R689">
        <f>Graph!$D$31*((Graph!$E$27-Z689)/POWER((((Graph!$D$27-$Y689)^2)+((Graph!$E$27-$Z689)^2))+(Graph!$D$32^2),3/2))</f>
        <v>76.494526115993139</v>
      </c>
      <c r="S689">
        <f>Graph!$D$40*((Graph!$D$36-Y689)/POWER((((Graph!$D$36-$Y689)^2)+((Graph!$E$36-$Z689)^2))+(Graph!$D$41^2),3/2))</f>
        <v>-3293.4228913402885</v>
      </c>
      <c r="T689">
        <f>Graph!$D$40*((Graph!$E$36-Z689)/POWER((((Graph!$D$36-$Y689)^2)+((Graph!$E$36-$Z689)^2))+(Graph!$D$41^2),3/2))</f>
        <v>-1193.9119124820322</v>
      </c>
      <c r="U689">
        <f>O689+Q689+S689</f>
        <v>-3166.5541182916281</v>
      </c>
      <c r="V689">
        <f>P689+R689+T689</f>
        <v>-144.96874108424663</v>
      </c>
      <c r="W689">
        <f>W688+(U688*Graph!$D$5)</f>
        <v>-1070.7757160461206</v>
      </c>
      <c r="X689">
        <f>X688+(V688*Graph!$D$5)</f>
        <v>-9998.245183220628</v>
      </c>
      <c r="Y689">
        <f>Y688+(W688*Graph!$D$5)+(U688*Graph!$D$5^2)</f>
        <v>9856.030105197693</v>
      </c>
      <c r="Z689">
        <f>Z688+(X688*Graph!$D$5)+(V688*Graph!$D$5^2)</f>
        <v>-11427.051083139742</v>
      </c>
    </row>
    <row r="690" spans="14:26" x14ac:dyDescent="0.35">
      <c r="N690">
        <f>N689+1</f>
        <v>687</v>
      </c>
      <c r="O690">
        <f>Graph!$D$22*((Graph!$D$18-Y690)/POWER((((Graph!$D$18-$Y690)^2)+((Graph!$E$18-$Z690)^2))+(Graph!$D$23^2),(3/2)))</f>
        <v>159.46433485123987</v>
      </c>
      <c r="P690" s="84">
        <f>Graph!$D$22*((Graph!$E$18-Z690)/POWER((((Graph!$D$18-$Y690)^2)+((Graph!$E$18-$Z690)^2))+(Graph!$D$23^2),3/2))</f>
        <v>652.11156976761936</v>
      </c>
      <c r="Q690">
        <f>Graph!$D$31*((Graph!$D$27-Y690)/POWER((((Graph!$D$27-$Y690)^2)+((Graph!$E$27-$Z690)^2))+(Graph!$D$32^2),3/2))</f>
        <v>-85.915406191333858</v>
      </c>
      <c r="R690">
        <f>Graph!$D$31*((Graph!$E$27-Z690)/POWER((((Graph!$D$27-$Y690)^2)+((Graph!$E$27-$Z690)^2))+(Graph!$D$32^2),3/2))</f>
        <v>79.691854294056384</v>
      </c>
      <c r="S690">
        <f>Graph!$D$40*((Graph!$D$36-Y690)/POWER((((Graph!$D$36-$Y690)^2)+((Graph!$E$36-$Z690)^2))+(Graph!$D$41^2),3/2))</f>
        <v>-4473.6540723845465</v>
      </c>
      <c r="T690">
        <f>Graph!$D$40*((Graph!$E$36-Z690)/POWER((((Graph!$D$36-$Y690)^2)+((Graph!$E$36-$Z690)^2))+(Graph!$D$41^2),3/2))</f>
        <v>767.06997491412244</v>
      </c>
      <c r="U690">
        <f>O690+Q690+S690</f>
        <v>-4400.1051437246406</v>
      </c>
      <c r="V690">
        <f>P690+R690+T690</f>
        <v>1498.8733989757982</v>
      </c>
      <c r="W690">
        <f>W689+(U689*Graph!$D$5)</f>
        <v>-2654.0527751919344</v>
      </c>
      <c r="X690">
        <f>X689+(V689*Graph!$D$5)</f>
        <v>-10070.729553762751</v>
      </c>
      <c r="Y690">
        <f>Y689+(W689*Graph!$D$5)+(U689*Graph!$D$5^2)</f>
        <v>8529.0037176017267</v>
      </c>
      <c r="Z690">
        <f>Z689+(X689*Graph!$D$5)+(V689*Graph!$D$5^2)</f>
        <v>-16462.415860021116</v>
      </c>
    </row>
    <row r="691" spans="14:26" x14ac:dyDescent="0.35">
      <c r="N691">
        <f>N690+1</f>
        <v>688</v>
      </c>
      <c r="O691">
        <f>Graph!$D$22*((Graph!$D$18-Y691)/POWER((((Graph!$D$18-$Y691)^2)+((Graph!$E$18-$Z691)^2))+(Graph!$D$23^2),(3/2)))</f>
        <v>132.58761253317337</v>
      </c>
      <c r="P691" s="84">
        <f>Graph!$D$22*((Graph!$E$18-Z691)/POWER((((Graph!$D$18-$Y691)^2)+((Graph!$E$18-$Z691)^2))+(Graph!$D$23^2),3/2))</f>
        <v>463.75700378987591</v>
      </c>
      <c r="Q691">
        <f>Graph!$D$31*((Graph!$D$27-Y691)/POWER((((Graph!$D$27-$Y691)^2)+((Graph!$E$27-$Z691)^2))+(Graph!$D$32^2),3/2))</f>
        <v>-69.173238691406453</v>
      </c>
      <c r="R691">
        <f>Graph!$D$31*((Graph!$E$27-Z691)/POWER((((Graph!$D$27-$Y691)^2)+((Graph!$E$27-$Z691)^2))+(Graph!$D$32^2),3/2))</f>
        <v>82.479773744187369</v>
      </c>
      <c r="S691">
        <f>Graph!$D$40*((Graph!$D$36-Y691)/POWER((((Graph!$D$36-$Y691)^2)+((Graph!$E$36-$Z691)^2))+(Graph!$D$41^2),3/2))</f>
        <v>-3208.1651156603903</v>
      </c>
      <c r="T691">
        <f>Graph!$D$40*((Graph!$E$36-Z691)/POWER((((Graph!$D$36-$Y691)^2)+((Graph!$E$36-$Z691)^2))+(Graph!$D$41^2),3/2))</f>
        <v>3219.2645743615367</v>
      </c>
      <c r="U691">
        <f>O691+Q691+S691</f>
        <v>-3144.7507418186233</v>
      </c>
      <c r="V691">
        <f>P691+R691+T691</f>
        <v>3765.5013518956002</v>
      </c>
      <c r="W691">
        <f>W690+(U690*Graph!$D$5)</f>
        <v>-4854.1053470542547</v>
      </c>
      <c r="X691">
        <f>X690+(V690*Graph!$D$5)</f>
        <v>-9321.2928542748523</v>
      </c>
      <c r="Y691">
        <f>Y690+(W690*Graph!$D$5)+(U690*Graph!$D$5^2)</f>
        <v>6101.9510440745998</v>
      </c>
      <c r="Z691">
        <f>Z690+(X690*Graph!$D$5)+(V690*Graph!$D$5^2)</f>
        <v>-21123.06228715854</v>
      </c>
    </row>
    <row r="692" spans="14:26" x14ac:dyDescent="0.35">
      <c r="N692">
        <f>N691+1</f>
        <v>689</v>
      </c>
      <c r="O692">
        <f>Graph!$D$22*((Graph!$D$18-Y692)/POWER((((Graph!$D$18-$Y692)^2)+((Graph!$E$18-$Z692)^2))+(Graph!$D$23^2),(3/2)))</f>
        <v>122.94151561436757</v>
      </c>
      <c r="P692" s="84">
        <f>Graph!$D$22*((Graph!$E$18-Z692)/POWER((((Graph!$D$18-$Y692)^2)+((Graph!$E$18-$Z692)^2))+(Graph!$D$23^2),3/2))</f>
        <v>353.68400188026789</v>
      </c>
      <c r="Q692">
        <f>Graph!$D$31*((Graph!$D$27-Y692)/POWER((((Graph!$D$27-$Y692)^2)+((Graph!$E$27-$Z692)^2))+(Graph!$D$32^2),3/2))</f>
        <v>-56.144618417948166</v>
      </c>
      <c r="R692">
        <f>Graph!$D$31*((Graph!$E$27-Z692)/POWER((((Graph!$D$27-$Y692)^2)+((Graph!$E$27-$Z692)^2))+(Graph!$D$32^2),3/2))</f>
        <v>85.466129530773486</v>
      </c>
      <c r="S692">
        <f>Graph!$D$40*((Graph!$D$36-Y692)/POWER((((Graph!$D$36-$Y692)^2)+((Graph!$E$36-$Z692)^2))+(Graph!$D$41^2),3/2))</f>
        <v>-1017.9003539803197</v>
      </c>
      <c r="T692">
        <f>Graph!$D$40*((Graph!$E$36-Z692)/POWER((((Graph!$D$36-$Y692)^2)+((Graph!$E$36-$Z692)^2))+(Graph!$D$41^2),3/2))</f>
        <v>3468.1613078980399</v>
      </c>
      <c r="U692">
        <f>O692+Q692+S692</f>
        <v>-951.10345678390024</v>
      </c>
      <c r="V692">
        <f>P692+R692+T692</f>
        <v>3907.3114393090814</v>
      </c>
      <c r="W692">
        <f>W691+(U691*Graph!$D$5)</f>
        <v>-6426.4807179635663</v>
      </c>
      <c r="X692">
        <f>X691+(V691*Graph!$D$5)</f>
        <v>-7438.5421783270522</v>
      </c>
      <c r="Y692">
        <f>Y691+(W691*Graph!$D$5)+(U691*Graph!$D$5^2)</f>
        <v>2888.7106850928167</v>
      </c>
      <c r="Z692">
        <f>Z691+(X691*Graph!$D$5)+(V691*Graph!$D$5^2)</f>
        <v>-24842.333376322065</v>
      </c>
    </row>
    <row r="693" spans="14:26" x14ac:dyDescent="0.35">
      <c r="N693">
        <f>N692+1</f>
        <v>690</v>
      </c>
      <c r="O693">
        <f>Graph!$D$22*((Graph!$D$18-Y693)/POWER((((Graph!$D$18-$Y693)^2)+((Graph!$E$18-$Z693)^2))+(Graph!$D$23^2),(3/2)))</f>
        <v>118.35480376780191</v>
      </c>
      <c r="P693" s="84">
        <f>Graph!$D$22*((Graph!$E$18-Z693)/POWER((((Graph!$D$18-$Y693)^2)+((Graph!$E$18-$Z693)^2))+(Graph!$D$23^2),3/2))</f>
        <v>285.84060690320848</v>
      </c>
      <c r="Q693">
        <f>Graph!$D$31*((Graph!$D$27-Y693)/POWER((((Graph!$D$27-$Y693)^2)+((Graph!$E$27-$Z693)^2))+(Graph!$D$32^2),3/2))</f>
        <v>-45.609586673957082</v>
      </c>
      <c r="R693">
        <f>Graph!$D$31*((Graph!$E$27-Z693)/POWER((((Graph!$D$27-$Y693)^2)+((Graph!$E$27-$Z693)^2))+(Graph!$D$32^2),3/2))</f>
        <v>88.190815509309985</v>
      </c>
      <c r="S693">
        <f>Graph!$D$40*((Graph!$D$36-Y693)/POWER((((Graph!$D$36-$Y693)^2)+((Graph!$E$36-$Z693)^2))+(Graph!$D$41^2),3/2))</f>
        <v>118.25862317987792</v>
      </c>
      <c r="T693">
        <f>Graph!$D$40*((Graph!$E$36-Z693)/POWER((((Graph!$D$36-$Y693)^2)+((Graph!$E$36-$Z693)^2))+(Graph!$D$41^2),3/2))</f>
        <v>2646.7076235458931</v>
      </c>
      <c r="U693">
        <f>O693+Q693+S693</f>
        <v>191.00384027372274</v>
      </c>
      <c r="V693">
        <f>P693+R693+T693</f>
        <v>3020.7390459584117</v>
      </c>
      <c r="W693">
        <f>W692+(U692*Graph!$D$5)</f>
        <v>-6902.0324463555162</v>
      </c>
      <c r="X693">
        <f>X692+(V692*Graph!$D$5)</f>
        <v>-5484.8864586725113</v>
      </c>
      <c r="Y693">
        <f>Y692+(W692*Graph!$D$5)+(U692*Graph!$D$5^2)</f>
        <v>-562.30553808494153</v>
      </c>
      <c r="Z693">
        <f>Z692+(X692*Graph!$D$5)+(V692*Graph!$D$5^2)</f>
        <v>-27584.77660565832</v>
      </c>
    </row>
    <row r="694" spans="14:26" x14ac:dyDescent="0.35">
      <c r="N694">
        <f>N693+1</f>
        <v>691</v>
      </c>
      <c r="O694">
        <f>Graph!$D$22*((Graph!$D$18-Y694)/POWER((((Graph!$D$18-$Y694)^2)+((Graph!$E$18-$Z694)^2))+(Graph!$D$23^2),(3/2)))</f>
        <v>115.26547405333469</v>
      </c>
      <c r="P694" s="84">
        <f>Graph!$D$22*((Graph!$E$18-Z694)/POWER((((Graph!$D$18-$Y694)^2)+((Graph!$E$18-$Z694)^2))+(Graph!$D$23^2),3/2))</f>
        <v>240.50367003536277</v>
      </c>
      <c r="Q694">
        <f>Graph!$D$31*((Graph!$D$27-Y694)/POWER((((Graph!$D$27-$Y694)^2)+((Graph!$E$27-$Z694)^2))+(Graph!$D$32^2),3/2))</f>
        <v>-36.625709585417781</v>
      </c>
      <c r="R694">
        <f>Graph!$D$31*((Graph!$E$27-Z694)/POWER((((Graph!$D$27-$Y694)^2)+((Graph!$E$27-$Z694)^2))+(Graph!$D$32^2),3/2))</f>
        <v>90.390112821360034</v>
      </c>
      <c r="S694">
        <f>Graph!$D$40*((Graph!$D$36-Y694)/POWER((((Graph!$D$36-$Y694)^2)+((Graph!$E$36-$Z694)^2))+(Graph!$D$41^2),3/2))</f>
        <v>515.75499301067487</v>
      </c>
      <c r="T694">
        <f>Graph!$D$40*((Graph!$E$36-Z694)/POWER((((Graph!$D$36-$Y694)^2)+((Graph!$E$36-$Z694)^2))+(Graph!$D$41^2),3/2))</f>
        <v>1895.2126249324492</v>
      </c>
      <c r="U694">
        <f>O694+Q694+S694</f>
        <v>594.39475747859183</v>
      </c>
      <c r="V694">
        <f>P694+R694+T694</f>
        <v>2226.106407789172</v>
      </c>
      <c r="W694">
        <f>W693+(U693*Graph!$D$5)</f>
        <v>-6806.5305262186548</v>
      </c>
      <c r="X694">
        <f>X693+(V693*Graph!$D$5)</f>
        <v>-3974.5169356933056</v>
      </c>
      <c r="Y694">
        <f>Y693+(W693*Graph!$D$5)+(U693*Graph!$D$5^2)</f>
        <v>-3965.5708011942688</v>
      </c>
      <c r="Z694">
        <f>Z693+(X693*Graph!$D$5)+(V693*Graph!$D$5^2)</f>
        <v>-29572.035073504972</v>
      </c>
    </row>
    <row r="695" spans="14:26" x14ac:dyDescent="0.35">
      <c r="N695">
        <f>N694+1</f>
        <v>692</v>
      </c>
      <c r="O695">
        <f>Graph!$D$22*((Graph!$D$18-Y695)/POWER((((Graph!$D$18-$Y695)^2)+((Graph!$E$18-$Z695)^2))+(Graph!$D$23^2),(3/2)))</f>
        <v>112.75178050470576</v>
      </c>
      <c r="P695" s="84">
        <f>Graph!$D$22*((Graph!$E$18-Z695)/POWER((((Graph!$D$18-$Y695)^2)+((Graph!$E$18-$Z695)^2))+(Graph!$D$23^2),3/2))</f>
        <v>208.05965751079501</v>
      </c>
      <c r="Q695">
        <f>Graph!$D$31*((Graph!$D$27-Y695)/POWER((((Graph!$D$27-$Y695)^2)+((Graph!$E$27-$Z695)^2))+(Graph!$D$32^2),3/2))</f>
        <v>-28.68587546819909</v>
      </c>
      <c r="R695">
        <f>Graph!$D$31*((Graph!$E$27-Z695)/POWER((((Graph!$D$27-$Y695)^2)+((Graph!$E$27-$Z695)^2))+(Graph!$D$32^2),3/2))</f>
        <v>92.036159104266972</v>
      </c>
      <c r="S695">
        <f>Graph!$D$40*((Graph!$D$36-Y695)/POWER((((Graph!$D$36-$Y695)^2)+((Graph!$E$36-$Z695)^2))+(Graph!$D$41^2),3/2))</f>
        <v>621.51665361573453</v>
      </c>
      <c r="T695">
        <f>Graph!$D$40*((Graph!$E$36-Z695)/POWER((((Graph!$D$36-$Y695)^2)+((Graph!$E$36-$Z695)^2))+(Graph!$D$41^2),3/2))</f>
        <v>1377.5151203892485</v>
      </c>
      <c r="U695">
        <f>O695+Q695+S695</f>
        <v>705.58255865224123</v>
      </c>
      <c r="V695">
        <f>P695+R695+T695</f>
        <v>1677.6109370043105</v>
      </c>
      <c r="W695">
        <f>W694+(U694*Graph!$D$5)</f>
        <v>-6509.3331474793586</v>
      </c>
      <c r="X695">
        <f>X694+(V694*Graph!$D$5)</f>
        <v>-2861.4637317987199</v>
      </c>
      <c r="Y695">
        <f>Y694+(W694*Graph!$D$5)+(U694*Graph!$D$5^2)</f>
        <v>-7220.2373749339476</v>
      </c>
      <c r="Z695">
        <f>Z694+(X694*Graph!$D$5)+(V694*Graph!$D$5^2)</f>
        <v>-31002.76693940433</v>
      </c>
    </row>
    <row r="696" spans="14:26" x14ac:dyDescent="0.35">
      <c r="N696">
        <f>N695+1</f>
        <v>693</v>
      </c>
      <c r="O696">
        <f>Graph!$D$22*((Graph!$D$18-Y696)/POWER((((Graph!$D$18-$Y696)^2)+((Graph!$E$18-$Z696)^2))+(Graph!$D$23^2),(3/2)))</f>
        <v>110.56835182587861</v>
      </c>
      <c r="P696" s="84">
        <f>Graph!$D$22*((Graph!$E$18-Z696)/POWER((((Graph!$D$18-$Y696)^2)+((Graph!$E$18-$Z696)^2))+(Graph!$D$23^2),3/2))</f>
        <v>183.62463506893198</v>
      </c>
      <c r="Q696">
        <f>Graph!$D$31*((Graph!$D$27-Y696)/POWER((((Graph!$D$27-$Y696)^2)+((Graph!$E$27-$Z696)^2))+(Graph!$D$32^2),3/2))</f>
        <v>-21.519292562304869</v>
      </c>
      <c r="R696">
        <f>Graph!$D$31*((Graph!$E$27-Z696)/POWER((((Graph!$D$27-$Y696)^2)+((Graph!$E$27-$Z696)^2))+(Graph!$D$32^2),3/2))</f>
        <v>93.193258716439345</v>
      </c>
      <c r="S696">
        <f>Graph!$D$40*((Graph!$D$36-Y696)/POWER((((Graph!$D$36-$Y696)^2)+((Graph!$E$36-$Z696)^2))+(Graph!$D$41^2),3/2))</f>
        <v>625.26473428691781</v>
      </c>
      <c r="T696">
        <f>Graph!$D$40*((Graph!$E$36-Z696)/POWER((((Graph!$D$36-$Y696)^2)+((Graph!$E$36-$Z696)^2))+(Graph!$D$41^2),3/2))</f>
        <v>1032.9956475046904</v>
      </c>
      <c r="U696">
        <f>O696+Q696+S696</f>
        <v>714.3137935504916</v>
      </c>
      <c r="V696">
        <f>P696+R696+T696</f>
        <v>1309.8135412900617</v>
      </c>
      <c r="W696">
        <f>W695+(U695*Graph!$D$5)</f>
        <v>-6156.5418681532383</v>
      </c>
      <c r="X696">
        <f>X695+(V695*Graph!$D$5)</f>
        <v>-2022.6582632965647</v>
      </c>
      <c r="Y696">
        <f>Y695+(W695*Graph!$D$5)+(U695*Graph!$D$5^2)</f>
        <v>-10298.508309010567</v>
      </c>
      <c r="Z696">
        <f>Z695+(X695*Graph!$D$5)+(V695*Graph!$D$5^2)</f>
        <v>-32014.096071052612</v>
      </c>
    </row>
    <row r="697" spans="14:26" x14ac:dyDescent="0.35">
      <c r="N697">
        <f>N696+1</f>
        <v>694</v>
      </c>
      <c r="O697">
        <f>Graph!$D$22*((Graph!$D$18-Y697)/POWER((((Graph!$D$18-$Y697)^2)+((Graph!$E$18-$Z697)^2))+(Graph!$D$23^2),(3/2)))</f>
        <v>108.64540101977666</v>
      </c>
      <c r="P697" s="84">
        <f>Graph!$D$22*((Graph!$E$18-Z697)/POWER((((Graph!$D$18-$Y697)^2)+((Graph!$E$18-$Z697)^2))+(Graph!$D$23^2),3/2))</f>
        <v>164.51185324214657</v>
      </c>
      <c r="Q697">
        <f>Graph!$D$31*((Graph!$D$27-Y697)/POWER((((Graph!$D$27-$Y697)^2)+((Graph!$E$27-$Z697)^2))+(Graph!$D$32^2),3/2))</f>
        <v>-14.966311040270783</v>
      </c>
      <c r="R697">
        <f>Graph!$D$31*((Graph!$E$27-Z697)/POWER((((Graph!$D$27-$Y697)^2)+((Graph!$E$27-$Z697)^2))+(Graph!$D$32^2),3/2))</f>
        <v>93.950307517108584</v>
      </c>
      <c r="S697">
        <f>Graph!$D$40*((Graph!$D$36-Y697)/POWER((((Graph!$D$36-$Y697)^2)+((Graph!$E$36-$Z697)^2))+(Graph!$D$41^2),3/2))</f>
        <v>595.78018525011566</v>
      </c>
      <c r="T697">
        <f>Graph!$D$40*((Graph!$E$36-Z697)/POWER((((Graph!$D$36-$Y697)^2)+((Graph!$E$36-$Z697)^2))+(Graph!$D$41^2),3/2))</f>
        <v>798.90441825552148</v>
      </c>
      <c r="U697">
        <f>O697+Q697+S697</f>
        <v>689.45927522962154</v>
      </c>
      <c r="V697">
        <f>P697+R697+T697</f>
        <v>1057.3665790147766</v>
      </c>
      <c r="W697">
        <f>W696+(U696*Graph!$D$5)</f>
        <v>-5799.3849713779928</v>
      </c>
      <c r="X697">
        <f>X696+(V696*Graph!$D$5)</f>
        <v>-1367.7514926515337</v>
      </c>
      <c r="Y697">
        <f>Y696+(W696*Graph!$D$5)+(U696*Graph!$D$5^2)</f>
        <v>-13198.200794699564</v>
      </c>
      <c r="Z697">
        <f>Z696+(X696*Graph!$D$5)+(V696*Graph!$D$5^2)</f>
        <v>-32697.971817378377</v>
      </c>
    </row>
    <row r="698" spans="14:26" x14ac:dyDescent="0.35">
      <c r="N698">
        <f>N697+1</f>
        <v>695</v>
      </c>
      <c r="O698">
        <f>Graph!$D$22*((Graph!$D$18-Y698)/POWER((((Graph!$D$18-$Y698)^2)+((Graph!$E$18-$Z698)^2))+(Graph!$D$23^2),(3/2)))</f>
        <v>106.96010296308779</v>
      </c>
      <c r="P698" s="84">
        <f>Graph!$D$22*((Graph!$E$18-Z698)/POWER((((Graph!$D$18-$Y698)^2)+((Graph!$E$18-$Z698)^2))+(Graph!$D$23^2),3/2))</f>
        <v>149.12769811942911</v>
      </c>
      <c r="Q698">
        <f>Graph!$D$31*((Graph!$D$27-Y698)/POWER((((Graph!$D$27-$Y698)^2)+((Graph!$E$27-$Z698)^2))+(Graph!$D$32^2),3/2))</f>
        <v>-8.9201298851853288</v>
      </c>
      <c r="R698">
        <f>Graph!$D$31*((Graph!$E$27-Z698)/POWER((((Graph!$D$27-$Y698)^2)+((Graph!$E$27-$Z698)^2))+(Graph!$D$32^2),3/2))</f>
        <v>94.395984729725171</v>
      </c>
      <c r="S698">
        <f>Graph!$D$40*((Graph!$D$36-Y698)/POWER((((Graph!$D$36-$Y698)^2)+((Graph!$E$36-$Z698)^2))+(Graph!$D$41^2),3/2))</f>
        <v>557.76691850570978</v>
      </c>
      <c r="T698">
        <f>Graph!$D$40*((Graph!$E$36-Z698)/POWER((((Graph!$D$36-$Y698)^2)+((Graph!$E$36-$Z698)^2))+(Graph!$D$41^2),3/2))</f>
        <v>634.53752707799606</v>
      </c>
      <c r="U698">
        <f>O698+Q698+S698</f>
        <v>655.80689158361224</v>
      </c>
      <c r="V698">
        <f>P698+R698+T698</f>
        <v>878.06120992715034</v>
      </c>
      <c r="W698">
        <f>W697+(U697*Graph!$D$5)</f>
        <v>-5454.6553337631822</v>
      </c>
      <c r="X698">
        <f>X697+(V697*Graph!$D$5)</f>
        <v>-839.0682031441454</v>
      </c>
      <c r="Y698">
        <f>Y697+(W697*Graph!$D$5)+(U697*Graph!$D$5^2)</f>
        <v>-15925.528461581154</v>
      </c>
      <c r="Z698">
        <f>Z697+(X697*Graph!$D$5)+(V697*Graph!$D$5^2)</f>
        <v>-33117.505918950446</v>
      </c>
    </row>
    <row r="699" spans="14:26" x14ac:dyDescent="0.35">
      <c r="N699">
        <f>N698+1</f>
        <v>696</v>
      </c>
      <c r="O699">
        <f>Graph!$D$22*((Graph!$D$18-Y699)/POWER((((Graph!$D$18-$Y699)^2)+((Graph!$E$18-$Z699)^2))+(Graph!$D$23^2),(3/2)))</f>
        <v>105.50200923240195</v>
      </c>
      <c r="P699" s="84">
        <f>Graph!$D$22*((Graph!$E$18-Z699)/POWER((((Graph!$D$18-$Y699)^2)+((Graph!$E$18-$Z699)^2))+(Graph!$D$23^2),3/2))</f>
        <v>136.46567344758671</v>
      </c>
      <c r="Q699">
        <f>Graph!$D$31*((Graph!$D$27-Y699)/POWER((((Graph!$D$27-$Y699)^2)+((Graph!$E$27-$Z699)^2))+(Graph!$D$32^2),3/2))</f>
        <v>-3.3004076938963536</v>
      </c>
      <c r="R699">
        <f>Graph!$D$31*((Graph!$E$27-Z699)/POWER((((Graph!$D$27-$Y699)^2)+((Graph!$E$27-$Z699)^2))+(Graph!$D$32^2),3/2))</f>
        <v>94.610488169410814</v>
      </c>
      <c r="S699">
        <f>Graph!$D$40*((Graph!$D$36-Y699)/POWER((((Graph!$D$36-$Y699)^2)+((Graph!$E$36-$Z699)^2))+(Graph!$D$41^2),3/2))</f>
        <v>520.06744077713233</v>
      </c>
      <c r="T699">
        <f>Graph!$D$40*((Graph!$E$36-Z699)/POWER((((Graph!$D$36-$Y699)^2)+((Graph!$E$36-$Z699)^2))+(Graph!$D$41^2),3/2))</f>
        <v>515.2467659800875</v>
      </c>
      <c r="U699">
        <f>O699+Q699+S699</f>
        <v>622.26904231563799</v>
      </c>
      <c r="V699">
        <f>P699+R699+T699</f>
        <v>746.32292759708503</v>
      </c>
      <c r="W699">
        <f>W698+(U698*Graph!$D$5)</f>
        <v>-5126.7518879713762</v>
      </c>
      <c r="X699">
        <f>X698+(V698*Graph!$D$5)</f>
        <v>-400.03759818057023</v>
      </c>
      <c r="Y699">
        <f>Y698+(W698*Graph!$D$5)+(U698*Graph!$D$5^2)</f>
        <v>-18488.904405566842</v>
      </c>
      <c r="Z699">
        <f>Z698+(X698*Graph!$D$5)+(V698*Graph!$D$5^2)</f>
        <v>-33317.524718040731</v>
      </c>
    </row>
    <row r="700" spans="14:26" x14ac:dyDescent="0.35">
      <c r="N700">
        <f>N699+1</f>
        <v>697</v>
      </c>
      <c r="O700">
        <f>Graph!$D$22*((Graph!$D$18-Y700)/POWER((((Graph!$D$18-$Y700)^2)+((Graph!$E$18-$Z700)^2))+(Graph!$D$23^2),(3/2)))</f>
        <v>104.26372192957227</v>
      </c>
      <c r="P700" s="84">
        <f>Graph!$D$22*((Graph!$E$18-Z700)/POWER((((Graph!$D$18-$Y700)^2)+((Graph!$E$18-$Z700)^2))+(Graph!$D$23^2),3/2))</f>
        <v>125.85685613003359</v>
      </c>
      <c r="Q700">
        <f>Graph!$D$31*((Graph!$D$27-Y700)/POWER((((Graph!$D$27-$Y700)^2)+((Graph!$E$27-$Z700)^2))+(Graph!$D$32^2),3/2))</f>
        <v>1.959014561149663</v>
      </c>
      <c r="R700">
        <f>Graph!$D$31*((Graph!$E$27-Z700)/POWER((((Graph!$D$27-$Y700)^2)+((Graph!$E$27-$Z700)^2))+(Graph!$D$32^2),3/2))</f>
        <v>94.663486112446165</v>
      </c>
      <c r="S700">
        <f>Graph!$D$40*((Graph!$D$36-Y700)/POWER((((Graph!$D$36-$Y700)^2)+((Graph!$E$36-$Z700)^2))+(Graph!$D$41^2),3/2))</f>
        <v>485.64599944253189</v>
      </c>
      <c r="T700">
        <f>Graph!$D$40*((Graph!$E$36-Z700)/POWER((((Graph!$D$36-$Y700)^2)+((Graph!$E$36-$Z700)^2))+(Graph!$D$41^2),3/2))</f>
        <v>426.01717814057344</v>
      </c>
      <c r="U700">
        <f>O700+Q700+S700</f>
        <v>591.86873593325379</v>
      </c>
      <c r="V700">
        <f>P700+R700+T700</f>
        <v>646.53752038305322</v>
      </c>
      <c r="W700">
        <f>W699+(U699*Graph!$D$5)</f>
        <v>-4815.6173668135571</v>
      </c>
      <c r="X700">
        <f>X699+(V699*Graph!$D$5)</f>
        <v>-26.876134382027715</v>
      </c>
      <c r="Y700">
        <f>Y699+(W699*Graph!$D$5)+(U699*Graph!$D$5^2)</f>
        <v>-20896.713088973622</v>
      </c>
      <c r="Z700">
        <f>Z699+(X699*Graph!$D$5)+(V699*Graph!$D$5^2)</f>
        <v>-33330.962785231743</v>
      </c>
    </row>
    <row r="701" spans="14:26" x14ac:dyDescent="0.35">
      <c r="N701">
        <f>N700+1</f>
        <v>698</v>
      </c>
      <c r="O701">
        <f>Graph!$D$22*((Graph!$D$18-Y701)/POWER((((Graph!$D$18-$Y701)^2)+((Graph!$E$18-$Z701)^2))+(Graph!$D$23^2),(3/2)))</f>
        <v>103.23865715279787</v>
      </c>
      <c r="P701" s="84">
        <f>Graph!$D$22*((Graph!$E$18-Z701)/POWER((((Graph!$D$18-$Y701)^2)+((Graph!$E$18-$Z701)^2))+(Graph!$D$23^2),3/2))</f>
        <v>116.83787676420764</v>
      </c>
      <c r="Q701">
        <f>Graph!$D$31*((Graph!$D$27-Y701)/POWER((((Graph!$D$27-$Y701)^2)+((Graph!$E$27-$Z701)^2))+(Graph!$D$32^2),3/2))</f>
        <v>6.9160834549862553</v>
      </c>
      <c r="R701">
        <f>Graph!$D$31*((Graph!$E$27-Z701)/POWER((((Graph!$D$27-$Y701)^2)+((Graph!$E$27-$Z701)^2))+(Graph!$D$32^2),3/2))</f>
        <v>94.61443113881154</v>
      </c>
      <c r="S701">
        <f>Graph!$D$40*((Graph!$D$36-Y701)/POWER((((Graph!$D$36-$Y701)^2)+((Graph!$E$36-$Z701)^2))+(Graph!$D$41^2),3/2))</f>
        <v>455.24256532707028</v>
      </c>
      <c r="T701">
        <f>Graph!$D$40*((Graph!$E$36-Z701)/POWER((((Graph!$D$36-$Y701)^2)+((Graph!$E$36-$Z701)^2))+(Graph!$D$41^2),3/2))</f>
        <v>357.46117679150655</v>
      </c>
      <c r="U701">
        <f>O701+Q701+S701</f>
        <v>565.39730593485444</v>
      </c>
      <c r="V701">
        <f>P701+R701+T701</f>
        <v>568.91348469452578</v>
      </c>
      <c r="W701">
        <f>W700+(U700*Graph!$D$5)</f>
        <v>-4519.6829988469299</v>
      </c>
      <c r="X701">
        <f>X700+(V700*Graph!$D$5)</f>
        <v>296.3926258094989</v>
      </c>
      <c r="Y701">
        <f>Y700+(W700*Graph!$D$5)+(U700*Graph!$D$5^2)</f>
        <v>-23156.554588397088</v>
      </c>
      <c r="Z701">
        <f>Z700+(X700*Graph!$D$5)+(V700*Graph!$D$5^2)</f>
        <v>-33182.766472326992</v>
      </c>
    </row>
    <row r="702" spans="14:26" x14ac:dyDescent="0.35">
      <c r="N702">
        <f>N701+1</f>
        <v>699</v>
      </c>
      <c r="O702">
        <f>Graph!$D$22*((Graph!$D$18-Y702)/POWER((((Graph!$D$18-$Y702)^2)+((Graph!$E$18-$Z702)^2))+(Graph!$D$23^2),(3/2)))</f>
        <v>102.4207781073741</v>
      </c>
      <c r="P702" s="84">
        <f>Graph!$D$22*((Graph!$E$18-Z702)/POWER((((Graph!$D$18-$Y702)^2)+((Graph!$E$18-$Z702)^2))+(Graph!$D$23^2),3/2))</f>
        <v>109.07664606406141</v>
      </c>
      <c r="Q702">
        <f>Graph!$D$31*((Graph!$D$27-Y702)/POWER((((Graph!$D$27-$Y702)^2)+((Graph!$E$27-$Z702)^2))+(Graph!$D$32^2),3/2))</f>
        <v>11.623622661458841</v>
      </c>
      <c r="R702">
        <f>Graph!$D$31*((Graph!$E$27-Z702)/POWER((((Graph!$D$27-$Y702)^2)+((Graph!$E$27-$Z702)^2))+(Graph!$D$32^2),3/2))</f>
        <v>94.513739606466459</v>
      </c>
      <c r="S702">
        <f>Graph!$D$40*((Graph!$D$36-Y702)/POWER((((Graph!$D$36-$Y702)^2)+((Graph!$E$36-$Z702)^2))+(Graph!$D$41^2),3/2))</f>
        <v>428.76749432291564</v>
      </c>
      <c r="T702">
        <f>Graph!$D$40*((Graph!$E$36-Z702)/POWER((((Graph!$D$36-$Y702)^2)+((Graph!$E$36-$Z702)^2))+(Graph!$D$41^2),3/2))</f>
        <v>303.5268194973969</v>
      </c>
      <c r="U702">
        <f>O702+Q702+S702</f>
        <v>542.81189509174862</v>
      </c>
      <c r="V702">
        <f>P702+R702+T702</f>
        <v>507.11720516792479</v>
      </c>
      <c r="W702">
        <f>W701+(U701*Graph!$D$5)</f>
        <v>-4236.9843458795031</v>
      </c>
      <c r="X702">
        <f>X701+(V701*Graph!$D$5)</f>
        <v>580.84936815676178</v>
      </c>
      <c r="Y702">
        <f>Y701+(W701*Graph!$D$5)+(U701*Graph!$D$5^2)</f>
        <v>-25275.046761336842</v>
      </c>
      <c r="Z702">
        <f>Z701+(X701*Graph!$D$5)+(V701*Graph!$D$5^2)</f>
        <v>-32892.34178824861</v>
      </c>
    </row>
    <row r="703" spans="14:26" x14ac:dyDescent="0.35">
      <c r="N703">
        <f>N702+1</f>
        <v>700</v>
      </c>
      <c r="O703">
        <f>Graph!$D$22*((Graph!$D$18-Y703)/POWER((((Graph!$D$18-$Y703)^2)+((Graph!$E$18-$Z703)^2))+(Graph!$D$23^2),(3/2)))</f>
        <v>101.80480722813999</v>
      </c>
      <c r="P703" s="84">
        <f>Graph!$D$22*((Graph!$E$18-Z703)/POWER((((Graph!$D$18-$Y703)^2)+((Graph!$E$18-$Z703)^2))+(Graph!$D$23^2),3/2))</f>
        <v>102.32831657665331</v>
      </c>
      <c r="Q703">
        <f>Graph!$D$31*((Graph!$D$27-Y703)/POWER((((Graph!$D$27-$Y703)^2)+((Graph!$E$27-$Z703)^2))+(Graph!$D$32^2),3/2))</f>
        <v>16.131093218302436</v>
      </c>
      <c r="R703">
        <f>Graph!$D$31*((Graph!$E$27-Z703)/POWER((((Graph!$D$27-$Y703)^2)+((Graph!$E$27-$Z703)^2))+(Graph!$D$32^2),3/2))</f>
        <v>94.404228903366331</v>
      </c>
      <c r="S703">
        <f>Graph!$D$40*((Graph!$D$36-Y703)/POWER((((Graph!$D$36-$Y703)^2)+((Graph!$E$36-$Z703)^2))+(Graph!$D$41^2),3/2))</f>
        <v>405.85021341841076</v>
      </c>
      <c r="T703">
        <f>Graph!$D$40*((Graph!$E$36-Z703)/POWER((((Graph!$D$36-$Y703)^2)+((Graph!$E$36-$Z703)^2))+(Graph!$D$41^2),3/2))</f>
        <v>260.19264394616403</v>
      </c>
      <c r="U703">
        <f>O703+Q703+S703</f>
        <v>523.78611386485318</v>
      </c>
      <c r="V703">
        <f>P703+R703+T703</f>
        <v>456.92518942618369</v>
      </c>
      <c r="W703">
        <f>W702+(U702*Graph!$D$5)</f>
        <v>-3965.5783983336287</v>
      </c>
      <c r="X703">
        <f>X702+(V702*Graph!$D$5)</f>
        <v>834.40797074072418</v>
      </c>
      <c r="Y703">
        <f>Y702+(W702*Graph!$D$5)+(U702*Graph!$D$5^2)</f>
        <v>-27257.835960503657</v>
      </c>
      <c r="Z703">
        <f>Z702+(X702*Graph!$D$5)+(V702*Graph!$D$5^2)</f>
        <v>-32475.137802878246</v>
      </c>
    </row>
    <row r="704" spans="14:26" x14ac:dyDescent="0.35">
      <c r="N704">
        <f>N703+1</f>
        <v>701</v>
      </c>
      <c r="O704">
        <f>Graph!$D$22*((Graph!$D$18-Y704)/POWER((((Graph!$D$18-$Y704)^2)+((Graph!$E$18-$Z704)^2))+(Graph!$D$23^2),(3/2)))</f>
        <v>101.38649485085098</v>
      </c>
      <c r="P704" s="84">
        <f>Graph!$D$22*((Graph!$E$18-Z704)/POWER((((Graph!$D$18-$Y704)^2)+((Graph!$E$18-$Z704)^2))+(Graph!$D$23^2),3/2))</f>
        <v>96.407979190685154</v>
      </c>
      <c r="Q704">
        <f>Graph!$D$31*((Graph!$D$27-Y704)/POWER((((Graph!$D$27-$Y704)^2)+((Graph!$E$27-$Z704)^2))+(Graph!$D$32^2),3/2))</f>
        <v>20.48575053647491</v>
      </c>
      <c r="R704">
        <f>Graph!$D$31*((Graph!$E$27-Z704)/POWER((((Graph!$D$27-$Y704)^2)+((Graph!$E$27-$Z704)^2))+(Graph!$D$32^2),3/2))</f>
        <v>94.322561880577084</v>
      </c>
      <c r="S704">
        <f>Graph!$D$40*((Graph!$D$36-Y704)/POWER((((Graph!$D$36-$Y704)^2)+((Graph!$E$36-$Z704)^2))+(Graph!$D$41^2),3/2))</f>
        <v>386.05661956759371</v>
      </c>
      <c r="T704">
        <f>Graph!$D$40*((Graph!$E$36-Z704)/POWER((((Graph!$D$36-$Y704)^2)+((Graph!$E$36-$Z704)^2))+(Graph!$D$41^2),3/2))</f>
        <v>224.70974691134663</v>
      </c>
      <c r="U704">
        <f>O704+Q704+S704</f>
        <v>507.92886495491962</v>
      </c>
      <c r="V704">
        <f>P704+R704+T704</f>
        <v>415.44028798260888</v>
      </c>
      <c r="W704">
        <f>W703+(U703*Graph!$D$5)</f>
        <v>-3703.6853414012021</v>
      </c>
      <c r="X704">
        <f>X703+(V703*Graph!$D$5)</f>
        <v>1062.870565453816</v>
      </c>
      <c r="Y704">
        <f>Y703+(W703*Graph!$D$5)+(U703*Graph!$D$5^2)</f>
        <v>-29109.678631204257</v>
      </c>
      <c r="Z704">
        <f>Z703+(X703*Graph!$D$5)+(V703*Graph!$D$5^2)</f>
        <v>-31943.702520151339</v>
      </c>
    </row>
    <row r="705" spans="14:26" x14ac:dyDescent="0.35">
      <c r="N705">
        <f>N704+1</f>
        <v>702</v>
      </c>
      <c r="O705">
        <f>Graph!$D$22*((Graph!$D$18-Y705)/POWER((((Graph!$D$18-$Y705)^2)+((Graph!$E$18-$Z705)^2))+(Graph!$D$23^2),(3/2)))</f>
        <v>101.16284394283242</v>
      </c>
      <c r="P705" s="84">
        <f>Graph!$D$22*((Graph!$E$18-Z705)/POWER((((Graph!$D$18-$Y705)^2)+((Graph!$E$18-$Z705)^2))+(Graph!$D$23^2),3/2))</f>
        <v>91.173076700799996</v>
      </c>
      <c r="Q705">
        <f>Graph!$D$31*((Graph!$D$27-Y705)/POWER((((Graph!$D$27-$Y705)^2)+((Graph!$E$27-$Z705)^2))+(Graph!$D$32^2),3/2))</f>
        <v>24.733549950292172</v>
      </c>
      <c r="R705">
        <f>Graph!$D$31*((Graph!$E$27-Z705)/POWER((((Graph!$D$27-$Y705)^2)+((Graph!$E$27-$Z705)^2))+(Graph!$D$32^2),3/2))</f>
        <v>94.300601429813725</v>
      </c>
      <c r="S705">
        <f>Graph!$D$40*((Graph!$D$36-Y705)/POWER((((Graph!$D$36-$Y705)^2)+((Graph!$E$36-$Z705)^2))+(Graph!$D$41^2),3/2))</f>
        <v>368.97231215235985</v>
      </c>
      <c r="T705">
        <f>Graph!$D$40*((Graph!$E$36-Z705)/POWER((((Graph!$D$36-$Y705)^2)+((Graph!$E$36-$Z705)^2))+(Graph!$D$41^2),3/2))</f>
        <v>195.1496885564805</v>
      </c>
      <c r="U705">
        <f>O705+Q705+S705</f>
        <v>494.86870604548443</v>
      </c>
      <c r="V705">
        <f>P705+R705+T705</f>
        <v>380.62336668709423</v>
      </c>
      <c r="W705">
        <f>W704+(U704*Graph!$D$5)</f>
        <v>-3449.7209089237422</v>
      </c>
      <c r="X705">
        <f>X704+(V704*Graph!$D$5)</f>
        <v>1270.5907094451204</v>
      </c>
      <c r="Y705">
        <f>Y704+(W704*Graph!$D$5)+(U704*Graph!$D$5^2)</f>
        <v>-30834.539085666129</v>
      </c>
      <c r="Z705">
        <f>Z704+(X704*Graph!$D$5)+(V704*Graph!$D$5^2)</f>
        <v>-31308.40716542878</v>
      </c>
    </row>
    <row r="706" spans="14:26" x14ac:dyDescent="0.35">
      <c r="N706">
        <f>N705+1</f>
        <v>703</v>
      </c>
      <c r="O706">
        <f>Graph!$D$22*((Graph!$D$18-Y706)/POWER((((Graph!$D$18-$Y706)^2)+((Graph!$E$18-$Z706)^2))+(Graph!$D$23^2),(3/2)))</f>
        <v>101.13228465002847</v>
      </c>
      <c r="P706" s="84">
        <f>Graph!$D$22*((Graph!$E$18-Z706)/POWER((((Graph!$D$18-$Y706)^2)+((Graph!$E$18-$Z706)^2))+(Graph!$D$23^2),3/2))</f>
        <v>86.511697294024813</v>
      </c>
      <c r="Q706">
        <f>Graph!$D$31*((Graph!$D$27-Y706)/POWER((((Graph!$D$27-$Y706)^2)+((Graph!$E$27-$Z706)^2))+(Graph!$D$32^2),3/2))</f>
        <v>28.91997963752728</v>
      </c>
      <c r="R706">
        <f>Graph!$D$31*((Graph!$E$27-Z706)/POWER((((Graph!$D$27-$Y706)^2)+((Graph!$E$27-$Z706)^2))+(Graph!$D$32^2),3/2))</f>
        <v>94.366648008824299</v>
      </c>
      <c r="S706">
        <f>Graph!$D$40*((Graph!$D$36-Y706)/POWER((((Graph!$D$36-$Y706)^2)+((Graph!$E$36-$Z706)^2))+(Graph!$D$41^2),3/2))</f>
        <v>354.23056314436377</v>
      </c>
      <c r="T706">
        <f>Graph!$D$40*((Graph!$E$36-Z706)/POWER((((Graph!$D$36-$Y706)^2)+((Graph!$E$36-$Z706)^2))+(Graph!$D$41^2),3/2))</f>
        <v>170.12708577202531</v>
      </c>
      <c r="U706">
        <f>O706+Q706+S706</f>
        <v>484.28282743191949</v>
      </c>
      <c r="V706">
        <f>P706+R706+T706</f>
        <v>351.00543107487442</v>
      </c>
      <c r="W706">
        <f>W705+(U705*Graph!$D$5)</f>
        <v>-3202.2865559010002</v>
      </c>
      <c r="X706">
        <f>X705+(V705*Graph!$D$5)</f>
        <v>1460.9023927886676</v>
      </c>
      <c r="Y706">
        <f>Y705+(W705*Graph!$D$5)+(U705*Graph!$D$5^2)</f>
        <v>-32435.68236361663</v>
      </c>
      <c r="Z706">
        <f>Z705+(X705*Graph!$D$5)+(V705*Graph!$D$5^2)</f>
        <v>-30577.955969034447</v>
      </c>
    </row>
    <row r="707" spans="14:26" x14ac:dyDescent="0.35">
      <c r="N707">
        <f>N706+1</f>
        <v>704</v>
      </c>
      <c r="O707">
        <f>Graph!$D$22*((Graph!$D$18-Y707)/POWER((((Graph!$D$18-$Y707)^2)+((Graph!$E$18-$Z707)^2))+(Graph!$D$23^2),(3/2)))</f>
        <v>101.29481618029835</v>
      </c>
      <c r="P707" s="84">
        <f>Graph!$D$22*((Graph!$E$18-Z707)/POWER((((Graph!$D$18-$Y707)^2)+((Graph!$E$18-$Z707)^2))+(Graph!$D$23^2),3/2))</f>
        <v>82.334554969233977</v>
      </c>
      <c r="Q707">
        <f>Graph!$D$31*((Graph!$D$27-Y707)/POWER((((Graph!$D$27-$Y707)^2)+((Graph!$E$27-$Z707)^2))+(Graph!$D$32^2),3/2))</f>
        <v>33.09092061436499</v>
      </c>
      <c r="R707">
        <f>Graph!$D$31*((Graph!$E$27-Z707)/POWER((((Graph!$D$27-$Y707)^2)+((Graph!$E$27-$Z707)^2))+(Graph!$D$32^2),3/2))</f>
        <v>94.546566109511303</v>
      </c>
      <c r="S707">
        <f>Graph!$D$40*((Graph!$D$36-Y707)/POWER((((Graph!$D$36-$Y707)^2)+((Graph!$E$36-$Z707)^2))+(Graph!$D$41^2),3/2))</f>
        <v>341.51770774857295</v>
      </c>
      <c r="T707">
        <f>Graph!$D$40*((Graph!$E$36-Z707)/POWER((((Graph!$D$36-$Y707)^2)+((Graph!$E$36-$Z707)^2))+(Graph!$D$41^2),3/2))</f>
        <v>148.62464842327353</v>
      </c>
      <c r="U707">
        <f>O707+Q707+S707</f>
        <v>475.90344454323628</v>
      </c>
      <c r="V707">
        <f>P707+R707+T707</f>
        <v>325.50576950201878</v>
      </c>
      <c r="W707">
        <f>W706+(U706*Graph!$D$5)</f>
        <v>-2960.1451421850406</v>
      </c>
      <c r="X707">
        <f>X706+(V706*Graph!$D$5)</f>
        <v>1636.4051083261047</v>
      </c>
      <c r="Y707">
        <f>Y706+(W706*Graph!$D$5)+(U706*Graph!$D$5^2)</f>
        <v>-33915.754934709148</v>
      </c>
      <c r="Z707">
        <f>Z706+(X706*Graph!$D$5)+(V706*Graph!$D$5^2)</f>
        <v>-29759.753414871397</v>
      </c>
    </row>
    <row r="708" spans="14:26" x14ac:dyDescent="0.35">
      <c r="N708">
        <f>N707+1</f>
        <v>705</v>
      </c>
      <c r="O708">
        <f>Graph!$D$22*((Graph!$D$18-Y708)/POWER((((Graph!$D$18-$Y708)^2)+((Graph!$E$18-$Z708)^2))+(Graph!$D$23^2),(3/2)))</f>
        <v>101.65213638535953</v>
      </c>
      <c r="P708" s="84">
        <f>Graph!$D$22*((Graph!$E$18-Z708)/POWER((((Graph!$D$18-$Y708)^2)+((Graph!$E$18-$Z708)^2))+(Graph!$D$23^2),3/2))</f>
        <v>78.5693539016644</v>
      </c>
      <c r="Q708">
        <f>Graph!$D$31*((Graph!$D$27-Y708)/POWER((((Graph!$D$27-$Y708)^2)+((Graph!$E$27-$Z708)^2))+(Graph!$D$32^2),3/2))</f>
        <v>37.293600347735214</v>
      </c>
      <c r="R708">
        <f>Graph!$D$31*((Graph!$E$27-Z708)/POWER((((Graph!$D$27-$Y708)^2)+((Graph!$E$27-$Z708)^2))+(Graph!$D$32^2),3/2))</f>
        <v>94.864822144594925</v>
      </c>
      <c r="S708">
        <f>Graph!$D$40*((Graph!$D$36-Y708)/POWER((((Graph!$D$36-$Y708)^2)+((Graph!$E$36-$Z708)^2))+(Graph!$D$41^2),3/2))</f>
        <v>330.56978650226239</v>
      </c>
      <c r="T708">
        <f>Graph!$D$40*((Graph!$E$36-Z708)/POWER((((Graph!$D$36-$Y708)^2)+((Graph!$E$36-$Z708)^2))+(Graph!$D$41^2),3/2))</f>
        <v>129.87992648842865</v>
      </c>
      <c r="U708">
        <f>O708+Q708+S708</f>
        <v>469.51552323535714</v>
      </c>
      <c r="V708">
        <f>P708+R708+T708</f>
        <v>303.314102534688</v>
      </c>
      <c r="W708">
        <f>W707+(U707*Graph!$D$5)</f>
        <v>-2722.1934199134225</v>
      </c>
      <c r="X708">
        <f>X707+(V707*Graph!$D$5)</f>
        <v>1799.157993077114</v>
      </c>
      <c r="Y708">
        <f>Y707+(W707*Graph!$D$5)+(U707*Graph!$D$5^2)</f>
        <v>-35276.851644665854</v>
      </c>
      <c r="Z708">
        <f>Z707+(X707*Graph!$D$5)+(V707*Graph!$D$5^2)</f>
        <v>-28860.174418332837</v>
      </c>
    </row>
    <row r="709" spans="14:26" x14ac:dyDescent="0.35">
      <c r="N709">
        <f>N708+1</f>
        <v>706</v>
      </c>
      <c r="O709">
        <f>Graph!$D$22*((Graph!$D$18-Y709)/POWER((((Graph!$D$18-$Y709)^2)+((Graph!$E$18-$Z709)^2))+(Graph!$D$23^2),(3/2)))</f>
        <v>102.20777712400839</v>
      </c>
      <c r="P709" s="84">
        <f>Graph!$D$22*((Graph!$E$18-Z709)/POWER((((Graph!$D$18-$Y709)^2)+((Graph!$E$18-$Z709)^2))+(Graph!$D$23^2),3/2))</f>
        <v>75.156735472147091</v>
      </c>
      <c r="Q709">
        <f>Graph!$D$31*((Graph!$D$27-Y709)/POWER((((Graph!$D$27-$Y709)^2)+((Graph!$E$27-$Z709)^2))+(Graph!$D$32^2),3/2))</f>
        <v>41.577697592535962</v>
      </c>
      <c r="R709">
        <f>Graph!$D$31*((Graph!$E$27-Z709)/POWER((((Graph!$D$27-$Y709)^2)+((Graph!$E$27-$Z709)^2))+(Graph!$D$32^2),3/2))</f>
        <v>95.345465171102319</v>
      </c>
      <c r="S709">
        <f>Graph!$D$40*((Graph!$D$36-Y709)/POWER((((Graph!$D$36-$Y709)^2)+((Graph!$E$36-$Z709)^2))+(Graph!$D$41^2),3/2))</f>
        <v>321.16631725029015</v>
      </c>
      <c r="T709">
        <f>Graph!$D$40*((Graph!$E$36-Z709)/POWER((((Graph!$D$36-$Y709)^2)+((Graph!$E$36-$Z709)^2))+(Graph!$D$41^2),3/2))</f>
        <v>113.31020277861565</v>
      </c>
      <c r="U709">
        <f>O709+Q709+S709</f>
        <v>464.95179196683449</v>
      </c>
      <c r="V709">
        <f>P709+R709+T709</f>
        <v>283.81240342186504</v>
      </c>
      <c r="W709">
        <f>W708+(U708*Graph!$D$5)</f>
        <v>-2487.4356582957439</v>
      </c>
      <c r="X709">
        <f>X708+(V708*Graph!$D$5)</f>
        <v>1950.8150443444581</v>
      </c>
      <c r="Y709">
        <f>Y708+(W708*Graph!$D$5)+(U708*Graph!$D$5^2)</f>
        <v>-36520.569473813732</v>
      </c>
      <c r="Z709">
        <f>Z708+(X708*Graph!$D$5)+(V708*Graph!$D$5^2)</f>
        <v>-27884.76689616061</v>
      </c>
    </row>
    <row r="710" spans="14:26" x14ac:dyDescent="0.35">
      <c r="N710">
        <f>N709+1</f>
        <v>707</v>
      </c>
      <c r="O710">
        <f>Graph!$D$22*((Graph!$D$18-Y710)/POWER((((Graph!$D$18-$Y710)^2)+((Graph!$E$18-$Z710)^2))+(Graph!$D$23^2),(3/2)))</f>
        <v>102.96726097566099</v>
      </c>
      <c r="P710" s="84">
        <f>Graph!$D$22*((Graph!$E$18-Z710)/POWER((((Graph!$D$18-$Y710)^2)+((Graph!$E$18-$Z710)^2))+(Graph!$D$23^2),3/2))</f>
        <v>72.047299740935912</v>
      </c>
      <c r="Q710">
        <f>Graph!$D$31*((Graph!$D$27-Y710)/POWER((((Graph!$D$27-$Y710)^2)+((Graph!$E$27-$Z710)^2))+(Graph!$D$32^2),3/2))</f>
        <v>45.996661790387151</v>
      </c>
      <c r="R710">
        <f>Graph!$D$31*((Graph!$E$27-Z710)/POWER((((Graph!$D$27-$Y710)^2)+((Graph!$E$27-$Z710)^2))+(Graph!$D$32^2),3/2))</f>
        <v>96.013087914727322</v>
      </c>
      <c r="S710">
        <f>Graph!$D$40*((Graph!$D$36-Y710)/POWER((((Graph!$D$36-$Y710)^2)+((Graph!$E$36-$Z710)^2))+(Graph!$D$41^2),3/2))</f>
        <v>313.12363971089997</v>
      </c>
      <c r="T710">
        <f>Graph!$D$40*((Graph!$E$36-Z710)/POWER((((Graph!$D$36-$Y710)^2)+((Graph!$E$36-$Z710)^2))+(Graph!$D$41^2),3/2))</f>
        <v>98.461538489520308</v>
      </c>
      <c r="U710">
        <f>O710+Q710+S710</f>
        <v>462.08756247694811</v>
      </c>
      <c r="V710">
        <f>P710+R710+T710</f>
        <v>266.52192614518356</v>
      </c>
      <c r="W710">
        <f>W709+(U709*Graph!$D$5)</f>
        <v>-2254.9597623123268</v>
      </c>
      <c r="X710">
        <f>X709+(V709*Graph!$D$5)</f>
        <v>2092.7212460553906</v>
      </c>
      <c r="Y710">
        <f>Y709+(W709*Graph!$D$5)+(U709*Graph!$D$5^2)</f>
        <v>-37648.049354969895</v>
      </c>
      <c r="Z710">
        <f>Z709+(X709*Graph!$D$5)+(V709*Graph!$D$5^2)</f>
        <v>-26838.406273132914</v>
      </c>
    </row>
    <row r="711" spans="14:26" x14ac:dyDescent="0.35">
      <c r="N711">
        <f>N710+1</f>
        <v>708</v>
      </c>
      <c r="O711">
        <f>Graph!$D$22*((Graph!$D$18-Y711)/POWER((((Graph!$D$18-$Y711)^2)+((Graph!$E$18-$Z711)^2))+(Graph!$D$23^2),(3/2)))</f>
        <v>103.9382934934967</v>
      </c>
      <c r="P711" s="84">
        <f>Graph!$D$22*((Graph!$E$18-Z711)/POWER((((Graph!$D$18-$Y711)^2)+((Graph!$E$18-$Z711)^2))+(Graph!$D$23^2),3/2))</f>
        <v>69.199369710460175</v>
      </c>
      <c r="Q711">
        <f>Graph!$D$31*((Graph!$D$27-Y711)/POWER((((Graph!$D$27-$Y711)^2)+((Graph!$E$27-$Z711)^2))+(Graph!$D$32^2),3/2))</f>
        <v>50.609327382730427</v>
      </c>
      <c r="R711">
        <f>Graph!$D$31*((Graph!$E$27-Z711)/POWER((((Graph!$D$27-$Y711)^2)+((Graph!$E$27-$Z711)^2))+(Graph!$D$32^2),3/2))</f>
        <v>96.893811383489592</v>
      </c>
      <c r="S711">
        <f>Graph!$D$40*((Graph!$D$36-Y711)/POWER((((Graph!$D$36-$Y711)^2)+((Graph!$E$36-$Z711)^2))+(Graph!$D$41^2),3/2))</f>
        <v>306.28877324621408</v>
      </c>
      <c r="T711">
        <f>Graph!$D$40*((Graph!$E$36-Z711)/POWER((((Graph!$D$36-$Y711)^2)+((Graph!$E$36-$Z711)^2))+(Graph!$D$41^2),3/2))</f>
        <v>84.973451380347768</v>
      </c>
      <c r="U711">
        <f>O711+Q711+S711</f>
        <v>460.83639412244122</v>
      </c>
      <c r="V711">
        <f>P711+R711+T711</f>
        <v>251.06663247429753</v>
      </c>
      <c r="W711">
        <f>W710+(U710*Graph!$D$5)</f>
        <v>-2023.9159810738527</v>
      </c>
      <c r="X711">
        <f>X710+(V710*Graph!$D$5)</f>
        <v>2225.9822091279825</v>
      </c>
      <c r="Y711">
        <f>Y710+(W710*Graph!$D$5)+(U710*Graph!$D$5^2)</f>
        <v>-38660.00734550682</v>
      </c>
      <c r="Z711">
        <f>Z710+(X710*Graph!$D$5)+(V710*Graph!$D$5^2)</f>
        <v>-25725.415168568921</v>
      </c>
    </row>
    <row r="712" spans="14:26" x14ac:dyDescent="0.35">
      <c r="N712">
        <f>N711+1</f>
        <v>709</v>
      </c>
      <c r="O712">
        <f>Graph!$D$22*((Graph!$D$18-Y712)/POWER((((Graph!$D$18-$Y712)^2)+((Graph!$E$18-$Z712)^2))+(Graph!$D$23^2),(3/2)))</f>
        <v>105.13100524461927</v>
      </c>
      <c r="P712" s="84">
        <f>Graph!$D$22*((Graph!$E$18-Z712)/POWER((((Graph!$D$18-$Y712)^2)+((Graph!$E$18-$Z712)^2))+(Graph!$D$23^2),3/2))</f>
        <v>66.577275931234993</v>
      </c>
      <c r="Q712">
        <f>Graph!$D$31*((Graph!$D$27-Y712)/POWER((((Graph!$D$27-$Y712)^2)+((Graph!$E$27-$Z712)^2))+(Graph!$D$32^2),3/2))</f>
        <v>55.481932026716002</v>
      </c>
      <c r="R712">
        <f>Graph!$D$31*((Graph!$E$27-Z712)/POWER((((Graph!$D$27-$Y712)^2)+((Graph!$E$27-$Z712)^2))+(Graph!$D$32^2),3/2))</f>
        <v>98.016343838392388</v>
      </c>
      <c r="S712">
        <f>Graph!$D$40*((Graph!$D$36-Y712)/POWER((((Graph!$D$36-$Y712)^2)+((Graph!$E$36-$Z712)^2))+(Graph!$D$41^2),3/2))</f>
        <v>300.53407435112723</v>
      </c>
      <c r="T712">
        <f>Graph!$D$40*((Graph!$E$36-Z712)/POWER((((Graph!$D$36-$Y712)^2)+((Graph!$E$36-$Z712)^2))+(Graph!$D$41^2),3/2))</f>
        <v>72.553912955246773</v>
      </c>
      <c r="U712">
        <f>O712+Q712+S712</f>
        <v>461.14701162246251</v>
      </c>
      <c r="V712">
        <f>P712+R712+T712</f>
        <v>237.14753272487414</v>
      </c>
      <c r="W712">
        <f>W711+(U711*Graph!$D$5)</f>
        <v>-1793.4977840126321</v>
      </c>
      <c r="X712">
        <f>X711+(V711*Graph!$D$5)</f>
        <v>2351.5155253651315</v>
      </c>
      <c r="Y712">
        <f>Y711+(W711*Graph!$D$5)+(U711*Graph!$D$5^2)</f>
        <v>-39556.756237513131</v>
      </c>
      <c r="Z712">
        <f>Z711+(X711*Graph!$D$5)+(V711*Graph!$D$5^2)</f>
        <v>-24549.657405886355</v>
      </c>
    </row>
    <row r="713" spans="14:26" x14ac:dyDescent="0.35">
      <c r="N713">
        <f>N712+1</f>
        <v>710</v>
      </c>
      <c r="O713">
        <f>Graph!$D$22*((Graph!$D$18-Y713)/POWER((((Graph!$D$18-$Y713)^2)+((Graph!$E$18-$Z713)^2))+(Graph!$D$23^2),(3/2)))</f>
        <v>106.5582594523773</v>
      </c>
      <c r="P713" s="84">
        <f>Graph!$D$22*((Graph!$E$18-Z713)/POWER((((Graph!$D$18-$Y713)^2)+((Graph!$E$18-$Z713)^2))+(Graph!$D$23^2),3/2))</f>
        <v>64.150007972395926</v>
      </c>
      <c r="Q713">
        <f>Graph!$D$31*((Graph!$D$27-Y713)/POWER((((Graph!$D$27-$Y713)^2)+((Graph!$E$27-$Z713)^2))+(Graph!$D$32^2),3/2))</f>
        <v>60.690691259452855</v>
      </c>
      <c r="R713">
        <f>Graph!$D$31*((Graph!$E$27-Z713)/POWER((((Graph!$D$27-$Y713)^2)+((Graph!$E$27-$Z713)^2))+(Graph!$D$32^2),3/2))</f>
        <v>99.413175726918709</v>
      </c>
      <c r="S713">
        <f>Graph!$D$40*((Graph!$D$36-Y713)/POWER((((Graph!$D$36-$Y713)^2)+((Graph!$E$36-$Z713)^2))+(Graph!$D$41^2),3/2))</f>
        <v>295.75270346356371</v>
      </c>
      <c r="T713">
        <f>Graph!$D$40*((Graph!$E$36-Z713)/POWER((((Graph!$D$36-$Y713)^2)+((Graph!$E$36-$Z713)^2))+(Graph!$D$41^2),3/2))</f>
        <v>60.961274468556319</v>
      </c>
      <c r="U713">
        <f>O713+Q713+S713</f>
        <v>463.00165417539387</v>
      </c>
      <c r="V713">
        <f>P713+R713+T713</f>
        <v>224.52445816787096</v>
      </c>
      <c r="W713">
        <f>W712+(U712*Graph!$D$5)</f>
        <v>-1562.9242782014007</v>
      </c>
      <c r="X713">
        <f>X712+(V712*Graph!$D$5)</f>
        <v>2470.0892917275687</v>
      </c>
      <c r="Y713">
        <f>Y712+(W712*Graph!$D$5)+(U712*Graph!$D$5^2)</f>
        <v>-40338.218376613833</v>
      </c>
      <c r="Z713">
        <f>Z712+(X712*Graph!$D$5)+(V712*Graph!$D$5^2)</f>
        <v>-23314.61276002257</v>
      </c>
    </row>
    <row r="714" spans="14:26" x14ac:dyDescent="0.35">
      <c r="N714">
        <f>N713+1</f>
        <v>711</v>
      </c>
      <c r="O714">
        <f>Graph!$D$22*((Graph!$D$18-Y714)/POWER((((Graph!$D$18-$Y714)^2)+((Graph!$E$18-$Z714)^2))+(Graph!$D$23^2),(3/2)))</f>
        <v>108.23604426306861</v>
      </c>
      <c r="P714" s="84">
        <f>Graph!$D$22*((Graph!$E$18-Z714)/POWER((((Graph!$D$18-$Y714)^2)+((Graph!$E$18-$Z714)^2))+(Graph!$D$23^2),3/2))</f>
        <v>61.890123393532534</v>
      </c>
      <c r="Q714">
        <f>Graph!$D$31*((Graph!$D$27-Y714)/POWER((((Graph!$D$27-$Y714)^2)+((Graph!$E$27-$Z714)^2))+(Graph!$D$32^2),3/2))</f>
        <v>66.325147272997953</v>
      </c>
      <c r="R714">
        <f>Graph!$D$31*((Graph!$E$27-Z714)/POWER((((Graph!$D$27-$Y714)^2)+((Graph!$E$27-$Z714)^2))+(Graph!$D$32^2),3/2))</f>
        <v>101.12198835434391</v>
      </c>
      <c r="S714">
        <f>Graph!$D$40*((Graph!$D$36-Y714)/POWER((((Graph!$D$36-$Y714)^2)+((Graph!$E$36-$Z714)^2))+(Graph!$D$41^2),3/2))</f>
        <v>291.85480156504974</v>
      </c>
      <c r="T714">
        <f>Graph!$D$40*((Graph!$E$36-Z714)/POWER((((Graph!$D$36-$Y714)^2)+((Graph!$E$36-$Z714)^2))+(Graph!$D$41^2),3/2))</f>
        <v>49.990910791238512</v>
      </c>
      <c r="U714">
        <f>O714+Q714+S714</f>
        <v>466.41599310111633</v>
      </c>
      <c r="V714">
        <f>P714+R714+T714</f>
        <v>213.00302253911497</v>
      </c>
      <c r="W714">
        <f>W713+(U713*Graph!$D$5)</f>
        <v>-1331.4234511137038</v>
      </c>
      <c r="X714">
        <f>X713+(V713*Graph!$D$5)</f>
        <v>2582.3515208115041</v>
      </c>
      <c r="Y714">
        <f>Y713+(W713*Graph!$D$5)+(U713*Graph!$D$5^2)</f>
        <v>-41003.930102170685</v>
      </c>
      <c r="Z714">
        <f>Z713+(X713*Graph!$D$5)+(V713*Graph!$D$5^2)</f>
        <v>-22023.436999616817</v>
      </c>
    </row>
    <row r="715" spans="14:26" x14ac:dyDescent="0.35">
      <c r="N715">
        <f>N714+1</f>
        <v>712</v>
      </c>
      <c r="O715">
        <f>Graph!$D$22*((Graph!$D$18-Y715)/POWER((((Graph!$D$18-$Y715)^2)+((Graph!$E$18-$Z715)^2))+(Graph!$D$23^2),(3/2)))</f>
        <v>110.18397381631048</v>
      </c>
      <c r="P715" s="84">
        <f>Graph!$D$22*((Graph!$E$18-Z715)/POWER((((Graph!$D$18-$Y715)^2)+((Graph!$E$18-$Z715)^2))+(Graph!$D$23^2),3/2))</f>
        <v>59.772833035544544</v>
      </c>
      <c r="Q715">
        <f>Graph!$D$31*((Graph!$D$27-Y715)/POWER((((Graph!$D$27-$Y715)^2)+((Graph!$E$27-$Z715)^2))+(Graph!$D$32^2),3/2))</f>
        <v>72.492607541412639</v>
      </c>
      <c r="R715">
        <f>Graph!$D$31*((Graph!$E$27-Z715)/POWER((((Graph!$D$27-$Y715)^2)+((Graph!$E$27-$Z715)^2))+(Graph!$D$32^2),3/2))</f>
        <v>103.18737824074518</v>
      </c>
      <c r="S715">
        <f>Graph!$D$40*((Graph!$D$36-Y715)/POWER((((Graph!$D$36-$Y715)^2)+((Graph!$E$36-$Z715)^2))+(Graph!$D$41^2),3/2))</f>
        <v>288.76424071904961</v>
      </c>
      <c r="T715">
        <f>Graph!$D$40*((Graph!$E$36-Z715)/POWER((((Graph!$D$36-$Y715)^2)+((Graph!$E$36-$Z715)^2))+(Graph!$D$41^2),3/2))</f>
        <v>39.465108593410527</v>
      </c>
      <c r="U715">
        <f>O715+Q715+S715</f>
        <v>471.44082207677275</v>
      </c>
      <c r="V715">
        <f>P715+R715+T715</f>
        <v>202.42531986970025</v>
      </c>
      <c r="W715">
        <f>W714+(U714*Graph!$D$5)</f>
        <v>-1098.2154545631456</v>
      </c>
      <c r="X715">
        <f>X714+(V714*Graph!$D$5)</f>
        <v>2688.8530320810614</v>
      </c>
      <c r="Y715">
        <f>Y714+(W714*Graph!$D$5)+(U714*Graph!$D$5^2)</f>
        <v>-41553.03782945226</v>
      </c>
      <c r="Z715">
        <f>Z714+(X714*Graph!$D$5)+(V714*Graph!$D$5^2)</f>
        <v>-20679.010483576287</v>
      </c>
    </row>
    <row r="716" spans="14:26" x14ac:dyDescent="0.35">
      <c r="N716">
        <f>N715+1</f>
        <v>713</v>
      </c>
      <c r="O716">
        <f>Graph!$D$22*((Graph!$D$18-Y716)/POWER((((Graph!$D$18-$Y716)^2)+((Graph!$E$18-$Z716)^2))+(Graph!$D$23^2),(3/2)))</f>
        <v>112.42592998992473</v>
      </c>
      <c r="P716" s="84">
        <f>Graph!$D$22*((Graph!$E$18-Z716)/POWER((((Graph!$D$18-$Y716)^2)+((Graph!$E$18-$Z716)^2))+(Graph!$D$23^2),3/2))</f>
        <v>57.775198888891616</v>
      </c>
      <c r="Q716">
        <f>Graph!$D$31*((Graph!$D$27-Y716)/POWER((((Graph!$D$27-$Y716)^2)+((Graph!$E$27-$Z716)^2))+(Graph!$D$32^2),3/2))</f>
        <v>79.324139159087963</v>
      </c>
      <c r="R716">
        <f>Graph!$D$31*((Graph!$E$27-Z716)/POWER((((Graph!$D$27-$Y716)^2)+((Graph!$E$27-$Z716)^2))+(Graph!$D$32^2),3/2))</f>
        <v>105.6630352155499</v>
      </c>
      <c r="S716">
        <f>Graph!$D$40*((Graph!$D$36-Y716)/POWER((((Graph!$D$36-$Y716)^2)+((Graph!$E$36-$Z716)^2))+(Graph!$D$41^2),3/2))</f>
        <v>286.41580547146333</v>
      </c>
      <c r="T716">
        <f>Graph!$D$40*((Graph!$E$36-Z716)/POWER((((Graph!$D$36-$Y716)^2)+((Graph!$E$36-$Z716)^2))+(Graph!$D$41^2),3/2))</f>
        <v>29.225194508410812</v>
      </c>
      <c r="U716">
        <f>O716+Q716+S716</f>
        <v>478.16587462047602</v>
      </c>
      <c r="V716">
        <f>P716+R716+T716</f>
        <v>192.66342861285233</v>
      </c>
      <c r="W716">
        <f>W715+(U715*Graph!$D$5)</f>
        <v>-862.49504352475924</v>
      </c>
      <c r="X716">
        <f>X715+(V715*Graph!$D$5)</f>
        <v>2790.0656920159117</v>
      </c>
      <c r="Y716">
        <f>Y715+(W715*Graph!$D$5)+(U715*Graph!$D$5^2)</f>
        <v>-41984.285351214639</v>
      </c>
      <c r="Z716">
        <f>Z715+(X715*Graph!$D$5)+(V715*Graph!$D$5^2)</f>
        <v>-19283.977637568332</v>
      </c>
    </row>
    <row r="717" spans="14:26" x14ac:dyDescent="0.35">
      <c r="N717">
        <f>N716+1</f>
        <v>714</v>
      </c>
      <c r="O717">
        <f>Graph!$D$22*((Graph!$D$18-Y717)/POWER((((Graph!$D$18-$Y717)^2)+((Graph!$E$18-$Z717)^2))+(Graph!$D$23^2),(3/2)))</f>
        <v>114.99088790169949</v>
      </c>
      <c r="P717" s="84">
        <f>Graph!$D$22*((Graph!$E$18-Z717)/POWER((((Graph!$D$18-$Y717)^2)+((Graph!$E$18-$Z717)^2))+(Graph!$D$23^2),3/2))</f>
        <v>55.875390425671611</v>
      </c>
      <c r="Q717">
        <f>Graph!$D$31*((Graph!$D$27-Y717)/POWER((((Graph!$D$27-$Y717)^2)+((Graph!$E$27-$Z717)^2))+(Graph!$D$32^2),3/2))</f>
        <v>86.982819089678003</v>
      </c>
      <c r="R717">
        <f>Graph!$D$31*((Graph!$E$27-Z717)/POWER((((Graph!$D$27-$Y717)^2)+((Graph!$E$27-$Z717)^2))+(Graph!$D$32^2),3/2))</f>
        <v>108.61456633401082</v>
      </c>
      <c r="S717">
        <f>Graph!$D$40*((Graph!$D$36-Y717)/POWER((((Graph!$D$36-$Y717)^2)+((Graph!$E$36-$Z717)^2))+(Graph!$D$41^2),3/2))</f>
        <v>284.75266344502347</v>
      </c>
      <c r="T717">
        <f>Graph!$D$40*((Graph!$E$36-Z717)/POWER((((Graph!$D$36-$Y717)^2)+((Graph!$E$36-$Z717)^2))+(Graph!$D$41^2),3/2))</f>
        <v>19.125201726523393</v>
      </c>
      <c r="U717">
        <f>O717+Q717+S717</f>
        <v>486.726370436401</v>
      </c>
      <c r="V717">
        <f>P717+R717+T717</f>
        <v>183.61515848620581</v>
      </c>
      <c r="W717">
        <f>W716+(U716*Graph!$D$5)</f>
        <v>-623.41210621452126</v>
      </c>
      <c r="X717">
        <f>X716+(V716*Graph!$D$5)</f>
        <v>2886.3974063223377</v>
      </c>
      <c r="Y717">
        <f>Y716+(W716*Graph!$D$5)+(U716*Graph!$D$5^2)</f>
        <v>-42295.991404321903</v>
      </c>
      <c r="Z717">
        <f>Z716+(X716*Graph!$D$5)+(V716*Graph!$D$5^2)</f>
        <v>-17840.778934407164</v>
      </c>
    </row>
    <row r="718" spans="14:26" x14ac:dyDescent="0.35">
      <c r="N718">
        <f>N717+1</f>
        <v>715</v>
      </c>
      <c r="O718">
        <f>Graph!$D$22*((Graph!$D$18-Y718)/POWER((((Graph!$D$18-$Y718)^2)+((Graph!$E$18-$Z718)^2))+(Graph!$D$23^2),(3/2)))</f>
        <v>117.91398458185742</v>
      </c>
      <c r="P718" s="84">
        <f>Graph!$D$22*((Graph!$E$18-Z718)/POWER((((Graph!$D$18-$Y718)^2)+((Graph!$E$18-$Z718)^2))+(Graph!$D$23^2),3/2))</f>
        <v>54.051948511278617</v>
      </c>
      <c r="Q718">
        <f>Graph!$D$31*((Graph!$D$27-Y718)/POWER((((Graph!$D$27-$Y718)^2)+((Graph!$E$27-$Z718)^2))+(Graph!$D$32^2),3/2))</f>
        <v>95.675314494050809</v>
      </c>
      <c r="R718">
        <f>Graph!$D$31*((Graph!$E$27-Z718)/POWER((((Graph!$D$27-$Y718)^2)+((Graph!$E$27-$Z718)^2))+(Graph!$D$32^2),3/2))</f>
        <v>112.12323900128419</v>
      </c>
      <c r="S718">
        <f>Graph!$D$40*((Graph!$D$36-Y718)/POWER((((Graph!$D$36-$Y718)^2)+((Graph!$E$36-$Z718)^2))+(Graph!$D$41^2),3/2))</f>
        <v>283.72398350307861</v>
      </c>
      <c r="T718">
        <f>Graph!$D$40*((Graph!$E$36-Z718)/POWER((((Graph!$D$36-$Y718)^2)+((Graph!$E$36-$Z718)^2))+(Graph!$D$41^2),3/2))</f>
        <v>9.0265706637488687</v>
      </c>
      <c r="U718">
        <f>O718+Q718+S718</f>
        <v>497.31328257898684</v>
      </c>
      <c r="V718">
        <f>P718+R718+T718</f>
        <v>175.20175817631167</v>
      </c>
      <c r="W718">
        <f>W717+(U717*Graph!$D$5)</f>
        <v>-380.04892099632076</v>
      </c>
      <c r="X718">
        <f>X717+(V717*Graph!$D$5)</f>
        <v>2978.2049855654404</v>
      </c>
      <c r="Y718">
        <f>Y717+(W717*Graph!$D$5)+(U717*Graph!$D$5^2)</f>
        <v>-42486.015864820067</v>
      </c>
      <c r="Z718">
        <f>Z717+(X717*Graph!$D$5)+(V717*Graph!$D$5^2)</f>
        <v>-16351.676441624444</v>
      </c>
    </row>
    <row r="719" spans="14:26" x14ac:dyDescent="0.35">
      <c r="N719">
        <f>N718+1</f>
        <v>716</v>
      </c>
      <c r="O719">
        <f>Graph!$D$22*((Graph!$D$18-Y719)/POWER((((Graph!$D$18-$Y719)^2)+((Graph!$E$18-$Z719)^2))+(Graph!$D$23^2),(3/2)))</f>
        <v>121.23791426722292</v>
      </c>
      <c r="P719" s="84">
        <f>Graph!$D$22*((Graph!$E$18-Z719)/POWER((((Graph!$D$18-$Y719)^2)+((Graph!$E$18-$Z719)^2))+(Graph!$D$23^2),3/2))</f>
        <v>52.283003061551099</v>
      </c>
      <c r="Q719">
        <f>Graph!$D$31*((Graph!$D$27-Y719)/POWER((((Graph!$D$27-$Y719)^2)+((Graph!$E$27-$Z719)^2))+(Graph!$D$32^2),3/2))</f>
        <v>105.66847877088315</v>
      </c>
      <c r="R719">
        <f>Graph!$D$31*((Graph!$E$27-Z719)/POWER((((Graph!$D$27-$Y719)^2)+((Graph!$E$27-$Z719)^2))+(Graph!$D$32^2),3/2))</f>
        <v>116.29103995045213</v>
      </c>
      <c r="S719">
        <f>Graph!$D$40*((Graph!$D$36-Y719)/POWER((((Graph!$D$36-$Y719)^2)+((Graph!$E$36-$Z719)^2))+(Graph!$D$41^2),3/2))</f>
        <v>283.28255298979713</v>
      </c>
      <c r="T719">
        <f>Graph!$D$40*((Graph!$E$36-Z719)/POWER((((Graph!$D$36-$Y719)^2)+((Graph!$E$36-$Z719)^2))+(Graph!$D$41^2),3/2))</f>
        <v>-1.2064920666389687</v>
      </c>
      <c r="U719">
        <f>O719+Q719+S719</f>
        <v>510.18894602790317</v>
      </c>
      <c r="V719">
        <f>P719+R719+T719</f>
        <v>167.36755094536429</v>
      </c>
      <c r="W719">
        <f>W718+(U718*Graph!$D$5)</f>
        <v>-131.39227970682734</v>
      </c>
      <c r="X719">
        <f>X718+(V718*Graph!$D$5)</f>
        <v>3065.8058646535965</v>
      </c>
      <c r="Y719">
        <f>Y718+(W718*Graph!$D$5)+(U718*Graph!$D$5^2)</f>
        <v>-42551.712004673485</v>
      </c>
      <c r="Z719">
        <f>Z718+(X718*Graph!$D$5)+(V718*Graph!$D$5^2)</f>
        <v>-14818.773509297645</v>
      </c>
    </row>
    <row r="720" spans="14:26" x14ac:dyDescent="0.35">
      <c r="N720">
        <f>N719+1</f>
        <v>717</v>
      </c>
      <c r="O720">
        <f>Graph!$D$22*((Graph!$D$18-Y720)/POWER((((Graph!$D$18-$Y720)^2)+((Graph!$E$18-$Z720)^2))+(Graph!$D$23^2),(3/2)))</f>
        <v>125.01476974396932</v>
      </c>
      <c r="P720" s="84">
        <f>Graph!$D$22*((Graph!$E$18-Z720)/POWER((((Graph!$D$18-$Y720)^2)+((Graph!$E$18-$Z720)^2))+(Graph!$D$23^2),3/2))</f>
        <v>50.545380500329209</v>
      </c>
      <c r="Q720">
        <f>Graph!$D$31*((Graph!$D$27-Y720)/POWER((((Graph!$D$27-$Y720)^2)+((Graph!$E$27-$Z720)^2))+(Graph!$D$32^2),3/2))</f>
        <v>117.3136759192794</v>
      </c>
      <c r="R720">
        <f>Graph!$D$31*((Graph!$E$27-Z720)/POWER((((Graph!$D$27-$Y720)^2)+((Graph!$E$27-$Z720)^2))+(Graph!$D$32^2),3/2))</f>
        <v>121.24763509475029</v>
      </c>
      <c r="S720">
        <f>Graph!$D$40*((Graph!$D$36-Y720)/POWER((((Graph!$D$36-$Y720)^2)+((Graph!$E$36-$Z720)^2))+(Graph!$D$41^2),3/2))</f>
        <v>283.38222764274963</v>
      </c>
      <c r="T720">
        <f>Graph!$D$40*((Graph!$E$36-Z720)/POWER((((Graph!$D$36-$Y720)^2)+((Graph!$E$36-$Z720)^2))+(Graph!$D$41^2),3/2))</f>
        <v>-11.711289495597322</v>
      </c>
      <c r="U720">
        <f>O720+Q720+S720</f>
        <v>525.7106733059984</v>
      </c>
      <c r="V720">
        <f>P720+R720+T720</f>
        <v>160.08172609948218</v>
      </c>
      <c r="W720">
        <f>W719+(U719*Graph!$D$5)</f>
        <v>123.70219330712425</v>
      </c>
      <c r="X720">
        <f>X719+(V719*Graph!$D$5)</f>
        <v>3149.4896401262786</v>
      </c>
      <c r="Y720">
        <f>Y719+(W719*Graph!$D$5)+(U719*Graph!$D$5^2)</f>
        <v>-42489.860908019924</v>
      </c>
      <c r="Z720">
        <f>Z719+(X719*Graph!$D$5)+(V719*Graph!$D$5^2)</f>
        <v>-13244.028689234505</v>
      </c>
    </row>
    <row r="721" spans="14:26" x14ac:dyDescent="0.35">
      <c r="N721">
        <f>N720+1</f>
        <v>718</v>
      </c>
      <c r="O721">
        <f>Graph!$D$22*((Graph!$D$18-Y721)/POWER((((Graph!$D$18-$Y721)^2)+((Graph!$E$18-$Z721)^2))+(Graph!$D$23^2),(3/2)))</f>
        <v>129.30850416422388</v>
      </c>
      <c r="P721" s="84">
        <f>Graph!$D$22*((Graph!$E$18-Z721)/POWER((((Graph!$D$18-$Y721)^2)+((Graph!$E$18-$Z721)^2))+(Graph!$D$23^2),3/2))</f>
        <v>48.813517258564012</v>
      </c>
      <c r="Q721">
        <f>Graph!$D$31*((Graph!$D$27-Y721)/POWER((((Graph!$D$27-$Y721)^2)+((Graph!$E$27-$Z721)^2))+(Graph!$D$32^2),3/2))</f>
        <v>131.08332292098993</v>
      </c>
      <c r="R721">
        <f>Graph!$D$31*((Graph!$E$27-Z721)/POWER((((Graph!$D$27-$Y721)^2)+((Graph!$E$27-$Z721)^2))+(Graph!$D$32^2),3/2))</f>
        <v>127.16010487846128</v>
      </c>
      <c r="S721">
        <f>Graph!$D$40*((Graph!$D$36-Y721)/POWER((((Graph!$D$36-$Y721)^2)+((Graph!$E$36-$Z721)^2))+(Graph!$D$41^2),3/2))</f>
        <v>283.9750143495209</v>
      </c>
      <c r="T721">
        <f>Graph!$D$40*((Graph!$E$36-Z721)/POWER((((Graph!$D$36-$Y721)^2)+((Graph!$E$36-$Z721)^2))+(Graph!$D$41^2),3/2))</f>
        <v>-22.630787528545127</v>
      </c>
      <c r="U721">
        <f>O721+Q721+S721</f>
        <v>544.36684143473462</v>
      </c>
      <c r="V721">
        <f>P721+R721+T721</f>
        <v>153.34283460848019</v>
      </c>
      <c r="W721">
        <f>W720+(U720*Graph!$D$5)</f>
        <v>386.55752996012347</v>
      </c>
      <c r="X721">
        <f>X720+(V720*Graph!$D$5)</f>
        <v>3229.5305031760195</v>
      </c>
      <c r="Y721">
        <f>Y720+(W720*Graph!$D$5)+(U720*Graph!$D$5^2)</f>
        <v>-42296.582143039865</v>
      </c>
      <c r="Z721">
        <f>Z720+(X720*Graph!$D$5)+(V720*Graph!$D$5^2)</f>
        <v>-11629.263437646496</v>
      </c>
    </row>
    <row r="722" spans="14:26" x14ac:dyDescent="0.35">
      <c r="N722">
        <f>N721+1</f>
        <v>719</v>
      </c>
      <c r="O722">
        <f>Graph!$D$22*((Graph!$D$18-Y722)/POWER((((Graph!$D$18-$Y722)^2)+((Graph!$E$18-$Z722)^2))+(Graph!$D$23^2),(3/2)))</f>
        <v>134.19827397883608</v>
      </c>
      <c r="P722" s="84">
        <f>Graph!$D$22*((Graph!$E$18-Z722)/POWER((((Graph!$D$18-$Y722)^2)+((Graph!$E$18-$Z722)^2))+(Graph!$D$23^2),3/2))</f>
        <v>47.058061061967805</v>
      </c>
      <c r="Q722">
        <f>Graph!$D$31*((Graph!$D$27-Y722)/POWER((((Graph!$D$27-$Y722)^2)+((Graph!$E$27-$Z722)^2))+(Graph!$D$32^2),3/2))</f>
        <v>147.62731948178583</v>
      </c>
      <c r="R722">
        <f>Graph!$D$31*((Graph!$E$27-Z722)/POWER((((Graph!$D$27-$Y722)^2)+((Graph!$E$27-$Z722)^2))+(Graph!$D$32^2),3/2))</f>
        <v>134.24677490626416</v>
      </c>
      <c r="S722">
        <f>Graph!$D$40*((Graph!$D$36-Y722)/POWER((((Graph!$D$36-$Y722)^2)+((Graph!$E$36-$Z722)^2))+(Graph!$D$41^2),3/2))</f>
        <v>285.00753180544382</v>
      </c>
      <c r="T722">
        <f>Graph!$D$40*((Graph!$E$36-Z722)/POWER((((Graph!$D$36-$Y722)^2)+((Graph!$E$36-$Z722)^2))+(Graph!$D$41^2),3/2))</f>
        <v>-34.117861911897172</v>
      </c>
      <c r="U722">
        <f>O722+Q722+S722</f>
        <v>566.83312526606574</v>
      </c>
      <c r="V722">
        <f>P722+R722+T722</f>
        <v>147.1869740563348</v>
      </c>
      <c r="W722">
        <f>W721+(U721*Graph!$D$5)</f>
        <v>658.74095067749079</v>
      </c>
      <c r="X722">
        <f>X721+(V721*Graph!$D$5)</f>
        <v>3306.2019204802596</v>
      </c>
      <c r="Y722">
        <f>Y721+(W721*Graph!$D$5)+(U721*Graph!$D$5^2)</f>
        <v>-41967.211667701122</v>
      </c>
      <c r="Z722">
        <f>Z721+(X721*Graph!$D$5)+(V721*Graph!$D$5^2)</f>
        <v>-9976.1624774063675</v>
      </c>
    </row>
    <row r="723" spans="14:26" x14ac:dyDescent="0.35">
      <c r="N723">
        <f>N722+1</f>
        <v>720</v>
      </c>
      <c r="O723">
        <f>Graph!$D$22*((Graph!$D$18-Y723)/POWER((((Graph!$D$18-$Y723)^2)+((Graph!$E$18-$Z723)^2))+(Graph!$D$23^2),(3/2)))</f>
        <v>139.78306278266865</v>
      </c>
      <c r="P723" s="84">
        <f>Graph!$D$22*((Graph!$E$18-Z723)/POWER((((Graph!$D$18-$Y723)^2)+((Graph!$E$18-$Z723)^2))+(Graph!$D$23^2),3/2))</f>
        <v>45.243983352640441</v>
      </c>
      <c r="Q723">
        <f>Graph!$D$31*((Graph!$D$27-Y723)/POWER((((Graph!$D$27-$Y723)^2)+((Graph!$E$27-$Z723)^2))+(Graph!$D$32^2),3/2))</f>
        <v>167.86294241664399</v>
      </c>
      <c r="R723">
        <f>Graph!$D$31*((Graph!$E$27-Z723)/POWER((((Graph!$D$27-$Y723)^2)+((Graph!$E$27-$Z723)^2))+(Graph!$D$32^2),3/2))</f>
        <v>142.7971358112398</v>
      </c>
      <c r="S723">
        <f>Graph!$D$40*((Graph!$D$36-Y723)/POWER((((Graph!$D$36-$Y723)^2)+((Graph!$E$36-$Z723)^2))+(Graph!$D$41^2),3/2))</f>
        <v>286.41650788853474</v>
      </c>
      <c r="T723">
        <f>Graph!$D$40*((Graph!$E$36-Z723)/POWER((((Graph!$D$36-$Y723)^2)+((Graph!$E$36-$Z723)^2))+(Graph!$D$41^2),3/2))</f>
        <v>-46.339850572122295</v>
      </c>
      <c r="U723">
        <f>O723+Q723+S723</f>
        <v>594.06251308784738</v>
      </c>
      <c r="V723">
        <f>P723+R723+T723</f>
        <v>141.70126859175795</v>
      </c>
      <c r="W723">
        <f>W722+(U722*Graph!$D$5)</f>
        <v>942.15751331052365</v>
      </c>
      <c r="X723">
        <f>X722+(V722*Graph!$D$5)</f>
        <v>3379.7954075084272</v>
      </c>
      <c r="Y723">
        <f>Y722+(W722*Graph!$D$5)+(U722*Graph!$D$5^2)</f>
        <v>-41496.132911045861</v>
      </c>
      <c r="Z723">
        <f>Z722+(X722*Graph!$D$5)+(V722*Graph!$D$5^2)</f>
        <v>-8286.264773652154</v>
      </c>
    </row>
    <row r="724" spans="14:26" x14ac:dyDescent="0.35">
      <c r="N724">
        <f>N723+1</f>
        <v>721</v>
      </c>
      <c r="O724">
        <f>Graph!$D$22*((Graph!$D$18-Y724)/POWER((((Graph!$D$18-$Y724)^2)+((Graph!$E$18-$Z724)^2))+(Graph!$D$23^2),(3/2)))</f>
        <v>146.18821817997284</v>
      </c>
      <c r="P724" s="84">
        <f>Graph!$D$22*((Graph!$E$18-Z724)/POWER((((Graph!$D$18-$Y724)^2)+((Graph!$E$18-$Z724)^2))+(Graph!$D$23^2),3/2))</f>
        <v>43.327926712660847</v>
      </c>
      <c r="Q724">
        <f>Graph!$D$31*((Graph!$D$27-Y724)/POWER((((Graph!$D$27-$Y724)^2)+((Graph!$E$27-$Z724)^2))+(Graph!$D$32^2),3/2))</f>
        <v>193.12324069751784</v>
      </c>
      <c r="R724">
        <f>Graph!$D$31*((Graph!$E$27-Z724)/POWER((((Graph!$D$27-$Y724)^2)+((Graph!$E$27-$Z724)^2))+(Graph!$D$32^2),3/2))</f>
        <v>153.20081613589892</v>
      </c>
      <c r="S724">
        <f>Graph!$D$40*((Graph!$D$36-Y724)/POWER((((Graph!$D$36-$Y724)^2)+((Graph!$E$36-$Z724)^2))+(Graph!$D$41^2),3/2))</f>
        <v>288.1228401743416</v>
      </c>
      <c r="T724">
        <f>Graph!$D$40*((Graph!$E$36-Z724)/POWER((((Graph!$D$36-$Y724)^2)+((Graph!$E$36-$Z724)^2))+(Graph!$D$41^2),3/2))</f>
        <v>-59.48364314264866</v>
      </c>
      <c r="U724">
        <f>O724+Q724+S724</f>
        <v>627.43429905183234</v>
      </c>
      <c r="V724">
        <f>P724+R724+T724</f>
        <v>137.04509970591113</v>
      </c>
      <c r="W724">
        <f>W723+(U723*Graph!$D$5)</f>
        <v>1239.1887698544474</v>
      </c>
      <c r="X724">
        <f>X723+(V723*Graph!$D$5)</f>
        <v>3450.6460418043062</v>
      </c>
      <c r="Y724">
        <f>Y723+(W723*Graph!$D$5)+(U723*Graph!$D$5^2)</f>
        <v>-40876.538526118638</v>
      </c>
      <c r="Z724">
        <f>Z723+(X723*Graph!$D$5)+(V723*Graph!$D$5^2)</f>
        <v>-6560.9417527500009</v>
      </c>
    </row>
    <row r="725" spans="14:26" x14ac:dyDescent="0.35">
      <c r="N725">
        <f>N724+1</f>
        <v>722</v>
      </c>
      <c r="O725">
        <f>Graph!$D$22*((Graph!$D$18-Y725)/POWER((((Graph!$D$18-$Y725)^2)+((Graph!$E$18-$Z725)^2))+(Graph!$D$23^2),(3/2)))</f>
        <v>153.57493718496812</v>
      </c>
      <c r="P725" s="84">
        <f>Graph!$D$22*((Graph!$E$18-Z725)/POWER((((Graph!$D$18-$Y725)^2)+((Graph!$E$18-$Z725)^2))+(Graph!$D$23^2),3/2))</f>
        <v>41.254337780628255</v>
      </c>
      <c r="Q725">
        <f>Graph!$D$31*((Graph!$D$27-Y725)/POWER((((Graph!$D$27-$Y725)^2)+((Graph!$E$27-$Z725)^2))+(Graph!$D$32^2),3/2))</f>
        <v>225.41231351741973</v>
      </c>
      <c r="R725">
        <f>Graph!$D$31*((Graph!$E$27-Z725)/POWER((((Graph!$D$27-$Y725)^2)+((Graph!$E$27-$Z725)^2))+(Graph!$D$32^2),3/2))</f>
        <v>165.98975245834225</v>
      </c>
      <c r="S725">
        <f>Graph!$D$40*((Graph!$D$36-Y725)/POWER((((Graph!$D$36-$Y725)^2)+((Graph!$E$36-$Z725)^2))+(Graph!$D$41^2),3/2))</f>
        <v>290.02354279205639</v>
      </c>
      <c r="T725">
        <f>Graph!$D$40*((Graph!$E$36-Z725)/POWER((((Graph!$D$36-$Y725)^2)+((Graph!$E$36-$Z725)^2))+(Graph!$D$41^2),3/2))</f>
        <v>-73.761599264260468</v>
      </c>
      <c r="U725">
        <f>O725+Q725+S725</f>
        <v>669.01079349444421</v>
      </c>
      <c r="V725">
        <f>P725+R725+T725</f>
        <v>133.48249097471003</v>
      </c>
      <c r="W725">
        <f>W724+(U724*Graph!$D$5)</f>
        <v>1552.9059193803637</v>
      </c>
      <c r="X725">
        <f>X724+(V724*Graph!$D$5)</f>
        <v>3519.1685916572619</v>
      </c>
      <c r="Y725">
        <f>Y724+(W724*Graph!$D$5)+(U724*Graph!$D$5^2)</f>
        <v>-40100.085566428461</v>
      </c>
      <c r="Z725">
        <f>Z724+(X724*Graph!$D$5)+(V724*Graph!$D$5^2)</f>
        <v>-4801.3574569213697</v>
      </c>
    </row>
    <row r="726" spans="14:26" x14ac:dyDescent="0.35">
      <c r="N726">
        <f>N725+1</f>
        <v>723</v>
      </c>
      <c r="O726">
        <f>Graph!$D$22*((Graph!$D$18-Y726)/POWER((((Graph!$D$18-$Y726)^2)+((Graph!$E$18-$Z726)^2))+(Graph!$D$23^2),(3/2)))</f>
        <v>162.15446939136413</v>
      </c>
      <c r="P726" s="84">
        <f>Graph!$D$22*((Graph!$E$18-Z726)/POWER((((Graph!$D$18-$Y726)^2)+((Graph!$E$18-$Z726)^2))+(Graph!$D$23^2),3/2))</f>
        <v>38.949623567979032</v>
      </c>
      <c r="Q726">
        <f>Graph!$D$31*((Graph!$D$27-Y726)/POWER((((Graph!$D$27-$Y726)^2)+((Graph!$E$27-$Z726)^2))+(Graph!$D$32^2),3/2))</f>
        <v>267.86620903471442</v>
      </c>
      <c r="R726">
        <f>Graph!$D$31*((Graph!$E$27-Z726)/POWER((((Graph!$D$27-$Y726)^2)+((Graph!$E$27-$Z726)^2))+(Graph!$D$32^2),3/2))</f>
        <v>181.89822347507325</v>
      </c>
      <c r="S726">
        <f>Graph!$D$40*((Graph!$D$36-Y726)/POWER((((Graph!$D$36-$Y726)^2)+((Graph!$E$36-$Z726)^2))+(Graph!$D$41^2),3/2))</f>
        <v>291.98058672959394</v>
      </c>
      <c r="T726">
        <f>Graph!$D$40*((Graph!$E$36-Z726)/POWER((((Graph!$D$36-$Y726)^2)+((Graph!$E$36-$Z726)^2))+(Graph!$D$41^2),3/2))</f>
        <v>-89.418727442931782</v>
      </c>
      <c r="U726">
        <f>O726+Q726+S726</f>
        <v>722.00126515567251</v>
      </c>
      <c r="V726">
        <f>P726+R726+T726</f>
        <v>131.42911960012052</v>
      </c>
      <c r="W726">
        <f>W725+(U725*Graph!$D$5)</f>
        <v>1887.4113161275859</v>
      </c>
      <c r="X726">
        <f>X725+(V725*Graph!$D$5)</f>
        <v>3585.9098371446171</v>
      </c>
      <c r="Y726">
        <f>Y725+(W725*Graph!$D$5)+(U725*Graph!$D$5^2)</f>
        <v>-39156.379908364666</v>
      </c>
      <c r="Z726">
        <f>Z725+(X725*Graph!$D$5)+(V725*Graph!$D$5^2)</f>
        <v>-3008.4025383490612</v>
      </c>
    </row>
    <row r="727" spans="14:26" x14ac:dyDescent="0.35">
      <c r="N727">
        <f>N726+1</f>
        <v>724</v>
      </c>
      <c r="O727">
        <f>Graph!$D$22*((Graph!$D$18-Y727)/POWER((((Graph!$D$18-$Y727)^2)+((Graph!$E$18-$Z727)^2))+(Graph!$D$23^2),(3/2)))</f>
        <v>172.21021720801878</v>
      </c>
      <c r="P727" s="84">
        <f>Graph!$D$22*((Graph!$E$18-Z727)/POWER((((Graph!$D$18-$Y727)^2)+((Graph!$E$18-$Z727)^2))+(Graph!$D$23^2),3/2))</f>
        <v>36.312980753432541</v>
      </c>
      <c r="Q727">
        <f>Graph!$D$31*((Graph!$D$27-Y727)/POWER((((Graph!$D$27-$Y727)^2)+((Graph!$E$27-$Z727)^2))+(Graph!$D$32^2),3/2))</f>
        <v>325.6342656208069</v>
      </c>
      <c r="R727">
        <f>Graph!$D$31*((Graph!$E$27-Z727)/POWER((((Graph!$D$27-$Y727)^2)+((Graph!$E$27-$Z727)^2))+(Graph!$D$32^2),3/2))</f>
        <v>201.94096432242591</v>
      </c>
      <c r="S727">
        <f>Graph!$D$40*((Graph!$D$36-Y727)/POWER((((Graph!$D$36-$Y727)^2)+((Graph!$E$36-$Z727)^2))+(Graph!$D$41^2),3/2))</f>
        <v>293.80513660701905</v>
      </c>
      <c r="T727">
        <f>Graph!$D$40*((Graph!$E$36-Z727)/POWER((((Graph!$D$36-$Y727)^2)+((Graph!$E$36-$Z727)^2))+(Graph!$D$41^2),3/2))</f>
        <v>-106.74188490490586</v>
      </c>
      <c r="U727">
        <f>O727+Q727+S727</f>
        <v>791.64961943584467</v>
      </c>
      <c r="V727">
        <f>P727+R727+T727</f>
        <v>131.51206017095257</v>
      </c>
      <c r="W727">
        <f>W726+(U726*Graph!$D$5)</f>
        <v>2248.4119487054222</v>
      </c>
      <c r="X727">
        <f>X726+(V726*Graph!$D$5)</f>
        <v>3651.6243969446773</v>
      </c>
      <c r="Y727">
        <f>Y726+(W726*Graph!$D$5)+(U726*Graph!$D$5^2)</f>
        <v>-38032.173934011953</v>
      </c>
      <c r="Z727">
        <f>Z726+(X726*Graph!$D$5)+(V726*Graph!$D$5^2)</f>
        <v>-1182.5903398767225</v>
      </c>
    </row>
    <row r="728" spans="14:26" x14ac:dyDescent="0.35">
      <c r="N728">
        <f>N727+1</f>
        <v>725</v>
      </c>
      <c r="O728">
        <f>Graph!$D$22*((Graph!$D$18-Y728)/POWER((((Graph!$D$18-$Y728)^2)+((Graph!$E$18-$Z728)^2))+(Graph!$D$23^2),(3/2)))</f>
        <v>184.13380833056138</v>
      </c>
      <c r="P728" s="84">
        <f>Graph!$D$22*((Graph!$E$18-Z728)/POWER((((Graph!$D$18-$Y728)^2)+((Graph!$E$18-$Z728)^2))+(Graph!$D$23^2),3/2))</f>
        <v>33.201380666499716</v>
      </c>
      <c r="Q728">
        <f>Graph!$D$31*((Graph!$D$27-Y728)/POWER((((Graph!$D$27-$Y728)^2)+((Graph!$E$27-$Z728)^2))+(Graph!$D$32^2),3/2))</f>
        <v>407.68514453637709</v>
      </c>
      <c r="R728">
        <f>Graph!$D$31*((Graph!$E$27-Z728)/POWER((((Graph!$D$27-$Y728)^2)+((Graph!$E$27-$Z728)^2))+(Graph!$D$32^2),3/2))</f>
        <v>227.48072609288968</v>
      </c>
      <c r="S728">
        <f>Graph!$D$40*((Graph!$D$36-Y728)/POWER((((Graph!$D$36-$Y728)^2)+((Graph!$E$36-$Z728)^2))+(Graph!$D$41^2),3/2))</f>
        <v>295.23485277421702</v>
      </c>
      <c r="T728">
        <f>Graph!$D$40*((Graph!$E$36-Z728)/POWER((((Graph!$D$36-$Y728)^2)+((Graph!$E$36-$Z728)^2))+(Graph!$D$41^2),3/2))</f>
        <v>-126.07256971754589</v>
      </c>
      <c r="U728">
        <f>O728+Q728+S728</f>
        <v>887.05380564115558</v>
      </c>
      <c r="V728">
        <f>P728+R728+T728</f>
        <v>134.60953704184351</v>
      </c>
      <c r="W728">
        <f>W727+(U727*Graph!$D$5)</f>
        <v>2644.2367584233443</v>
      </c>
      <c r="X728">
        <f>X727+(V727*Graph!$D$5)</f>
        <v>3717.3804270301534</v>
      </c>
      <c r="Y728">
        <f>Y727+(W727*Graph!$D$5)+(U727*Graph!$D$5^2)</f>
        <v>-36710.055554800281</v>
      </c>
      <c r="Z728">
        <f>Z727+(X727*Graph!$D$5)+(V727*Graph!$D$5^2)</f>
        <v>676.09987363835432</v>
      </c>
    </row>
    <row r="729" spans="14:26" x14ac:dyDescent="0.35">
      <c r="N729">
        <f>N728+1</f>
        <v>726</v>
      </c>
      <c r="O729">
        <f>Graph!$D$22*((Graph!$D$18-Y729)/POWER((((Graph!$D$18-$Y729)^2)+((Graph!$E$18-$Z729)^2))+(Graph!$D$23^2),(3/2)))</f>
        <v>198.48766612860322</v>
      </c>
      <c r="P729" s="84">
        <f>Graph!$D$22*((Graph!$E$18-Z729)/POWER((((Graph!$D$18-$Y729)^2)+((Graph!$E$18-$Z729)^2))+(Graph!$D$23^2),3/2))</f>
        <v>29.403727652415601</v>
      </c>
      <c r="Q729">
        <f>Graph!$D$31*((Graph!$D$27-Y729)/POWER((((Graph!$D$27-$Y729)^2)+((Graph!$E$27-$Z729)^2))+(Graph!$D$32^2),3/2))</f>
        <v>530.83347247121094</v>
      </c>
      <c r="R729">
        <f>Graph!$D$31*((Graph!$E$27-Z729)/POWER((((Graph!$D$27-$Y729)^2)+((Graph!$E$27-$Z729)^2))+(Graph!$D$32^2),3/2))</f>
        <v>260.11303579358571</v>
      </c>
      <c r="S729">
        <f>Graph!$D$40*((Graph!$D$36-Y729)/POWER((((Graph!$D$36-$Y729)^2)+((Graph!$E$36-$Z729)^2))+(Graph!$D$41^2),3/2))</f>
        <v>295.90047866761745</v>
      </c>
      <c r="T729">
        <f>Graph!$D$40*((Graph!$E$36-Z729)/POWER((((Graph!$D$36-$Y729)^2)+((Graph!$E$36-$Z729)^2))+(Graph!$D$41^2),3/2))</f>
        <v>-147.82701631146358</v>
      </c>
      <c r="U729">
        <f>O729+Q729+S729</f>
        <v>1025.2216172674316</v>
      </c>
      <c r="V729">
        <f>P729+R729+T729</f>
        <v>141.68974713453775</v>
      </c>
      <c r="W729">
        <f>W728+(U728*Graph!$D$5)</f>
        <v>3087.7636612439219</v>
      </c>
      <c r="X729">
        <f>X728+(V728*Graph!$D$5)</f>
        <v>3784.6851955510751</v>
      </c>
      <c r="Y729">
        <f>Y728+(W728*Graph!$D$5)+(U728*Graph!$D$5^2)</f>
        <v>-35166.173724178319</v>
      </c>
      <c r="Z729">
        <f>Z728+(X728*Graph!$D$5)+(V728*Graph!$D$5^2)</f>
        <v>2568.4424714138922</v>
      </c>
    </row>
    <row r="730" spans="14:26" x14ac:dyDescent="0.35">
      <c r="N730">
        <f>N729+1</f>
        <v>727</v>
      </c>
      <c r="O730">
        <f>Graph!$D$22*((Graph!$D$18-Y730)/POWER((((Graph!$D$18-$Y730)^2)+((Graph!$E$18-$Z730)^2))+(Graph!$D$23^2),(3/2)))</f>
        <v>216.12250049198786</v>
      </c>
      <c r="P730" s="84">
        <f>Graph!$D$22*((Graph!$E$18-Z730)/POWER((((Graph!$D$18-$Y730)^2)+((Graph!$E$18-$Z730)^2))+(Graph!$D$23^2),3/2))</f>
        <v>24.593593191007798</v>
      </c>
      <c r="Q730">
        <f>Graph!$D$31*((Graph!$D$27-Y730)/POWER((((Graph!$D$27-$Y730)^2)+((Graph!$E$27-$Z730)^2))+(Graph!$D$32^2),3/2))</f>
        <v>729.69541940710553</v>
      </c>
      <c r="R730">
        <f>Graph!$D$31*((Graph!$E$27-Z730)/POWER((((Graph!$D$27-$Y730)^2)+((Graph!$E$27-$Z730)^2))+(Graph!$D$32^2),3/2))</f>
        <v>300.47106328379755</v>
      </c>
      <c r="S730">
        <f>Graph!$D$40*((Graph!$D$36-Y730)/POWER((((Graph!$D$36-$Y730)^2)+((Graph!$E$36-$Z730)^2))+(Graph!$D$41^2),3/2))</f>
        <v>295.27528087045221</v>
      </c>
      <c r="T730">
        <f>Graph!$D$40*((Graph!$E$36-Z730)/POWER((((Graph!$D$36-$Y730)^2)+((Graph!$E$36-$Z730)^2))+(Graph!$D$41^2),3/2))</f>
        <v>-172.53343158582652</v>
      </c>
      <c r="U730">
        <f>O730+Q730+S730</f>
        <v>1241.0932007695455</v>
      </c>
      <c r="V730">
        <f>P730+R730+T730</f>
        <v>152.53122488897884</v>
      </c>
      <c r="W730">
        <f>W729+(U729*Graph!$D$5)</f>
        <v>3600.3744698776377</v>
      </c>
      <c r="X730">
        <f>X729+(V729*Graph!$D$5)</f>
        <v>3855.5300691183438</v>
      </c>
      <c r="Y730">
        <f>Y729+(W729*Graph!$D$5)+(U729*Graph!$D$5^2)</f>
        <v>-33365.986489239498</v>
      </c>
      <c r="Z730">
        <f>Z729+(X729*Graph!$D$5)+(V729*Graph!$D$5^2)</f>
        <v>4496.2075059730641</v>
      </c>
    </row>
    <row r="731" spans="14:26" x14ac:dyDescent="0.35">
      <c r="N731">
        <f>N730+1</f>
        <v>728</v>
      </c>
      <c r="O731">
        <f>Graph!$D$22*((Graph!$D$18-Y731)/POWER((((Graph!$D$18-$Y731)^2)+((Graph!$E$18-$Z731)^2))+(Graph!$D$23^2),(3/2)))</f>
        <v>238.42267579454986</v>
      </c>
      <c r="P731" s="84">
        <f>Graph!$D$22*((Graph!$E$18-Z731)/POWER((((Graph!$D$18-$Y731)^2)+((Graph!$E$18-$Z731)^2))+(Graph!$D$23^2),3/2))</f>
        <v>18.235968406086389</v>
      </c>
      <c r="Q731">
        <f>Graph!$D$31*((Graph!$D$27-Y731)/POWER((((Graph!$D$27-$Y731)^2)+((Graph!$E$27-$Z731)^2))+(Graph!$D$32^2),3/2))</f>
        <v>1084.5243158520159</v>
      </c>
      <c r="R731">
        <f>Graph!$D$31*((Graph!$E$27-Z731)/POWER((((Graph!$D$27-$Y731)^2)+((Graph!$E$27-$Z731)^2))+(Graph!$D$32^2),3/2))</f>
        <v>340.89324603859245</v>
      </c>
      <c r="S731">
        <f>Graph!$D$40*((Graph!$D$36-Y731)/POWER((((Graph!$D$36-$Y731)^2)+((Graph!$E$36-$Z731)^2))+(Graph!$D$41^2),3/2))</f>
        <v>292.59595462532684</v>
      </c>
      <c r="T731">
        <f>Graph!$D$40*((Graph!$E$36-Z731)/POWER((((Graph!$D$36-$Y731)^2)+((Graph!$E$36-$Z731)^2))+(Graph!$D$41^2),3/2))</f>
        <v>-200.91567844429568</v>
      </c>
      <c r="U731">
        <f>O731+Q731+S731</f>
        <v>1615.5429462718926</v>
      </c>
      <c r="V731">
        <f>P731+R731+T731</f>
        <v>158.21353600038316</v>
      </c>
      <c r="W731">
        <f>W730+(U730*Graph!$D$5)</f>
        <v>4220.9210702624105</v>
      </c>
      <c r="X731">
        <f>X730+(V730*Graph!$D$5)</f>
        <v>3931.7956815628331</v>
      </c>
      <c r="Y731">
        <f>Y730+(W730*Graph!$D$5)+(U730*Graph!$D$5^2)</f>
        <v>-31255.525954108292</v>
      </c>
      <c r="Z731">
        <f>Z730+(X730*Graph!$D$5)+(V730*Graph!$D$5^2)</f>
        <v>6462.1053467544807</v>
      </c>
    </row>
    <row r="732" spans="14:26" x14ac:dyDescent="0.35">
      <c r="N732">
        <f>N731+1</f>
        <v>729</v>
      </c>
      <c r="O732">
        <f>Graph!$D$22*((Graph!$D$18-Y732)/POWER((((Graph!$D$18-$Y732)^2)+((Graph!$E$18-$Z732)^2))+(Graph!$D$23^2),(3/2)))</f>
        <v>267.89951054882476</v>
      </c>
      <c r="P732" s="84">
        <f>Graph!$D$22*((Graph!$E$18-Z732)/POWER((((Graph!$D$18-$Y732)^2)+((Graph!$E$18-$Z732)^2))+(Graph!$D$23^2),3/2))</f>
        <v>9.385682951627679</v>
      </c>
      <c r="Q732">
        <f>Graph!$D$31*((Graph!$D$27-Y732)/POWER((((Graph!$D$27-$Y732)^2)+((Graph!$E$27-$Z732)^2))+(Graph!$D$32^2),3/2))</f>
        <v>1808.2289549455429</v>
      </c>
      <c r="R732">
        <f>Graph!$D$31*((Graph!$E$27-Z732)/POWER((((Graph!$D$27-$Y732)^2)+((Graph!$E$27-$Z732)^2))+(Graph!$D$32^2),3/2))</f>
        <v>317.00624856631833</v>
      </c>
      <c r="S732">
        <f>Graph!$D$40*((Graph!$D$36-Y732)/POWER((((Graph!$D$36-$Y732)^2)+((Graph!$E$36-$Z732)^2))+(Graph!$D$41^2),3/2))</f>
        <v>286.73629529769107</v>
      </c>
      <c r="T732">
        <f>Graph!$D$40*((Graph!$E$36-Z732)/POWER((((Graph!$D$36-$Y732)^2)+((Graph!$E$36-$Z732)^2))+(Graph!$D$41^2),3/2))</f>
        <v>-234.12400970895646</v>
      </c>
      <c r="U732">
        <f>O732+Q732+S732</f>
        <v>2362.8647607920584</v>
      </c>
      <c r="V732">
        <f>P732+R732+T732</f>
        <v>92.26792180898957</v>
      </c>
      <c r="W732">
        <f>W731+(U731*Graph!$D$5)</f>
        <v>5028.692543398357</v>
      </c>
      <c r="X732">
        <f>X731+(V731*Graph!$D$5)</f>
        <v>4010.9024495630247</v>
      </c>
      <c r="Y732">
        <f>Y731+(W731*Graph!$D$5)+(U731*Graph!$D$5^2)</f>
        <v>-28741.179682409114</v>
      </c>
      <c r="Z732">
        <f>Z731+(X731*Graph!$D$5)+(V731*Graph!$D$5^2)</f>
        <v>8467.5565715359935</v>
      </c>
    </row>
    <row r="733" spans="14:26" x14ac:dyDescent="0.35">
      <c r="N733">
        <f>N732+1</f>
        <v>730</v>
      </c>
      <c r="O733">
        <f>Graph!$D$22*((Graph!$D$18-Y733)/POWER((((Graph!$D$18-$Y733)^2)+((Graph!$E$18-$Z733)^2))+(Graph!$D$23^2),(3/2)))</f>
        <v>309.94876019661444</v>
      </c>
      <c r="P733" s="84">
        <f>Graph!$D$22*((Graph!$E$18-Z733)/POWER((((Graph!$D$18-$Y733)^2)+((Graph!$E$18-$Z733)^2))+(Graph!$D$23^2),3/2))</f>
        <v>-3.7837710032735385</v>
      </c>
      <c r="Q733">
        <f>Graph!$D$31*((Graph!$D$27-Y733)/POWER((((Graph!$D$27-$Y733)^2)+((Graph!$E$27-$Z733)^2))+(Graph!$D$32^2),3/2))</f>
        <v>3437.3801912606041</v>
      </c>
      <c r="R733">
        <f>Graph!$D$31*((Graph!$E$27-Z733)/POWER((((Graph!$D$27-$Y733)^2)+((Graph!$E$27-$Z733)^2))+(Graph!$D$32^2),3/2))</f>
        <v>-302.54828711626715</v>
      </c>
      <c r="S733">
        <f>Graph!$D$40*((Graph!$D$36-Y733)/POWER((((Graph!$D$36-$Y733)^2)+((Graph!$E$36-$Z733)^2))+(Graph!$D$41^2),3/2))</f>
        <v>276.03695245897381</v>
      </c>
      <c r="T733">
        <f>Graph!$D$40*((Graph!$E$36-Z733)/POWER((((Graph!$D$36-$Y733)^2)+((Graph!$E$36-$Z733)^2))+(Graph!$D$41^2),3/2))</f>
        <v>-274.52904511664957</v>
      </c>
      <c r="U733">
        <f>O733+Q733+S733</f>
        <v>4023.3659039161921</v>
      </c>
      <c r="V733">
        <f>P733+R733+T733</f>
        <v>-580.86110323619027</v>
      </c>
      <c r="W733">
        <f>W732+(U732*Graph!$D$5)</f>
        <v>6210.1249237943866</v>
      </c>
      <c r="X733">
        <f>X732+(V732*Graph!$D$5)</f>
        <v>4057.0364104675195</v>
      </c>
      <c r="Y733">
        <f>Y732+(W732*Graph!$D$5)+(U732*Graph!$D$5^2)</f>
        <v>-25636.117220511922</v>
      </c>
      <c r="Z733">
        <f>Z732+(X732*Graph!$D$5)+(V732*Graph!$D$5^2)</f>
        <v>10496.074776769754</v>
      </c>
    </row>
    <row r="734" spans="14:26" x14ac:dyDescent="0.35">
      <c r="N734">
        <f>N733+1</f>
        <v>731</v>
      </c>
      <c r="O734">
        <f>Graph!$D$22*((Graph!$D$18-Y734)/POWER((((Graph!$D$18-$Y734)^2)+((Graph!$E$18-$Z734)^2))+(Graph!$D$23^2),(3/2)))</f>
        <v>379.32412663001196</v>
      </c>
      <c r="P734" s="84">
        <f>Graph!$D$22*((Graph!$E$18-Z734)/POWER((((Graph!$D$18-$Y734)^2)+((Graph!$E$18-$Z734)^2))+(Graph!$D$23^2),3/2))</f>
        <v>-24.710475017382532</v>
      </c>
      <c r="Q734">
        <f>Graph!$D$31*((Graph!$D$27-Y734)/POWER((((Graph!$D$27-$Y734)^2)+((Graph!$E$27-$Z734)^2))+(Graph!$D$32^2),3/2))</f>
        <v>3008.7156530005122</v>
      </c>
      <c r="R734">
        <f>Graph!$D$31*((Graph!$E$27-Z734)/POWER((((Graph!$D$27-$Y734)^2)+((Graph!$E$27-$Z734)^2))+(Graph!$D$32^2),3/2))</f>
        <v>-4693.6851590071938</v>
      </c>
      <c r="S734">
        <f>Graph!$D$40*((Graph!$D$36-Y734)/POWER((((Graph!$D$36-$Y734)^2)+((Graph!$E$36-$Z734)^2))+(Graph!$D$41^2),3/2))</f>
        <v>258.75185231021288</v>
      </c>
      <c r="T734">
        <f>Graph!$D$40*((Graph!$E$36-Z734)/POWER((((Graph!$D$36-$Y734)^2)+((Graph!$E$36-$Z734)^2))+(Graph!$D$41^2),3/2))</f>
        <v>-329.12401858957566</v>
      </c>
      <c r="U734">
        <f>O734+Q734+S734</f>
        <v>3646.7916319407373</v>
      </c>
      <c r="V734">
        <f>P734+R734+T734</f>
        <v>-5047.5196526141517</v>
      </c>
      <c r="W734">
        <f>W733+(U733*Graph!$D$5)</f>
        <v>8221.8078757524818</v>
      </c>
      <c r="X734">
        <f>X733+(V733*Graph!$D$5)</f>
        <v>3766.6058588494243</v>
      </c>
      <c r="Y734">
        <f>Y733+(W733*Graph!$D$5)+(U733*Graph!$D$5^2)</f>
        <v>-21525.213282635683</v>
      </c>
      <c r="Z734">
        <f>Z733+(X733*Graph!$D$5)+(V733*Graph!$D$5^2)</f>
        <v>12379.377706194467</v>
      </c>
    </row>
    <row r="735" spans="14:26" x14ac:dyDescent="0.35">
      <c r="N735">
        <f>N734+1</f>
        <v>732</v>
      </c>
      <c r="O735">
        <f>Graph!$D$22*((Graph!$D$18-Y735)/POWER((((Graph!$D$18-$Y735)^2)+((Graph!$E$18-$Z735)^2))+(Graph!$D$23^2),(3/2)))</f>
        <v>501.60048059876777</v>
      </c>
      <c r="P735" s="84">
        <f>Graph!$D$22*((Graph!$E$18-Z735)/POWER((((Graph!$D$18-$Y735)^2)+((Graph!$E$18-$Z735)^2))+(Graph!$D$23^2),3/2))</f>
        <v>-47.780263791490356</v>
      </c>
      <c r="Q735">
        <f>Graph!$D$31*((Graph!$D$27-Y735)/POWER((((Graph!$D$27-$Y735)^2)+((Graph!$E$27-$Z735)^2))+(Graph!$D$32^2),3/2))</f>
        <v>-3241.3906429723947</v>
      </c>
      <c r="R735">
        <f>Graph!$D$31*((Graph!$E$27-Z735)/POWER((((Graph!$D$27-$Y735)^2)+((Graph!$E$27-$Z735)^2))+(Graph!$D$32^2),3/2))</f>
        <v>-2781.1514812794085</v>
      </c>
      <c r="S735">
        <f>Graph!$D$40*((Graph!$D$36-Y735)/POWER((((Graph!$D$36-$Y735)^2)+((Graph!$E$36-$Z735)^2))+(Graph!$D$41^2),3/2))</f>
        <v>242.98707831310921</v>
      </c>
      <c r="T735">
        <f>Graph!$D$40*((Graph!$E$36-Z735)/POWER((((Graph!$D$36-$Y735)^2)+((Graph!$E$36-$Z735)^2))+(Graph!$D$41^2),3/2))</f>
        <v>-412.28824807799384</v>
      </c>
      <c r="U735">
        <f>O735+Q735+S735</f>
        <v>-2496.8030840605179</v>
      </c>
      <c r="V735">
        <f>P735+R735+T735</f>
        <v>-3241.2199931488926</v>
      </c>
      <c r="W735">
        <f>W734+(U734*Graph!$D$5)</f>
        <v>10045.203691722851</v>
      </c>
      <c r="X735">
        <f>X734+(V734*Graph!$D$5)</f>
        <v>1242.8460325423484</v>
      </c>
      <c r="Y735">
        <f>Y734+(W734*Graph!$D$5)+(U734*Graph!$D$5^2)</f>
        <v>-16502.611436774259</v>
      </c>
      <c r="Z735">
        <f>Z734+(X734*Graph!$D$5)+(V734*Graph!$D$5^2)</f>
        <v>13000.800722465641</v>
      </c>
    </row>
    <row r="736" spans="14:26" x14ac:dyDescent="0.35">
      <c r="N736">
        <f>N735+1</f>
        <v>733</v>
      </c>
      <c r="O736">
        <f>Graph!$D$22*((Graph!$D$18-Y736)/POWER((((Graph!$D$18-$Y736)^2)+((Graph!$E$18-$Z736)^2))+(Graph!$D$23^2),(3/2)))</f>
        <v>667.38973257532155</v>
      </c>
      <c r="P736" s="84">
        <f>Graph!$D$22*((Graph!$E$18-Z736)/POWER((((Graph!$D$18-$Y736)^2)+((Graph!$E$18-$Z736)^2))+(Graph!$D$23^2),3/2))</f>
        <v>-69.238161567998517</v>
      </c>
      <c r="Q736">
        <f>Graph!$D$31*((Graph!$D$27-Y736)/POWER((((Graph!$D$27-$Y736)^2)+((Graph!$E$27-$Z736)^2))+(Graph!$D$32^2),3/2))</f>
        <v>-1892.3627044354357</v>
      </c>
      <c r="R736">
        <f>Graph!$D$31*((Graph!$E$27-Z736)/POWER((((Graph!$D$27-$Y736)^2)+((Graph!$E$27-$Z736)^2))+(Graph!$D$32^2),3/2))</f>
        <v>-673.9250152603073</v>
      </c>
      <c r="S736">
        <f>Graph!$D$40*((Graph!$D$36-Y736)/POWER((((Graph!$D$36-$Y736)^2)+((Graph!$E$36-$Z736)^2))+(Graph!$D$41^2),3/2))</f>
        <v>218.16105064464401</v>
      </c>
      <c r="T736">
        <f>Graph!$D$40*((Graph!$E$36-Z736)/POWER((((Graph!$D$36-$Y736)^2)+((Graph!$E$36-$Z736)^2))+(Graph!$D$41^2),3/2))</f>
        <v>-501.26999047738917</v>
      </c>
      <c r="U736">
        <f>O736+Q736+S736</f>
        <v>-1006.8119212154703</v>
      </c>
      <c r="V736">
        <f>P736+R736+T736</f>
        <v>-1244.433167305695</v>
      </c>
      <c r="W736">
        <f>W735+(U735*Graph!$D$5)</f>
        <v>8796.8021496925921</v>
      </c>
      <c r="X736">
        <f>X735+(V735*Graph!$D$5)</f>
        <v>-377.76396403209787</v>
      </c>
      <c r="Y736">
        <f>Y735+(W735*Graph!$D$5)+(U735*Graph!$D$5^2)</f>
        <v>-12104.210361927964</v>
      </c>
      <c r="Z736">
        <f>Z735+(X735*Graph!$D$5)+(V735*Graph!$D$5^2)</f>
        <v>12811.918740449591</v>
      </c>
    </row>
    <row r="737" spans="14:26" x14ac:dyDescent="0.35">
      <c r="N737">
        <f>N736+1</f>
        <v>734</v>
      </c>
      <c r="O737">
        <f>Graph!$D$22*((Graph!$D$18-Y737)/POWER((((Graph!$D$18-$Y737)^2)+((Graph!$E$18-$Z737)^2))+(Graph!$D$23^2),(3/2)))</f>
        <v>913.44394911761799</v>
      </c>
      <c r="P737" s="84">
        <f>Graph!$D$22*((Graph!$E$18-Z737)/POWER((((Graph!$D$18-$Y737)^2)+((Graph!$E$18-$Z737)^2))+(Graph!$D$23^2),3/2))</f>
        <v>-91.988062296069685</v>
      </c>
      <c r="Q737">
        <f>Graph!$D$31*((Graph!$D$27-Y737)/POWER((((Graph!$D$27-$Y737)^2)+((Graph!$E$27-$Z737)^2))+(Graph!$D$32^2),3/2))</f>
        <v>-1042.9462921360721</v>
      </c>
      <c r="R737">
        <f>Graph!$D$31*((Graph!$E$27-Z737)/POWER((((Graph!$D$27-$Y737)^2)+((Graph!$E$27-$Z737)^2))+(Graph!$D$32^2),3/2))</f>
        <v>-200.22583999828129</v>
      </c>
      <c r="S737">
        <f>Graph!$D$40*((Graph!$D$36-Y737)/POWER((((Graph!$D$36-$Y737)^2)+((Graph!$E$36-$Z737)^2))+(Graph!$D$41^2),3/2))</f>
        <v>172.91040293076622</v>
      </c>
      <c r="T737">
        <f>Graph!$D$40*((Graph!$E$36-Z737)/POWER((((Graph!$D$36-$Y737)^2)+((Graph!$E$36-$Z737)^2))+(Graph!$D$41^2),3/2))</f>
        <v>-593.46644997744977</v>
      </c>
      <c r="U737">
        <f>O737+Q737+S737</f>
        <v>43.408059912312126</v>
      </c>
      <c r="V737">
        <f>P737+R737+T737</f>
        <v>-885.68035227180076</v>
      </c>
      <c r="W737">
        <f>W736+(U736*Graph!$D$5)</f>
        <v>8293.3961890848568</v>
      </c>
      <c r="X737">
        <f>X736+(V736*Graph!$D$5)</f>
        <v>-999.98054768494535</v>
      </c>
      <c r="Y737">
        <f>Y736+(W736*Graph!$D$5)+(U736*Graph!$D$5^2)</f>
        <v>-7957.5122673855358</v>
      </c>
      <c r="Z737">
        <f>Z736+(X736*Graph!$D$5)+(V736*Graph!$D$5^2)</f>
        <v>12311.928466607118</v>
      </c>
    </row>
    <row r="738" spans="14:26" x14ac:dyDescent="0.35">
      <c r="N738">
        <f>N737+1</f>
        <v>735</v>
      </c>
      <c r="O738">
        <f>Graph!$D$22*((Graph!$D$18-Y738)/POWER((((Graph!$D$18-$Y738)^2)+((Graph!$E$18-$Z738)^2))+(Graph!$D$23^2),(3/2)))</f>
        <v>1323.7997500111289</v>
      </c>
      <c r="P738" s="84">
        <f>Graph!$D$22*((Graph!$E$18-Z738)/POWER((((Graph!$D$18-$Y738)^2)+((Graph!$E$18-$Z738)^2))+(Graph!$D$23^2),3/2))</f>
        <v>-111.99636742379307</v>
      </c>
      <c r="Q738">
        <f>Graph!$D$31*((Graph!$D$27-Y738)/POWER((((Graph!$D$27-$Y738)^2)+((Graph!$E$27-$Z738)^2))+(Graph!$D$32^2),3/2))</f>
        <v>-630.33241871250789</v>
      </c>
      <c r="R738">
        <f>Graph!$D$31*((Graph!$E$27-Z738)/POWER((((Graph!$D$27-$Y738)^2)+((Graph!$E$27-$Z738)^2))+(Graph!$D$32^2),3/2))</f>
        <v>-61.885974200130377</v>
      </c>
      <c r="S738">
        <f>Graph!$D$40*((Graph!$D$36-Y738)/POWER((((Graph!$D$36-$Y738)^2)+((Graph!$E$36-$Z738)^2))+(Graph!$D$41^2),3/2))</f>
        <v>97.552234194334588</v>
      </c>
      <c r="T738">
        <f>Graph!$D$40*((Graph!$E$36-Z738)/POWER((((Graph!$D$36-$Y738)^2)+((Graph!$E$36-$Z738)^2))+(Graph!$D$41^2),3/2))</f>
        <v>-682.62902148358728</v>
      </c>
      <c r="U738">
        <f>O738+Q738+S738</f>
        <v>791.01956549295562</v>
      </c>
      <c r="V738">
        <f>P738+R738+T738</f>
        <v>-856.51136310751076</v>
      </c>
      <c r="W738">
        <f>W737+(U737*Graph!$D$5)</f>
        <v>8315.1002190410127</v>
      </c>
      <c r="X738">
        <f>X737+(V737*Graph!$D$5)</f>
        <v>-1442.8207238208456</v>
      </c>
      <c r="Y738">
        <f>Y737+(W737*Graph!$D$5)+(U737*Graph!$D$5^2)</f>
        <v>-3799.9621578650294</v>
      </c>
      <c r="Z738">
        <f>Z737+(X737*Graph!$D$5)+(V737*Graph!$D$5^2)</f>
        <v>11590.518104696694</v>
      </c>
    </row>
    <row r="739" spans="14:26" x14ac:dyDescent="0.35">
      <c r="N739">
        <f>N738+1</f>
        <v>736</v>
      </c>
      <c r="O739">
        <f>Graph!$D$22*((Graph!$D$18-Y739)/POWER((((Graph!$D$18-$Y739)^2)+((Graph!$E$18-$Z739)^2))+(Graph!$D$23^2),(3/2)))</f>
        <v>2111.8711392292767</v>
      </c>
      <c r="P739" s="84">
        <f>Graph!$D$22*((Graph!$E$18-Z739)/POWER((((Graph!$D$18-$Y739)^2)+((Graph!$E$18-$Z739)^2))+(Graph!$D$23^2),3/2))</f>
        <v>-95.760884927703728</v>
      </c>
      <c r="Q739">
        <f>Graph!$D$31*((Graph!$D$27-Y739)/POWER((((Graph!$D$27-$Y739)^2)+((Graph!$E$27-$Z739)^2))+(Graph!$D$32^2),3/2))</f>
        <v>-406.61412721648674</v>
      </c>
      <c r="R739">
        <f>Graph!$D$31*((Graph!$E$27-Z739)/POWER((((Graph!$D$27-$Y739)^2)+((Graph!$E$27-$Z739)^2))+(Graph!$D$32^2),3/2))</f>
        <v>-12.956440728509321</v>
      </c>
      <c r="S739">
        <f>Graph!$D$40*((Graph!$D$36-Y739)/POWER((((Graph!$D$36-$Y739)^2)+((Graph!$E$36-$Z739)^2))+(Graph!$D$41^2),3/2))</f>
        <v>-16.272901138319828</v>
      </c>
      <c r="T739">
        <f>Graph!$D$40*((Graph!$E$36-Z739)/POWER((((Graph!$D$36-$Y739)^2)+((Graph!$E$36-$Z739)^2))+(Graph!$D$41^2),3/2))</f>
        <v>-751.75354628526964</v>
      </c>
      <c r="U739">
        <f>O739+Q739+S739</f>
        <v>1688.9841108744699</v>
      </c>
      <c r="V739">
        <f>P739+R739+T739</f>
        <v>-860.47087194148264</v>
      </c>
      <c r="W739">
        <f>W738+(U738*Graph!$D$5)</f>
        <v>8710.6100017874905</v>
      </c>
      <c r="X739">
        <f>X738+(V738*Graph!$D$5)</f>
        <v>-1871.0764053746011</v>
      </c>
      <c r="Y739">
        <f>Y738+(W738*Graph!$D$5)+(U738*Graph!$D$5^2)</f>
        <v>555.34284302871583</v>
      </c>
      <c r="Z739">
        <f>Z738+(X738*Graph!$D$5)+(V738*Graph!$D$5^2)</f>
        <v>10654.979902009394</v>
      </c>
    </row>
    <row r="740" spans="14:26" x14ac:dyDescent="0.35">
      <c r="N740">
        <f>N739+1</f>
        <v>737</v>
      </c>
      <c r="O740">
        <f>Graph!$D$22*((Graph!$D$18-Y740)/POWER((((Graph!$D$18-$Y740)^2)+((Graph!$E$18-$Z740)^2))+(Graph!$D$23^2),(3/2)))</f>
        <v>3914.0513433024394</v>
      </c>
      <c r="P740" s="84">
        <f>Graph!$D$22*((Graph!$E$18-Z740)/POWER((((Graph!$D$18-$Y740)^2)+((Graph!$E$18-$Z740)^2))+(Graph!$D$23^2),3/2))</f>
        <v>200.69101972517174</v>
      </c>
      <c r="Q740">
        <f>Graph!$D$31*((Graph!$D$27-Y740)/POWER((((Graph!$D$27-$Y740)^2)+((Graph!$E$27-$Z740)^2))+(Graph!$D$32^2),3/2))</f>
        <v>-271.86966224162637</v>
      </c>
      <c r="R740">
        <f>Graph!$D$31*((Graph!$E$27-Z740)/POWER((((Graph!$D$27-$Y740)^2)+((Graph!$E$27-$Z740)^2))+(Graph!$D$32^2),3/2))</f>
        <v>5.3195372174244921</v>
      </c>
      <c r="S740">
        <f>Graph!$D$40*((Graph!$D$36-Y740)/POWER((((Graph!$D$36-$Y740)^2)+((Graph!$E$36-$Z740)^2))+(Graph!$D$41^2),3/2))</f>
        <v>-166.9909412554247</v>
      </c>
      <c r="T740">
        <f>Graph!$D$40*((Graph!$E$36-Z740)/POWER((((Graph!$D$36-$Y740)^2)+((Graph!$E$36-$Z740)^2))+(Graph!$D$41^2),3/2))</f>
        <v>-767.31324960946097</v>
      </c>
      <c r="U740">
        <f>O740+Q740+S740</f>
        <v>3475.1907398053881</v>
      </c>
      <c r="V740">
        <f>P740+R740+T740</f>
        <v>-561.30269266686469</v>
      </c>
      <c r="W740">
        <f>W739+(U739*Graph!$D$5)</f>
        <v>9555.1020572247253</v>
      </c>
      <c r="X740">
        <f>X739+(V739*Graph!$D$5)</f>
        <v>-2301.3118413453426</v>
      </c>
      <c r="Y740">
        <f>Y739+(W739*Graph!$D$5)+(U739*Graph!$D$5^2)</f>
        <v>5332.8938716410785</v>
      </c>
      <c r="Z740">
        <f>Z739+(X739*Graph!$D$5)+(V739*Graph!$D$5^2)</f>
        <v>9504.3239813367218</v>
      </c>
    </row>
    <row r="741" spans="14:26" x14ac:dyDescent="0.35">
      <c r="N741">
        <f>N740+1</f>
        <v>738</v>
      </c>
      <c r="O741">
        <f>Graph!$D$22*((Graph!$D$18-Y741)/POWER((((Graph!$D$18-$Y741)^2)+((Graph!$E$18-$Z741)^2))+(Graph!$D$23^2),(3/2)))</f>
        <v>7125.8918114050784</v>
      </c>
      <c r="P741" s="84">
        <f>Graph!$D$22*((Graph!$E$18-Z741)/POWER((((Graph!$D$18-$Y741)^2)+((Graph!$E$18-$Z741)^2))+(Graph!$D$23^2),3/2))</f>
        <v>3166.4503816790821</v>
      </c>
      <c r="Q741">
        <f>Graph!$D$31*((Graph!$D$27-Y741)/POWER((((Graph!$D$27-$Y741)^2)+((Graph!$E$27-$Z741)^2))+(Graph!$D$32^2),3/2))</f>
        <v>-182.70593200991007</v>
      </c>
      <c r="R741">
        <f>Graph!$D$31*((Graph!$E$27-Z741)/POWER((((Graph!$D$27-$Y741)^2)+((Graph!$E$27-$Z741)^2))+(Graph!$D$32^2),3/2))</f>
        <v>10.53715058969194</v>
      </c>
      <c r="S741">
        <f>Graph!$D$40*((Graph!$D$36-Y741)/POWER((((Graph!$D$36-$Y741)^2)+((Graph!$E$36-$Z741)^2))+(Graph!$D$41^2),3/2))</f>
        <v>-321.07250424116575</v>
      </c>
      <c r="T741">
        <f>Graph!$D$40*((Graph!$E$36-Z741)/POWER((((Graph!$D$36-$Y741)^2)+((Graph!$E$36-$Z741)^2))+(Graph!$D$41^2),3/2))</f>
        <v>-678.84154251268421</v>
      </c>
      <c r="U741">
        <f>O741+Q741+S741</f>
        <v>6622.1133751540028</v>
      </c>
      <c r="V741">
        <f>P741+R741+T741</f>
        <v>2498.1459897560899</v>
      </c>
      <c r="W741">
        <f>W740+(U740*Graph!$D$5)</f>
        <v>11292.697427127419</v>
      </c>
      <c r="X741">
        <f>X740+(V740*Graph!$D$5)</f>
        <v>-2581.9631876787748</v>
      </c>
      <c r="Y741">
        <f>Y740+(W740*Graph!$D$5)+(U740*Graph!$D$5^2)</f>
        <v>10979.242585204789</v>
      </c>
      <c r="Z741">
        <f>Z740+(X740*Graph!$D$5)+(V740*Graph!$D$5^2)</f>
        <v>8213.3423874973341</v>
      </c>
    </row>
    <row r="742" spans="14:26" x14ac:dyDescent="0.35">
      <c r="N742">
        <f>N741+1</f>
        <v>739</v>
      </c>
      <c r="O742">
        <f>Graph!$D$22*((Graph!$D$18-Y742)/POWER((((Graph!$D$18-$Y742)^2)+((Graph!$E$18-$Z742)^2))+(Graph!$D$23^2),(3/2)))</f>
        <v>-6360.8346218545857</v>
      </c>
      <c r="P742" s="84">
        <f>Graph!$D$22*((Graph!$E$18-Z742)/POWER((((Graph!$D$18-$Y742)^2)+((Graph!$E$18-$Z742)^2))+(Graph!$D$23^2),3/2))</f>
        <v>4755.6268413289336</v>
      </c>
      <c r="Q742">
        <f>Graph!$D$31*((Graph!$D$27-Y742)/POWER((((Graph!$D$27-$Y742)^2)+((Graph!$E$27-$Z742)^2))+(Graph!$D$32^2),3/2))</f>
        <v>-120.29651138932977</v>
      </c>
      <c r="R742">
        <f>Graph!$D$31*((Graph!$E$27-Z742)/POWER((((Graph!$D$27-$Y742)^2)+((Graph!$E$27-$Z742)^2))+(Graph!$D$32^2),3/2))</f>
        <v>7.7087530541475546</v>
      </c>
      <c r="S742">
        <f>Graph!$D$40*((Graph!$D$36-Y742)/POWER((((Graph!$D$36-$Y742)^2)+((Graph!$E$36-$Z742)^2))+(Graph!$D$41^2),3/2))</f>
        <v>-374.58527120634113</v>
      </c>
      <c r="T742">
        <f>Graph!$D$40*((Graph!$E$36-Z742)/POWER((((Graph!$D$36-$Y742)^2)+((Graph!$E$36-$Z742)^2))+(Graph!$D$41^2),3/2))</f>
        <v>-461.99225221337485</v>
      </c>
      <c r="U742">
        <f>O742+Q742+S742</f>
        <v>-6855.716404450257</v>
      </c>
      <c r="V742">
        <f>P742+R742+T742</f>
        <v>4301.3433421697064</v>
      </c>
      <c r="W742">
        <f>W741+(U741*Graph!$D$5)</f>
        <v>14603.754114704421</v>
      </c>
      <c r="X742">
        <f>X741+(V741*Graph!$D$5)</f>
        <v>-1332.8901928007299</v>
      </c>
      <c r="Y742">
        <f>Y741+(W741*Graph!$D$5)+(U741*Graph!$D$5^2)</f>
        <v>18281.119642557001</v>
      </c>
      <c r="Z742">
        <f>Z741+(X741*Graph!$D$5)+(V741*Graph!$D$5^2)</f>
        <v>7546.8972910969687</v>
      </c>
    </row>
    <row r="743" spans="14:26" x14ac:dyDescent="0.35">
      <c r="N743">
        <f>N742+1</f>
        <v>740</v>
      </c>
      <c r="O743">
        <f>Graph!$D$22*((Graph!$D$18-Y743)/POWER((((Graph!$D$18-$Y743)^2)+((Graph!$E$18-$Z743)^2))+(Graph!$D$23^2),(3/2)))</f>
        <v>-4146.78794048088</v>
      </c>
      <c r="P743" s="84">
        <f>Graph!$D$22*((Graph!$E$18-Z743)/POWER((((Graph!$D$18-$Y743)^2)+((Graph!$E$18-$Z743)^2))+(Graph!$D$23^2),3/2))</f>
        <v>955.78407195155455</v>
      </c>
      <c r="Q743">
        <f>Graph!$D$31*((Graph!$D$27-Y743)/POWER((((Graph!$D$27-$Y743)^2)+((Graph!$E$27-$Z743)^2))+(Graph!$D$32^2),3/2))</f>
        <v>-92.137916275046479</v>
      </c>
      <c r="R743">
        <f>Graph!$D$31*((Graph!$E$27-Z743)/POWER((((Graph!$D$27-$Y743)^2)+((Graph!$E$27-$Z743)^2))+(Graph!$D$32^2),3/2))</f>
        <v>4.2934450542881075</v>
      </c>
      <c r="S743">
        <f>Graph!$D$40*((Graph!$D$36-Y743)/POWER((((Graph!$D$36-$Y743)^2)+((Graph!$E$36-$Z743)^2))+(Graph!$D$41^2),3/2))</f>
        <v>-332.67384139816915</v>
      </c>
      <c r="T743">
        <f>Graph!$D$40*((Graph!$E$36-Z743)/POWER((((Graph!$D$36-$Y743)^2)+((Graph!$E$36-$Z743)^2))+(Graph!$D$41^2),3/2))</f>
        <v>-319.94505670287407</v>
      </c>
      <c r="U743">
        <f>O743+Q743+S743</f>
        <v>-4571.5996981540957</v>
      </c>
      <c r="V743">
        <f>P743+R743+T743</f>
        <v>640.13246030296864</v>
      </c>
      <c r="W743">
        <f>W742+(U742*Graph!$D$5)</f>
        <v>11175.895912479293</v>
      </c>
      <c r="X743">
        <f>X742+(V742*Graph!$D$5)</f>
        <v>817.7814782841233</v>
      </c>
      <c r="Y743">
        <f>Y742+(W742*Graph!$D$5)+(U742*Graph!$D$5^2)</f>
        <v>23869.06759879665</v>
      </c>
      <c r="Z743">
        <f>Z742+(X742*Graph!$D$5)+(V742*Graph!$D$5^2)</f>
        <v>7955.7880302390295</v>
      </c>
    </row>
    <row r="744" spans="14:26" x14ac:dyDescent="0.35">
      <c r="N744">
        <f>N743+1</f>
        <v>741</v>
      </c>
      <c r="O744">
        <f>Graph!$D$22*((Graph!$D$18-Y744)/POWER((((Graph!$D$18-$Y744)^2)+((Graph!$E$18-$Z744)^2))+(Graph!$D$23^2),(3/2)))</f>
        <v>-2384.818254134881</v>
      </c>
      <c r="P744" s="84">
        <f>Graph!$D$22*((Graph!$E$18-Z744)/POWER((((Graph!$D$18-$Y744)^2)+((Graph!$E$18-$Z744)^2))+(Graph!$D$23^2),3/2))</f>
        <v>264.25292717125467</v>
      </c>
      <c r="Q744">
        <f>Graph!$D$31*((Graph!$D$27-Y744)/POWER((((Graph!$D$27-$Y744)^2)+((Graph!$E$27-$Z744)^2))+(Graph!$D$32^2),3/2))</f>
        <v>-76.230880237996473</v>
      </c>
      <c r="R744">
        <f>Graph!$D$31*((Graph!$E$27-Z744)/POWER((((Graph!$D$27-$Y744)^2)+((Graph!$E$27-$Z744)^2))+(Graph!$D$32^2),3/2))</f>
        <v>2.3277361115872277</v>
      </c>
      <c r="S744">
        <f>Graph!$D$40*((Graph!$D$36-Y744)/POWER((((Graph!$D$36-$Y744)^2)+((Graph!$E$36-$Z744)^2))+(Graph!$D$41^2),3/2))</f>
        <v>-289.15800328697247</v>
      </c>
      <c r="T744">
        <f>Graph!$D$40*((Graph!$E$36-Z744)/POWER((((Graph!$D$36-$Y744)^2)+((Graph!$E$36-$Z744)^2))+(Graph!$D$41^2),3/2))</f>
        <v>-240.24620105329635</v>
      </c>
      <c r="U744">
        <f>O744+Q744+S744</f>
        <v>-2750.2071376598501</v>
      </c>
      <c r="V744">
        <f>P744+R744+T744</f>
        <v>26.334462229545551</v>
      </c>
      <c r="W744">
        <f>W743+(U743*Graph!$D$5)</f>
        <v>8890.0960634022449</v>
      </c>
      <c r="X744">
        <f>X743+(V743*Graph!$D$5)</f>
        <v>1137.8477084356077</v>
      </c>
      <c r="Y744">
        <f>Y743+(W743*Graph!$D$5)+(U743*Graph!$D$5^2)</f>
        <v>28314.115630497774</v>
      </c>
      <c r="Z744">
        <f>Z743+(X743*Graph!$D$5)+(V743*Graph!$D$5^2)</f>
        <v>8524.711884456834</v>
      </c>
    </row>
    <row r="745" spans="14:26" x14ac:dyDescent="0.35">
      <c r="N745">
        <f>N744+1</f>
        <v>742</v>
      </c>
      <c r="O745">
        <f>Graph!$D$22*((Graph!$D$18-Y745)/POWER((((Graph!$D$18-$Y745)^2)+((Graph!$E$18-$Z745)^2))+(Graph!$D$23^2),(3/2)))</f>
        <v>-1581.8731506243109</v>
      </c>
      <c r="P745" s="84">
        <f>Graph!$D$22*((Graph!$E$18-Z745)/POWER((((Graph!$D$18-$Y745)^2)+((Graph!$E$18-$Z745)^2))+(Graph!$D$23^2),3/2))</f>
        <v>83.374601952145966</v>
      </c>
      <c r="Q745">
        <f>Graph!$D$31*((Graph!$D$27-Y745)/POWER((((Graph!$D$27-$Y745)^2)+((Graph!$E$27-$Z745)^2))+(Graph!$D$32^2),3/2))</f>
        <v>-65.759815802175012</v>
      </c>
      <c r="R745">
        <f>Graph!$D$31*((Graph!$E$27-Z745)/POWER((((Graph!$D$27-$Y745)^2)+((Graph!$E$27-$Z745)^2))+(Graph!$D$32^2),3/2))</f>
        <v>1.136308391354184</v>
      </c>
      <c r="S745">
        <f>Graph!$D$40*((Graph!$D$36-Y745)/POWER((((Graph!$D$36-$Y745)^2)+((Graph!$E$36-$Z745)^2))+(Graph!$D$41^2),3/2))</f>
        <v>-254.14311427064689</v>
      </c>
      <c r="T745">
        <f>Graph!$D$40*((Graph!$E$36-Z745)/POWER((((Graph!$D$36-$Y745)^2)+((Graph!$E$36-$Z745)^2))+(Graph!$D$41^2),3/2))</f>
        <v>-190.97589558736769</v>
      </c>
      <c r="U745">
        <f>O745+Q745+S745</f>
        <v>-1901.7760806971328</v>
      </c>
      <c r="V745">
        <f>P745+R745+T745</f>
        <v>-106.46498524386755</v>
      </c>
      <c r="W745">
        <f>W744+(U744*Graph!$D$5)</f>
        <v>7514.9924945723196</v>
      </c>
      <c r="X745">
        <f>X744+(V744*Graph!$D$5)</f>
        <v>1151.0149395503804</v>
      </c>
      <c r="Y745">
        <f>Y744+(W744*Graph!$D$5)+(U744*Graph!$D$5^2)</f>
        <v>32071.611877783933</v>
      </c>
      <c r="Z745">
        <f>Z744+(X744*Graph!$D$5)+(V744*Graph!$D$5^2)</f>
        <v>9100.2193542320256</v>
      </c>
    </row>
    <row r="746" spans="14:26" x14ac:dyDescent="0.35">
      <c r="N746">
        <f>N745+1</f>
        <v>743</v>
      </c>
      <c r="O746">
        <f>Graph!$D$22*((Graph!$D$18-Y746)/POWER((((Graph!$D$18-$Y746)^2)+((Graph!$E$18-$Z746)^2))+(Graph!$D$23^2),(3/2)))</f>
        <v>-1157.0680631040359</v>
      </c>
      <c r="P746" s="84">
        <f>Graph!$D$22*((Graph!$E$18-Z746)/POWER((((Graph!$D$18-$Y746)^2)+((Graph!$E$18-$Z746)^2))+(Graph!$D$23^2),3/2))</f>
        <v>19.947413013022899</v>
      </c>
      <c r="Q746">
        <f>Graph!$D$31*((Graph!$D$27-Y746)/POWER((((Graph!$D$27-$Y746)^2)+((Graph!$E$27-$Z746)^2))+(Graph!$D$32^2),3/2))</f>
        <v>-58.260558960805533</v>
      </c>
      <c r="R746">
        <f>Graph!$D$31*((Graph!$E$27-Z746)/POWER((((Graph!$D$27-$Y746)^2)+((Graph!$E$27-$Z746)^2))+(Graph!$D$32^2),3/2))</f>
        <v>0.36931636247441474</v>
      </c>
      <c r="S746">
        <f>Graph!$D$40*((Graph!$D$36-Y746)/POWER((((Graph!$D$36-$Y746)^2)+((Graph!$E$36-$Z746)^2))+(Graph!$D$41^2),3/2))</f>
        <v>-226.64406095412767</v>
      </c>
      <c r="T746">
        <f>Graph!$D$40*((Graph!$E$36-Z746)/POWER((((Graph!$D$36-$Y746)^2)+((Graph!$E$36-$Z746)^2))+(Graph!$D$41^2),3/2))</f>
        <v>-158.0196752353821</v>
      </c>
      <c r="U746">
        <f>O746+Q746+S746</f>
        <v>-1441.9726830189693</v>
      </c>
      <c r="V746">
        <f>P746+R746+T746</f>
        <v>-137.70294585988478</v>
      </c>
      <c r="W746">
        <f>W745+(U745*Graph!$D$5)</f>
        <v>6564.1044542237532</v>
      </c>
      <c r="X746">
        <f>X745+(V745*Graph!$D$5)</f>
        <v>1097.7824469284467</v>
      </c>
      <c r="Y746">
        <f>Y745+(W745*Graph!$D$5)+(U745*Graph!$D$5^2)</f>
        <v>35353.664104895812</v>
      </c>
      <c r="Z746">
        <f>Z745+(X745*Graph!$D$5)+(V745*Graph!$D$5^2)</f>
        <v>9649.1105776962486</v>
      </c>
    </row>
    <row r="747" spans="14:26" x14ac:dyDescent="0.35">
      <c r="N747">
        <f>N746+1</f>
        <v>744</v>
      </c>
      <c r="O747">
        <f>Graph!$D$22*((Graph!$D$18-Y747)/POWER((((Graph!$D$18-$Y747)^2)+((Graph!$E$18-$Z747)^2))+(Graph!$D$23^2),(3/2)))</f>
        <v>-903.21367485203098</v>
      </c>
      <c r="P747" s="84">
        <f>Graph!$D$22*((Graph!$E$18-Z747)/POWER((((Graph!$D$18-$Y747)^2)+((Graph!$E$18-$Z747)^2))+(Graph!$D$23^2),3/2))</f>
        <v>-6.3477001912235682</v>
      </c>
      <c r="Q747">
        <f>Graph!$D$31*((Graph!$D$27-Y747)/POWER((((Graph!$D$27-$Y747)^2)+((Graph!$E$27-$Z747)^2))+(Graph!$D$32^2),3/2))</f>
        <v>-52.59858923156547</v>
      </c>
      <c r="R747">
        <f>Graph!$D$31*((Graph!$E$27-Z747)/POWER((((Graph!$D$27-$Y747)^2)+((Graph!$E$27-$Z747)^2))+(Graph!$D$32^2),3/2))</f>
        <v>-0.1476419954879778</v>
      </c>
      <c r="S747">
        <f>Graph!$D$40*((Graph!$D$36-Y747)/POWER((((Graph!$D$36-$Y747)^2)+((Graph!$E$36-$Z747)^2))+(Graph!$D$41^2),3/2))</f>
        <v>-204.84743336035936</v>
      </c>
      <c r="T747">
        <f>Graph!$D$40*((Graph!$E$36-Z747)/POWER((((Graph!$D$36-$Y747)^2)+((Graph!$E$36-$Z747)^2))+(Graph!$D$41^2),3/2))</f>
        <v>-134.67443283882102</v>
      </c>
      <c r="U747">
        <f>O747+Q747+S747</f>
        <v>-1160.6596974439558</v>
      </c>
      <c r="V747">
        <f>P747+R747+T747</f>
        <v>-141.16977502553257</v>
      </c>
      <c r="W747">
        <f>W746+(U746*Graph!$D$5)</f>
        <v>5843.1181127142681</v>
      </c>
      <c r="X747">
        <f>X746+(V746*Graph!$D$5)</f>
        <v>1028.9309739985042</v>
      </c>
      <c r="Y747">
        <f>Y746+(W746*Graph!$D$5)+(U746*Graph!$D$5^2)</f>
        <v>38275.223161252943</v>
      </c>
      <c r="Z747">
        <f>Z746+(X746*Graph!$D$5)+(V746*Graph!$D$5^2)</f>
        <v>10163.5760646955</v>
      </c>
    </row>
    <row r="748" spans="14:26" x14ac:dyDescent="0.35">
      <c r="N748">
        <f>N747+1</f>
        <v>745</v>
      </c>
      <c r="O748">
        <f>Graph!$D$22*((Graph!$D$18-Y748)/POWER((((Graph!$D$18-$Y748)^2)+((Graph!$E$18-$Z748)^2))+(Graph!$D$23^2),(3/2)))</f>
        <v>-737.84641894914103</v>
      </c>
      <c r="P748" s="84">
        <f>Graph!$D$22*((Graph!$E$18-Z748)/POWER((((Graph!$D$18-$Y748)^2)+((Graph!$E$18-$Z748)^2))+(Graph!$D$23^2),3/2))</f>
        <v>-18.306138628861579</v>
      </c>
      <c r="Q748">
        <f>Graph!$D$31*((Graph!$D$27-Y748)/POWER((((Graph!$D$27-$Y748)^2)+((Graph!$E$27-$Z748)^2))+(Graph!$D$32^2),3/2))</f>
        <v>-48.166358248329317</v>
      </c>
      <c r="R748">
        <f>Graph!$D$31*((Graph!$E$27-Z748)/POWER((((Graph!$D$27-$Y748)^2)+((Graph!$E$27-$Z748)^2))+(Graph!$D$32^2),3/2))</f>
        <v>-0.5083008246492301</v>
      </c>
      <c r="S748">
        <f>Graph!$D$40*((Graph!$D$36-Y748)/POWER((((Graph!$D$36-$Y748)^2)+((Graph!$E$36-$Z748)^2))+(Graph!$D$41^2),3/2))</f>
        <v>-187.3080233457251</v>
      </c>
      <c r="T748">
        <f>Graph!$D$40*((Graph!$E$36-Z748)/POWER((((Graph!$D$36-$Y748)^2)+((Graph!$E$36-$Z748)^2))+(Graph!$D$41^2),3/2))</f>
        <v>-117.41603110631583</v>
      </c>
      <c r="U748">
        <f>O748+Q748+S748</f>
        <v>-973.32080054319545</v>
      </c>
      <c r="V748">
        <f>P748+R748+T748</f>
        <v>-136.23047055982664</v>
      </c>
      <c r="W748">
        <f>W747+(U747*Graph!$D$5)</f>
        <v>5262.78826399229</v>
      </c>
      <c r="X748">
        <f>X747+(V747*Graph!$D$5)</f>
        <v>958.34608648573794</v>
      </c>
      <c r="Y748">
        <f>Y747+(W747*Graph!$D$5)+(U747*Graph!$D$5^2)</f>
        <v>40906.617293249088</v>
      </c>
      <c r="Z748">
        <f>Z747+(X747*Graph!$D$5)+(V747*Graph!$D$5^2)</f>
        <v>10642.749107938369</v>
      </c>
    </row>
    <row r="749" spans="14:26" x14ac:dyDescent="0.35">
      <c r="N749">
        <f>N748+1</f>
        <v>746</v>
      </c>
      <c r="O749">
        <f>Graph!$D$22*((Graph!$D$18-Y749)/POWER((((Graph!$D$18-$Y749)^2)+((Graph!$E$18-$Z749)^2))+(Graph!$D$23^2),(3/2)))</f>
        <v>-623.19569548606182</v>
      </c>
      <c r="P749" s="84">
        <f>Graph!$D$22*((Graph!$E$18-Z749)/POWER((((Graph!$D$18-$Y749)^2)+((Graph!$E$18-$Z749)^2))+(Graph!$D$23^2),3/2))</f>
        <v>-23.960421719586147</v>
      </c>
      <c r="Q749">
        <f>Graph!$D$31*((Graph!$D$27-Y749)/POWER((((Graph!$D$27-$Y749)^2)+((Graph!$E$27-$Z749)^2))+(Graph!$D$32^2),3/2))</f>
        <v>-44.604387506583521</v>
      </c>
      <c r="R749">
        <f>Graph!$D$31*((Graph!$E$27-Z749)/POWER((((Graph!$D$27-$Y749)^2)+((Graph!$E$27-$Z749)^2))+(Graph!$D$32^2),3/2))</f>
        <v>-0.76662888997210688</v>
      </c>
      <c r="S749">
        <f>Graph!$D$40*((Graph!$D$36-Y749)/POWER((((Graph!$D$36-$Y749)^2)+((Graph!$E$36-$Z749)^2))+(Graph!$D$41^2),3/2))</f>
        <v>-172.98246036876679</v>
      </c>
      <c r="T749">
        <f>Graph!$D$40*((Graph!$E$36-Z749)/POWER((((Graph!$D$36-$Y749)^2)+((Graph!$E$36-$Z749)^2))+(Graph!$D$41^2),3/2))</f>
        <v>-104.23319597423955</v>
      </c>
      <c r="U749">
        <f>O749+Q749+S749</f>
        <v>-840.78254336141208</v>
      </c>
      <c r="V749">
        <f>P749+R749+T749</f>
        <v>-128.96024658379781</v>
      </c>
      <c r="W749">
        <f>W748+(U748*Graph!$D$5)</f>
        <v>4776.1278637206924</v>
      </c>
      <c r="X749">
        <f>X748+(V748*Graph!$D$5)</f>
        <v>890.23085120582459</v>
      </c>
      <c r="Y749">
        <f>Y748+(W748*Graph!$D$5)+(U748*Graph!$D$5^2)</f>
        <v>43294.681225109431</v>
      </c>
      <c r="Z749">
        <f>Z748+(X748*Graph!$D$5)+(V748*Graph!$D$5^2)</f>
        <v>11087.86453354128</v>
      </c>
    </row>
    <row r="750" spans="14:26" x14ac:dyDescent="0.35">
      <c r="N750">
        <f>N749+1</f>
        <v>747</v>
      </c>
      <c r="O750">
        <f>Graph!$D$22*((Graph!$D$18-Y750)/POWER((((Graph!$D$18-$Y750)^2)+((Graph!$E$18-$Z750)^2))+(Graph!$D$23^2),(3/2)))</f>
        <v>-539.92999393992659</v>
      </c>
      <c r="P750" s="84">
        <f>Graph!$D$22*((Graph!$E$18-Z750)/POWER((((Graph!$D$18-$Y750)^2)+((Graph!$E$18-$Z750)^2))+(Graph!$D$23^2),3/2))</f>
        <v>-26.590964540061918</v>
      </c>
      <c r="Q750">
        <f>Graph!$D$31*((Graph!$D$27-Y750)/POWER((((Graph!$D$27-$Y750)^2)+((Graph!$E$27-$Z750)^2))+(Graph!$D$32^2),3/2))</f>
        <v>-41.684448308011689</v>
      </c>
      <c r="R750">
        <f>Graph!$D$31*((Graph!$E$27-Z750)/POWER((((Graph!$D$27-$Y750)^2)+((Graph!$E$27-$Z750)^2))+(Graph!$D$32^2),3/2))</f>
        <v>-0.95547699209189418</v>
      </c>
      <c r="S750">
        <f>Graph!$D$40*((Graph!$D$36-Y750)/POWER((((Graph!$D$36-$Y750)^2)+((Graph!$E$36-$Z750)^2))+(Graph!$D$41^2),3/2))</f>
        <v>-161.12592565100579</v>
      </c>
      <c r="T750">
        <f>Graph!$D$40*((Graph!$E$36-Z750)/POWER((((Graph!$D$36-$Y750)^2)+((Graph!$E$36-$Z750)^2))+(Graph!$D$41^2),3/2))</f>
        <v>-93.901843890166163</v>
      </c>
      <c r="U750">
        <f>O750+Q750+S750</f>
        <v>-742.7403678989441</v>
      </c>
      <c r="V750">
        <f>P750+R750+T750</f>
        <v>-121.44828542231997</v>
      </c>
      <c r="W750">
        <f>W749+(U749*Graph!$D$5)</f>
        <v>4355.7365920399861</v>
      </c>
      <c r="X750">
        <f>X749+(V749*Graph!$D$5)</f>
        <v>825.75072791392563</v>
      </c>
      <c r="Y750">
        <f>Y749+(W749*Graph!$D$5)+(U749*Graph!$D$5^2)</f>
        <v>45472.549521129418</v>
      </c>
      <c r="Z750">
        <f>Z749+(X749*Graph!$D$5)+(V749*Graph!$D$5^2)</f>
        <v>11500.739897498244</v>
      </c>
    </row>
    <row r="751" spans="14:26" x14ac:dyDescent="0.35">
      <c r="N751">
        <f>N750+1</f>
        <v>748</v>
      </c>
      <c r="O751">
        <f>Graph!$D$22*((Graph!$D$18-Y751)/POWER((((Graph!$D$18-$Y751)^2)+((Graph!$E$18-$Z751)^2))+(Graph!$D$23^2),(3/2)))</f>
        <v>-477.27125502019339</v>
      </c>
      <c r="P751" s="84">
        <f>Graph!$D$22*((Graph!$E$18-Z751)/POWER((((Graph!$D$18-$Y751)^2)+((Graph!$E$18-$Z751)^2))+(Graph!$D$23^2),3/2))</f>
        <v>-27.686123929264408</v>
      </c>
      <c r="Q751">
        <f>Graph!$D$31*((Graph!$D$27-Y751)/POWER((((Graph!$D$27-$Y751)^2)+((Graph!$E$27-$Z751)^2))+(Graph!$D$32^2),3/2))</f>
        <v>-39.253837503586006</v>
      </c>
      <c r="R751">
        <f>Graph!$D$31*((Graph!$E$27-Z751)/POWER((((Graph!$D$27-$Y751)^2)+((Graph!$E$27-$Z751)^2))+(Graph!$D$32^2),3/2))</f>
        <v>-1.0957564303029608</v>
      </c>
      <c r="S751">
        <f>Graph!$D$40*((Graph!$D$36-Y751)/POWER((((Graph!$D$36-$Y751)^2)+((Graph!$E$36-$Z751)^2))+(Graph!$D$41^2),3/2))</f>
        <v>-151.20122160074544</v>
      </c>
      <c r="T751">
        <f>Graph!$D$40*((Graph!$E$36-Z751)/POWER((((Graph!$D$36-$Y751)^2)+((Graph!$E$36-$Z751)^2))+(Graph!$D$41^2),3/2))</f>
        <v>-85.6379145012923</v>
      </c>
      <c r="U751">
        <f>O751+Q751+S751</f>
        <v>-667.72631412452483</v>
      </c>
      <c r="V751">
        <f>P751+R751+T751</f>
        <v>-114.41979486085967</v>
      </c>
      <c r="W751">
        <f>W750+(U750*Graph!$D$5)</f>
        <v>3984.3664080905141</v>
      </c>
      <c r="X751">
        <f>X750+(V750*Graph!$D$5)</f>
        <v>765.02658520276566</v>
      </c>
      <c r="Y751">
        <f>Y750+(W750*Graph!$D$5)+(U750*Graph!$D$5^2)</f>
        <v>47464.732725174676</v>
      </c>
      <c r="Z751">
        <f>Z750+(X750*Graph!$D$5)+(V750*Graph!$D$5^2)</f>
        <v>11883.253190099627</v>
      </c>
    </row>
    <row r="752" spans="14:26" x14ac:dyDescent="0.35">
      <c r="N752">
        <f>N751+1</f>
        <v>749</v>
      </c>
      <c r="O752">
        <f>Graph!$D$22*((Graph!$D$18-Y752)/POWER((((Graph!$D$18-$Y752)^2)+((Graph!$E$18-$Z752)^2))+(Graph!$D$23^2),(3/2)))</f>
        <v>-428.79401200341596</v>
      </c>
      <c r="P752" s="84">
        <f>Graph!$D$22*((Graph!$E$18-Z752)/POWER((((Graph!$D$18-$Y752)^2)+((Graph!$E$18-$Z752)^2))+(Graph!$D$23^2),3/2))</f>
        <v>-27.975558689288707</v>
      </c>
      <c r="Q752">
        <f>Graph!$D$31*((Graph!$D$27-Y752)/POWER((((Graph!$D$27-$Y752)^2)+((Graph!$E$27-$Z752)^2))+(Graph!$D$32^2),3/2))</f>
        <v>-37.206153017398819</v>
      </c>
      <c r="R752">
        <f>Graph!$D$31*((Graph!$E$27-Z752)/POWER((((Graph!$D$27-$Y752)^2)+((Graph!$E$27-$Z752)^2))+(Graph!$D$32^2),3/2))</f>
        <v>-1.2012728121980989</v>
      </c>
      <c r="S752">
        <f>Graph!$D$40*((Graph!$D$36-Y752)/POWER((((Graph!$D$36-$Y752)^2)+((Graph!$E$36-$Z752)^2))+(Graph!$D$41^2),3/2))</f>
        <v>-142.8146124375258</v>
      </c>
      <c r="T752">
        <f>Graph!$D$40*((Graph!$E$36-Z752)/POWER((((Graph!$D$36-$Y752)^2)+((Graph!$E$36-$Z752)^2))+(Graph!$D$41^2),3/2))</f>
        <v>-78.917953000326094</v>
      </c>
      <c r="U752">
        <f>O752+Q752+S752</f>
        <v>-608.81477745834059</v>
      </c>
      <c r="V752">
        <f>P752+R752+T752</f>
        <v>-108.0947845018129</v>
      </c>
      <c r="W752">
        <f>W751+(U751*Graph!$D$5)</f>
        <v>3650.5032510282517</v>
      </c>
      <c r="X752">
        <f>X751+(V751*Graph!$D$5)</f>
        <v>707.81668777233585</v>
      </c>
      <c r="Y752">
        <f>Y751+(W751*Graph!$D$5)+(U751*Graph!$D$5^2)</f>
        <v>49289.984350688799</v>
      </c>
      <c r="Z752">
        <f>Z751+(X751*Graph!$D$5)+(V751*Graph!$D$5^2)</f>
        <v>12237.161533985796</v>
      </c>
    </row>
    <row r="753" spans="14:26" x14ac:dyDescent="0.35">
      <c r="N753">
        <f>N752+1</f>
        <v>750</v>
      </c>
      <c r="O753">
        <f>Graph!$D$22*((Graph!$D$18-Y753)/POWER((((Graph!$D$18-$Y753)^2)+((Graph!$E$18-$Z753)^2))+(Graph!$D$23^2),(3/2)))</f>
        <v>-390.45714976216067</v>
      </c>
      <c r="P753" s="84">
        <f>Graph!$D$22*((Graph!$E$18-Z753)/POWER((((Graph!$D$18-$Y753)^2)+((Graph!$E$18-$Z753)^2))+(Graph!$D$23^2),3/2))</f>
        <v>-27.838313414102267</v>
      </c>
      <c r="Q753">
        <f>Graph!$D$31*((Graph!$D$27-Y753)/POWER((((Graph!$D$27-$Y753)^2)+((Graph!$E$27-$Z753)^2))+(Graph!$D$32^2),3/2))</f>
        <v>-35.46482116724593</v>
      </c>
      <c r="R753">
        <f>Graph!$D$31*((Graph!$E$27-Z753)/POWER((((Graph!$D$27-$Y753)^2)+((Graph!$E$27-$Z753)^2))+(Graph!$D$32^2),3/2))</f>
        <v>-1.2814198657555453</v>
      </c>
      <c r="S753">
        <f>Graph!$D$40*((Graph!$D$36-Y753)/POWER((((Graph!$D$36-$Y753)^2)+((Graph!$E$36-$Z753)^2))+(Graph!$D$41^2),3/2))</f>
        <v>-135.67257616461129</v>
      </c>
      <c r="T753">
        <f>Graph!$D$40*((Graph!$E$36-Z753)/POWER((((Graph!$D$36-$Y753)^2)+((Graph!$E$36-$Z753)^2))+(Graph!$D$41^2),3/2))</f>
        <v>-73.380350178467992</v>
      </c>
      <c r="U753">
        <f>O753+Q753+S753</f>
        <v>-561.59454709401791</v>
      </c>
      <c r="V753">
        <f>P753+R753+T753</f>
        <v>-102.5000834583258</v>
      </c>
      <c r="W753">
        <f>W752+(U752*Graph!$D$5)</f>
        <v>3346.0958622990815</v>
      </c>
      <c r="X753">
        <f>X752+(V752*Graph!$D$5)</f>
        <v>653.7692955214294</v>
      </c>
      <c r="Y753">
        <f>Y752+(W752*Graph!$D$5)+(U752*Graph!$D$5^2)</f>
        <v>50963.032281838336</v>
      </c>
      <c r="Z753">
        <f>Z752+(X752*Graph!$D$5)+(V752*Graph!$D$5^2)</f>
        <v>12564.046181746509</v>
      </c>
    </row>
    <row r="754" spans="14:26" x14ac:dyDescent="0.35">
      <c r="N754">
        <f>N753+1</f>
        <v>751</v>
      </c>
      <c r="O754">
        <f>Graph!$D$22*((Graph!$D$18-Y754)/POWER((((Graph!$D$18-$Y754)^2)+((Graph!$E$18-$Z754)^2))+(Graph!$D$23^2),(3/2)))</f>
        <v>-359.6061141672584</v>
      </c>
      <c r="P754" s="84">
        <f>Graph!$D$22*((Graph!$E$18-Z754)/POWER((((Graph!$D$18-$Y754)^2)+((Graph!$E$18-$Z754)^2))+(Graph!$D$23^2),3/2))</f>
        <v>-27.480004214684921</v>
      </c>
      <c r="Q754">
        <f>Graph!$D$31*((Graph!$D$27-Y754)/POWER((((Graph!$D$27-$Y754)^2)+((Graph!$E$27-$Z754)^2))+(Graph!$D$32^2),3/2))</f>
        <v>-33.973269898829088</v>
      </c>
      <c r="R754">
        <f>Graph!$D$31*((Graph!$E$27-Z754)/POWER((((Graph!$D$27-$Y754)^2)+((Graph!$E$27-$Z754)^2))+(Graph!$D$32^2),3/2))</f>
        <v>-1.3427531883724981</v>
      </c>
      <c r="S754">
        <f>Graph!$D$40*((Graph!$D$36-Y754)/POWER((((Graph!$D$36-$Y754)^2)+((Graph!$E$36-$Z754)^2))+(Graph!$D$41^2),3/2))</f>
        <v>-129.55274436260217</v>
      </c>
      <c r="T754">
        <f>Graph!$D$40*((Graph!$E$36-Z754)/POWER((((Graph!$D$36-$Y754)^2)+((Graph!$E$36-$Z754)^2))+(Graph!$D$41^2),3/2))</f>
        <v>-68.76807256558233</v>
      </c>
      <c r="U754">
        <f>O754+Q754+S754</f>
        <v>-523.13212842868961</v>
      </c>
      <c r="V754">
        <f>P754+R754+T754</f>
        <v>-97.590829968639753</v>
      </c>
      <c r="W754">
        <f>W753+(U753*Graph!$D$5)</f>
        <v>3065.2985887520726</v>
      </c>
      <c r="X754">
        <f>X753+(V753*Graph!$D$5)</f>
        <v>602.51925379226645</v>
      </c>
      <c r="Y754">
        <f>Y753+(W753*Graph!$D$5)+(U753*Graph!$D$5^2)</f>
        <v>52495.681576214374</v>
      </c>
      <c r="Z754">
        <f>Z753+(X753*Graph!$D$5)+(V753*Graph!$D$5^2)</f>
        <v>12865.305808642643</v>
      </c>
    </row>
    <row r="755" spans="14:26" x14ac:dyDescent="0.35">
      <c r="N755">
        <f>N754+1</f>
        <v>752</v>
      </c>
      <c r="O755">
        <f>Graph!$D$22*((Graph!$D$18-Y755)/POWER((((Graph!$D$18-$Y755)^2)+((Graph!$E$18-$Z755)^2))+(Graph!$D$23^2),(3/2)))</f>
        <v>-334.43342359519261</v>
      </c>
      <c r="P755" s="84">
        <f>Graph!$D$22*((Graph!$E$18-Z755)/POWER((((Graph!$D$18-$Y755)^2)+((Graph!$E$18-$Z755)^2))+(Graph!$D$23^2),3/2))</f>
        <v>-27.015736703106636</v>
      </c>
      <c r="Q755">
        <f>Graph!$D$31*((Graph!$D$27-Y755)/POWER((((Graph!$D$27-$Y755)^2)+((Graph!$E$27-$Z755)^2))+(Graph!$D$32^2),3/2))</f>
        <v>-32.688791930880967</v>
      </c>
      <c r="R755">
        <f>Graph!$D$31*((Graph!$E$27-Z755)/POWER((((Graph!$D$27-$Y755)^2)+((Graph!$E$27-$Z755)^2))+(Graph!$D$32^2),3/2))</f>
        <v>-1.389946893752747</v>
      </c>
      <c r="S755">
        <f>Graph!$D$40*((Graph!$D$36-Y755)/POWER((((Graph!$D$36-$Y755)^2)+((Graph!$E$36-$Z755)^2))+(Graph!$D$41^2),3/2))</f>
        <v>-124.28416701223955</v>
      </c>
      <c r="T755">
        <f>Graph!$D$40*((Graph!$E$36-Z755)/POWER((((Graph!$D$36-$Y755)^2)+((Graph!$E$36-$Z755)^2))+(Graph!$D$41^2),3/2))</f>
        <v>-64.893970398810495</v>
      </c>
      <c r="U755">
        <f>O755+Q755+S755</f>
        <v>-491.4063825383131</v>
      </c>
      <c r="V755">
        <f>P755+R755+T755</f>
        <v>-93.299653995669871</v>
      </c>
      <c r="W755">
        <f>W754+(U754*Graph!$D$5)</f>
        <v>2803.7325245377278</v>
      </c>
      <c r="X755">
        <f>X754+(V754*Graph!$D$5)</f>
        <v>553.72383880794655</v>
      </c>
      <c r="Y755">
        <f>Y754+(W754*Graph!$D$5)+(U754*Graph!$D$5^2)</f>
        <v>53897.547838483239</v>
      </c>
      <c r="Z755">
        <f>Z754+(X754*Graph!$D$5)+(V754*Graph!$D$5^2)</f>
        <v>13142.167728046616</v>
      </c>
    </row>
    <row r="756" spans="14:26" x14ac:dyDescent="0.35">
      <c r="N756">
        <f>N755+1</f>
        <v>753</v>
      </c>
      <c r="O756">
        <f>Graph!$D$22*((Graph!$D$18-Y756)/POWER((((Graph!$D$18-$Y756)^2)+((Graph!$E$18-$Z756)^2))+(Graph!$D$23^2),(3/2)))</f>
        <v>-313.67095592829003</v>
      </c>
      <c r="P756" s="84">
        <f>Graph!$D$22*((Graph!$E$18-Z756)/POWER((((Graph!$D$18-$Y756)^2)+((Graph!$E$18-$Z756)^2))+(Graph!$D$23^2),3/2))</f>
        <v>-26.511326094988039</v>
      </c>
      <c r="Q756">
        <f>Graph!$D$31*((Graph!$D$27-Y756)/POWER((((Graph!$D$27-$Y756)^2)+((Graph!$E$27-$Z756)^2))+(Graph!$D$32^2),3/2))</f>
        <v>-31.578564809825899</v>
      </c>
      <c r="R756">
        <f>Graph!$D$31*((Graph!$E$27-Z756)/POWER((((Graph!$D$27-$Y756)^2)+((Graph!$E$27-$Z756)^2))+(Graph!$D$32^2),3/2))</f>
        <v>-1.4263951216022388</v>
      </c>
      <c r="S756">
        <f>Graph!$D$40*((Graph!$D$36-Y756)/POWER((((Graph!$D$36-$Y756)^2)+((Graph!$E$36-$Z756)^2))+(Graph!$D$41^2),3/2))</f>
        <v>-119.73370444168687</v>
      </c>
      <c r="T756">
        <f>Graph!$D$40*((Graph!$E$36-Z756)/POWER((((Graph!$D$36-$Y756)^2)+((Graph!$E$36-$Z756)^2))+(Graph!$D$41^2),3/2))</f>
        <v>-61.618969425886974</v>
      </c>
      <c r="U756">
        <f>O756+Q756+S756</f>
        <v>-464.98322517980279</v>
      </c>
      <c r="V756">
        <f>P756+R756+T756</f>
        <v>-89.55669064247725</v>
      </c>
      <c r="W756">
        <f>W755+(U755*Graph!$D$5)</f>
        <v>2558.0293332685715</v>
      </c>
      <c r="X756">
        <f>X755+(V755*Graph!$D$5)</f>
        <v>507.07401181011164</v>
      </c>
      <c r="Y756">
        <f>Y755+(W755*Graph!$D$5)+(U755*Graph!$D$5^2)</f>
        <v>55176.562505117523</v>
      </c>
      <c r="Z756">
        <f>Z755+(X755*Graph!$D$5)+(V755*Graph!$D$5^2)</f>
        <v>13395.70473395167</v>
      </c>
    </row>
    <row r="757" spans="14:26" x14ac:dyDescent="0.35">
      <c r="N757">
        <f>N756+1</f>
        <v>754</v>
      </c>
      <c r="O757">
        <f>Graph!$D$22*((Graph!$D$18-Y757)/POWER((((Graph!$D$18-$Y757)^2)+((Graph!$E$18-$Z757)^2))+(Graph!$D$23^2),(3/2)))</f>
        <v>-296.4063621484861</v>
      </c>
      <c r="P757" s="84">
        <f>Graph!$D$22*((Graph!$E$18-Z757)/POWER((((Graph!$D$18-$Y757)^2)+((Graph!$E$18-$Z757)^2))+(Graph!$D$23^2),3/2))</f>
        <v>-26.004827363748419</v>
      </c>
      <c r="Q757">
        <f>Graph!$D$31*((Graph!$D$27-Y757)/POWER((((Graph!$D$27-$Y757)^2)+((Graph!$E$27-$Z757)^2))+(Graph!$D$32^2),3/2))</f>
        <v>-30.616986882739113</v>
      </c>
      <c r="R757">
        <f>Graph!$D$31*((Graph!$E$27-Z757)/POWER((((Graph!$D$27-$Y757)^2)+((Graph!$E$27-$Z757)^2))+(Graph!$D$32^2),3/2))</f>
        <v>-1.4546013894708854</v>
      </c>
      <c r="S757">
        <f>Graph!$D$40*((Graph!$D$36-Y757)/POWER((((Graph!$D$36-$Y757)^2)+((Graph!$E$36-$Z757)^2))+(Graph!$D$41^2),3/2))</f>
        <v>-115.79648958191522</v>
      </c>
      <c r="T757">
        <f>Graph!$D$40*((Graph!$E$36-Z757)/POWER((((Graph!$D$36-$Y757)^2)+((Graph!$E$36-$Z757)^2))+(Graph!$D$41^2),3/2))</f>
        <v>-58.837919349053436</v>
      </c>
      <c r="U757">
        <f>O757+Q757+S757</f>
        <v>-442.81983861314046</v>
      </c>
      <c r="V757">
        <f>P757+R757+T757</f>
        <v>-86.297348102272736</v>
      </c>
      <c r="W757">
        <f>W756+(U756*Graph!$D$5)</f>
        <v>2325.5377206786702</v>
      </c>
      <c r="X757">
        <f>X756+(V756*Graph!$D$5)</f>
        <v>462.295666488873</v>
      </c>
      <c r="Y757">
        <f>Y756+(W756*Graph!$D$5)+(U756*Graph!$D$5^2)</f>
        <v>56339.331365456856</v>
      </c>
      <c r="Z757">
        <f>Z756+(X756*Graph!$D$5)+(V756*Graph!$D$5^2)</f>
        <v>13626.852567196107</v>
      </c>
    </row>
    <row r="758" spans="14:26" x14ac:dyDescent="0.35">
      <c r="N758">
        <f>N757+1</f>
        <v>755</v>
      </c>
      <c r="O758">
        <f>Graph!$D$22*((Graph!$D$18-Y758)/POWER((((Graph!$D$18-$Y758)^2)+((Graph!$E$18-$Z758)^2))+(Graph!$D$23^2),(3/2)))</f>
        <v>-281.96926499879379</v>
      </c>
      <c r="P758" s="84">
        <f>Graph!$D$22*((Graph!$E$18-Z758)/POWER((((Graph!$D$18-$Y758)^2)+((Graph!$E$18-$Z758)^2))+(Graph!$D$23^2),3/2))</f>
        <v>-25.51825035556946</v>
      </c>
      <c r="Q758">
        <f>Graph!$D$31*((Graph!$D$27-Y758)/POWER((((Graph!$D$27-$Y758)^2)+((Graph!$E$27-$Z758)^2))+(Graph!$D$32^2),3/2))</f>
        <v>-29.783845720899627</v>
      </c>
      <c r="R758">
        <f>Graph!$D$31*((Graph!$E$27-Z758)/POWER((((Graph!$D$27-$Y758)^2)+((Graph!$E$27-$Z758)^2))+(Graph!$D$32^2),3/2))</f>
        <v>-1.4764370328180114</v>
      </c>
      <c r="S758">
        <f>Graph!$D$40*((Graph!$D$36-Y758)/POWER((((Graph!$D$36-$Y758)^2)+((Graph!$E$36-$Z758)^2))+(Graph!$D$41^2),3/2))</f>
        <v>-112.38913548492175</v>
      </c>
      <c r="T758">
        <f>Graph!$D$40*((Graph!$E$36-Z758)/POWER((((Graph!$D$36-$Y758)^2)+((Graph!$E$36-$Z758)^2))+(Graph!$D$41^2),3/2))</f>
        <v>-56.470155163730439</v>
      </c>
      <c r="U758">
        <f>O758+Q758+S758</f>
        <v>-424.14224620461516</v>
      </c>
      <c r="V758">
        <f>P758+R758+T758</f>
        <v>-83.464842552117915</v>
      </c>
      <c r="W758">
        <f>W757+(U757*Graph!$D$5)</f>
        <v>2104.1278013720998</v>
      </c>
      <c r="X758">
        <f>X757+(V757*Graph!$D$5)</f>
        <v>419.14699243773663</v>
      </c>
      <c r="Y758">
        <f>Y757+(W757*Graph!$D$5)+(U757*Graph!$D$5^2)</f>
        <v>57391.395266142907</v>
      </c>
      <c r="Z758">
        <f>Z757+(X757*Graph!$D$5)+(V757*Graph!$D$5^2)</f>
        <v>13836.426063414976</v>
      </c>
    </row>
    <row r="759" spans="14:26" x14ac:dyDescent="0.35">
      <c r="N759">
        <f>N758+1</f>
        <v>756</v>
      </c>
      <c r="O759">
        <f>Graph!$D$22*((Graph!$D$18-Y759)/POWER((((Graph!$D$18-$Y759)^2)+((Graph!$E$18-$Z759)^2))+(Graph!$D$23^2),(3/2)))</f>
        <v>-269.85836334462721</v>
      </c>
      <c r="P759" s="84">
        <f>Graph!$D$22*((Graph!$E$18-Z759)/POWER((((Graph!$D$18-$Y759)^2)+((Graph!$E$18-$Z759)^2))+(Graph!$D$23^2),3/2))</f>
        <v>-25.064154890638335</v>
      </c>
      <c r="Q759">
        <f>Graph!$D$31*((Graph!$D$27-Y759)/POWER((((Graph!$D$27-$Y759)^2)+((Graph!$E$27-$Z759)^2))+(Graph!$D$32^2),3/2))</f>
        <v>-29.063029838053737</v>
      </c>
      <c r="R759">
        <f>Graph!$D$31*((Graph!$E$27-Z759)/POWER((((Graph!$D$27-$Y759)^2)+((Graph!$E$27-$Z759)^2))+(Graph!$D$32^2),3/2))</f>
        <v>-1.4933165432329729</v>
      </c>
      <c r="S759">
        <f>Graph!$D$40*((Graph!$D$36-Y759)/POWER((((Graph!$D$36-$Y759)^2)+((Graph!$E$36-$Z759)^2))+(Graph!$D$41^2),3/2))</f>
        <v>-109.44482527395633</v>
      </c>
      <c r="T759">
        <f>Graph!$D$40*((Graph!$E$36-Z759)/POWER((((Graph!$D$36-$Y759)^2)+((Graph!$E$36-$Z759)^2))+(Graph!$D$41^2),3/2))</f>
        <v>-54.453050059734508</v>
      </c>
      <c r="U759">
        <f>O759+Q759+S759</f>
        <v>-408.36621845663728</v>
      </c>
      <c r="V759">
        <f>P759+R759+T759</f>
        <v>-81.010521493605808</v>
      </c>
      <c r="W759">
        <f>W758+(U758*Graph!$D$5)</f>
        <v>1892.0566782697922</v>
      </c>
      <c r="X759">
        <f>X758+(V758*Graph!$D$5)</f>
        <v>377.41457116167766</v>
      </c>
      <c r="Y759">
        <f>Y758+(W758*Graph!$D$5)+(U758*Graph!$D$5^2)</f>
        <v>58337.423605277807</v>
      </c>
      <c r="Z759">
        <f>Z758+(X758*Graph!$D$5)+(V758*Graph!$D$5^2)</f>
        <v>14025.133348995816</v>
      </c>
    </row>
    <row r="760" spans="14:26" x14ac:dyDescent="0.35">
      <c r="N760">
        <f>N759+1</f>
        <v>757</v>
      </c>
      <c r="O760">
        <f>Graph!$D$22*((Graph!$D$18-Y760)/POWER((((Graph!$D$18-$Y760)^2)+((Graph!$E$18-$Z760)^2))+(Graph!$D$23^2),(3/2)))</f>
        <v>-259.6934003130192</v>
      </c>
      <c r="P760" s="84">
        <f>Graph!$D$22*((Graph!$E$18-Z760)/POWER((((Graph!$D$18-$Y760)^2)+((Graph!$E$18-$Z760)^2))+(Graph!$D$23^2),3/2))</f>
        <v>-24.649470245259611</v>
      </c>
      <c r="Q760">
        <f>Graph!$D$31*((Graph!$D$27-Y760)/POWER((((Graph!$D$27-$Y760)^2)+((Graph!$E$27-$Z760)^2))+(Graph!$D$32^2),3/2))</f>
        <v>-28.441604805455238</v>
      </c>
      <c r="R760">
        <f>Graph!$D$31*((Graph!$E$27-Z760)/POWER((((Graph!$D$27-$Y760)^2)+((Graph!$E$27-$Z760)^2))+(Graph!$D$32^2),3/2))</f>
        <v>-1.5063188122215359</v>
      </c>
      <c r="S760">
        <f>Graph!$D$40*((Graph!$D$36-Y760)/POWER((((Graph!$D$36-$Y760)^2)+((Graph!$E$36-$Z760)^2))+(Graph!$D$41^2),3/2))</f>
        <v>-106.9097146473799</v>
      </c>
      <c r="T760">
        <f>Graph!$D$40*((Graph!$E$36-Z760)/POWER((((Graph!$D$36-$Y760)^2)+((Graph!$E$36-$Z760)^2))+(Graph!$D$41^2),3/2))</f>
        <v>-52.737519761383219</v>
      </c>
      <c r="U760">
        <f>O760+Q760+S760</f>
        <v>-395.04471976585432</v>
      </c>
      <c r="V760">
        <f>P760+R760+T760</f>
        <v>-78.893308818864369</v>
      </c>
      <c r="W760">
        <f>W759+(U759*Graph!$D$5)</f>
        <v>1687.8735690414735</v>
      </c>
      <c r="X760">
        <f>X759+(V759*Graph!$D$5)</f>
        <v>336.90931041487477</v>
      </c>
      <c r="Y760">
        <f>Y759+(W759*Graph!$D$5)+(U759*Graph!$D$5^2)</f>
        <v>59181.360389798538</v>
      </c>
      <c r="Z760">
        <f>Z759+(X759*Graph!$D$5)+(V759*Graph!$D$5^2)</f>
        <v>14193.588004203253</v>
      </c>
    </row>
    <row r="761" spans="14:26" x14ac:dyDescent="0.35">
      <c r="N761">
        <f>N760+1</f>
        <v>758</v>
      </c>
      <c r="O761">
        <f>Graph!$D$22*((Graph!$D$18-Y761)/POWER((((Graph!$D$18-$Y761)^2)+((Graph!$E$18-$Z761)^2))+(Graph!$D$23^2),(3/2)))</f>
        <v>-251.18273555438941</v>
      </c>
      <c r="P761" s="84">
        <f>Graph!$D$22*((Graph!$E$18-Z761)/POWER((((Graph!$D$18-$Y761)^2)+((Graph!$E$18-$Z761)^2))+(Graph!$D$23^2),3/2))</f>
        <v>-24.277759777666819</v>
      </c>
      <c r="Q761">
        <f>Graph!$D$31*((Graph!$D$27-Y761)/POWER((((Graph!$D$27-$Y761)^2)+((Graph!$E$27-$Z761)^2))+(Graph!$D$32^2),3/2))</f>
        <v>-27.909139799630175</v>
      </c>
      <c r="R761">
        <f>Graph!$D$31*((Graph!$E$27-Z761)/POWER((((Graph!$D$27-$Y761)^2)+((Graph!$E$27-$Z761)^2))+(Graph!$D$32^2),3/2))</f>
        <v>-1.5162723592287055</v>
      </c>
      <c r="S761">
        <f>Graph!$D$40*((Graph!$D$36-Y761)/POWER((((Graph!$D$36-$Y761)^2)+((Graph!$E$36-$Z761)^2))+(Graph!$D$41^2),3/2))</f>
        <v>-104.74026480068136</v>
      </c>
      <c r="T761">
        <f>Graph!$D$40*((Graph!$E$36-Z761)/POWER((((Graph!$D$36-$Y761)^2)+((Graph!$E$36-$Z761)^2))+(Graph!$D$41^2),3/2))</f>
        <v>-51.284831431099889</v>
      </c>
      <c r="U761">
        <f>O761+Q761+S761</f>
        <v>-383.83214015470094</v>
      </c>
      <c r="V761">
        <f>P761+R761+T761</f>
        <v>-77.078863567995413</v>
      </c>
      <c r="W761">
        <f>W760+(U760*Graph!$D$5)</f>
        <v>1490.3512091585462</v>
      </c>
      <c r="X761">
        <f>X760+(V760*Graph!$D$5)</f>
        <v>297.46265600544257</v>
      </c>
      <c r="Y761">
        <f>Y760+(W760*Graph!$D$5)+(U760*Graph!$D$5^2)</f>
        <v>59926.535994377809</v>
      </c>
      <c r="Z761">
        <f>Z760+(X760*Graph!$D$5)+(V760*Graph!$D$5^2)</f>
        <v>14342.319332205974</v>
      </c>
    </row>
    <row r="762" spans="14:26" x14ac:dyDescent="0.35">
      <c r="N762">
        <f>N761+1</f>
        <v>759</v>
      </c>
      <c r="O762">
        <f>Graph!$D$22*((Graph!$D$18-Y762)/POWER((((Graph!$D$18-$Y762)^2)+((Graph!$E$18-$Z762)^2))+(Graph!$D$23^2),(3/2)))</f>
        <v>-244.10099473773289</v>
      </c>
      <c r="P762" s="84">
        <f>Graph!$D$22*((Graph!$E$18-Z762)/POWER((((Graph!$D$18-$Y762)^2)+((Graph!$E$18-$Z762)^2))+(Graph!$D$23^2),3/2))</f>
        <v>-23.95058976317442</v>
      </c>
      <c r="Q762">
        <f>Graph!$D$31*((Graph!$D$27-Y762)/POWER((((Graph!$D$27-$Y762)^2)+((Graph!$E$27-$Z762)^2))+(Graph!$D$32^2),3/2))</f>
        <v>-27.457210124973528</v>
      </c>
      <c r="R762">
        <f>Graph!$D$31*((Graph!$E$27-Z762)/POWER((((Graph!$D$27-$Y762)^2)+((Graph!$E$27-$Z762)^2))+(Graph!$D$32^2),3/2))</f>
        <v>-1.5238160810194126</v>
      </c>
      <c r="S762">
        <f>Graph!$D$40*((Graph!$D$36-Y762)/POWER((((Graph!$D$36-$Y762)^2)+((Graph!$E$36-$Z762)^2))+(Graph!$D$41^2),3/2))</f>
        <v>-102.90124568750363</v>
      </c>
      <c r="T762">
        <f>Graph!$D$40*((Graph!$E$36-Z762)/POWER((((Graph!$D$36-$Y762)^2)+((Graph!$E$36-$Z762)^2))+(Graph!$D$41^2),3/2))</f>
        <v>-50.064304500964901</v>
      </c>
      <c r="U762">
        <f>O762+Q762+S762</f>
        <v>-374.45945055021002</v>
      </c>
      <c r="V762">
        <f>P762+R762+T762</f>
        <v>-75.538710345158734</v>
      </c>
      <c r="W762">
        <f>W761+(U761*Graph!$D$5)</f>
        <v>1298.4351390811958</v>
      </c>
      <c r="X762">
        <f>X761+(V761*Graph!$D$5)</f>
        <v>258.92322422144485</v>
      </c>
      <c r="Y762">
        <f>Y761+(W761*Graph!$D$5)+(U761*Graph!$D$5^2)</f>
        <v>60575.753563918406</v>
      </c>
      <c r="Z762">
        <f>Z761+(X761*Graph!$D$5)+(V761*Graph!$D$5^2)</f>
        <v>14471.780944316697</v>
      </c>
    </row>
    <row r="763" spans="14:26" x14ac:dyDescent="0.35">
      <c r="N763">
        <f>N762+1</f>
        <v>760</v>
      </c>
      <c r="O763">
        <f>Graph!$D$22*((Graph!$D$18-Y763)/POWER((((Graph!$D$18-$Y763)^2)+((Graph!$E$18-$Z763)^2))+(Graph!$D$23^2),(3/2)))</f>
        <v>-238.27339940625347</v>
      </c>
      <c r="P763" s="84">
        <f>Graph!$D$22*((Graph!$E$18-Z763)/POWER((((Graph!$D$18-$Y763)^2)+((Graph!$E$18-$Z763)^2))+(Graph!$D$23^2),3/2))</f>
        <v>-23.668369572262364</v>
      </c>
      <c r="Q763">
        <f>Graph!$D$31*((Graph!$D$27-Y763)/POWER((((Graph!$D$27-$Y763)^2)+((Graph!$E$27-$Z763)^2))+(Graph!$D$32^2),3/2))</f>
        <v>-27.079025993947546</v>
      </c>
      <c r="R763">
        <f>Graph!$D$31*((Graph!$E$27-Z763)/POWER((((Graph!$D$27-$Y763)^2)+((Graph!$E$27-$Z763)^2))+(Graph!$D$32^2),3/2))</f>
        <v>-1.5294430392671279</v>
      </c>
      <c r="S763">
        <f>Graph!$D$40*((Graph!$D$36-Y763)/POWER((((Graph!$D$36-$Y763)^2)+((Graph!$E$36-$Z763)^2))+(Graph!$D$41^2),3/2))</f>
        <v>-101.36423014935203</v>
      </c>
      <c r="T763">
        <f>Graph!$D$40*((Graph!$E$36-Z763)/POWER((((Graph!$D$36-$Y763)^2)+((Graph!$E$36-$Z763)^2))+(Graph!$D$41^2),3/2))</f>
        <v>-49.051634305430994</v>
      </c>
      <c r="U763">
        <f>O763+Q763+S763</f>
        <v>-366.71665554955302</v>
      </c>
      <c r="V763">
        <f>P763+R763+T763</f>
        <v>-74.249446916960494</v>
      </c>
      <c r="W763">
        <f>W762+(U762*Graph!$D$5)</f>
        <v>1111.2054138060907</v>
      </c>
      <c r="X763">
        <f>X762+(V762*Graph!$D$5)</f>
        <v>221.15386904886549</v>
      </c>
      <c r="Y763">
        <f>Y762+(W762*Graph!$D$5)+(U762*Graph!$D$5^2)</f>
        <v>61131.356270821452</v>
      </c>
      <c r="Z763">
        <f>Z762+(X762*Graph!$D$5)+(V762*Graph!$D$5^2)</f>
        <v>14582.357878841131</v>
      </c>
    </row>
    <row r="764" spans="14:26" x14ac:dyDescent="0.35">
      <c r="N764">
        <f>N763+1</f>
        <v>761</v>
      </c>
      <c r="O764">
        <f>Graph!$D$22*((Graph!$D$18-Y764)/POWER((((Graph!$D$18-$Y764)^2)+((Graph!$E$18-$Z764)^2))+(Graph!$D$23^2),(3/2)))</f>
        <v>-233.56463573833375</v>
      </c>
      <c r="P764" s="84">
        <f>Graph!$D$22*((Graph!$E$18-Z764)/POWER((((Graph!$D$18-$Y764)^2)+((Graph!$E$18-$Z764)^2))+(Graph!$D$23^2),3/2))</f>
        <v>-23.430873327377778</v>
      </c>
      <c r="Q764">
        <f>Graph!$D$31*((Graph!$D$27-Y764)/POWER((((Graph!$D$27-$Y764)^2)+((Graph!$E$27-$Z764)^2))+(Graph!$D$32^2),3/2))</f>
        <v>-26.769153752322278</v>
      </c>
      <c r="R764">
        <f>Graph!$D$31*((Graph!$E$27-Z764)/POWER((((Graph!$D$27-$Y764)^2)+((Graph!$E$27-$Z764)^2))+(Graph!$D$32^2),3/2))</f>
        <v>-1.5335322721971072</v>
      </c>
      <c r="S764">
        <f>Graph!$D$40*((Graph!$D$36-Y764)/POWER((((Graph!$D$36-$Y764)^2)+((Graph!$E$36-$Z764)^2))+(Graph!$D$41^2),3/2))</f>
        <v>-100.10645355672607</v>
      </c>
      <c r="T764">
        <f>Graph!$D$40*((Graph!$E$36-Z764)/POWER((((Graph!$D$36-$Y764)^2)+((Graph!$E$36-$Z764)^2))+(Graph!$D$41^2),3/2))</f>
        <v>-48.227659597178928</v>
      </c>
      <c r="U764">
        <f>O764+Q764+S764</f>
        <v>-360.44024304738213</v>
      </c>
      <c r="V764">
        <f>P764+R764+T764</f>
        <v>-73.192065196753816</v>
      </c>
      <c r="W764">
        <f>W763+(U763*Graph!$D$5)</f>
        <v>927.84708603131423</v>
      </c>
      <c r="X764">
        <f>X763+(V763*Graph!$D$5)</f>
        <v>184.02914559038524</v>
      </c>
      <c r="Y764">
        <f>Y763+(W763*Graph!$D$5)+(U763*Graph!$D$5^2)</f>
        <v>61595.279813837107</v>
      </c>
      <c r="Z764">
        <f>Z763+(X763*Graph!$D$5)+(V763*Graph!$D$5^2)</f>
        <v>14674.372451636324</v>
      </c>
    </row>
    <row r="765" spans="14:26" x14ac:dyDescent="0.35">
      <c r="N765">
        <f>N764+1</f>
        <v>762</v>
      </c>
      <c r="O765">
        <f>Graph!$D$22*((Graph!$D$18-Y765)/POWER((((Graph!$D$18-$Y765)^2)+((Graph!$E$18-$Z765)^2))+(Graph!$D$23^2),(3/2)))</f>
        <v>-229.87088286077096</v>
      </c>
      <c r="P765" s="84">
        <f>Graph!$D$22*((Graph!$E$18-Z765)/POWER((((Graph!$D$18-$Y765)^2)+((Graph!$E$18-$Z765)^2))+(Graph!$D$23^2),3/2))</f>
        <v>-23.237566144197597</v>
      </c>
      <c r="Q765">
        <f>Graph!$D$31*((Graph!$D$27-Y765)/POWER((((Graph!$D$27-$Y765)^2)+((Graph!$E$27-$Z765)^2))+(Graph!$D$32^2),3/2))</f>
        <v>-26.523306213538611</v>
      </c>
      <c r="R765">
        <f>Graph!$D$31*((Graph!$E$27-Z765)/POWER((((Graph!$D$27-$Y765)^2)+((Graph!$E$27-$Z765)^2))+(Graph!$D$32^2),3/2))</f>
        <v>-1.5363719864135224</v>
      </c>
      <c r="S765">
        <f>Graph!$D$40*((Graph!$D$36-Y765)/POWER((((Graph!$D$36-$Y765)^2)+((Graph!$E$36-$Z765)^2))+(Graph!$D$41^2),3/2))</f>
        <v>-99.109950550276736</v>
      </c>
      <c r="T765">
        <f>Graph!$D$40*((Graph!$E$36-Z765)/POWER((((Graph!$D$36-$Y765)^2)+((Graph!$E$36-$Z765)^2))+(Graph!$D$41^2),3/2))</f>
        <v>-47.577453109955542</v>
      </c>
      <c r="U765">
        <f>O765+Q765+S765</f>
        <v>-355.50413962458629</v>
      </c>
      <c r="V765">
        <f>P765+R765+T765</f>
        <v>-72.35139124056667</v>
      </c>
      <c r="W765">
        <f>W764+(U764*Graph!$D$5)</f>
        <v>747.62696450762314</v>
      </c>
      <c r="X765">
        <f>X764+(V764*Graph!$D$5)</f>
        <v>147.43311299200832</v>
      </c>
      <c r="Y765">
        <f>Y764+(W764*Graph!$D$5)+(U764*Graph!$D$5^2)</f>
        <v>61969.093296090919</v>
      </c>
      <c r="Z765">
        <f>Z764+(X764*Graph!$D$5)+(V764*Graph!$D$5^2)</f>
        <v>14748.089008132329</v>
      </c>
    </row>
    <row r="766" spans="14:26" x14ac:dyDescent="0.35">
      <c r="N766">
        <f>N765+1</f>
        <v>763</v>
      </c>
      <c r="O766">
        <f>Graph!$D$22*((Graph!$D$18-Y766)/POWER((((Graph!$D$18-$Y766)^2)+((Graph!$E$18-$Z766)^2))+(Graph!$D$23^2),(3/2)))</f>
        <v>-227.11409702372035</v>
      </c>
      <c r="P766" s="84">
        <f>Graph!$D$22*((Graph!$E$18-Z766)/POWER((((Graph!$D$18-$Y766)^2)+((Graph!$E$18-$Z766)^2))+(Graph!$D$23^2),3/2))</f>
        <v>-23.087808477872532</v>
      </c>
      <c r="Q766">
        <f>Graph!$D$31*((Graph!$D$27-Y766)/POWER((((Graph!$D$27-$Y766)^2)+((Graph!$E$27-$Z766)^2))+(Graph!$D$32^2),3/2))</f>
        <v>-26.338185832800388</v>
      </c>
      <c r="R766">
        <f>Graph!$D$31*((Graph!$E$27-Z766)/POWER((((Graph!$D$27-$Y766)^2)+((Graph!$E$27-$Z766)^2))+(Graph!$D$32^2),3/2))</f>
        <v>-1.5381764123938169</v>
      </c>
      <c r="S766">
        <f>Graph!$D$40*((Graph!$D$36-Y766)/POWER((((Graph!$D$36-$Y766)^2)+((Graph!$E$36-$Z766)^2))+(Graph!$D$41^2),3/2))</f>
        <v>-98.360906152662551</v>
      </c>
      <c r="T766">
        <f>Graph!$D$40*((Graph!$E$36-Z766)/POWER((((Graph!$D$36-$Y766)^2)+((Graph!$E$36-$Z766)^2))+(Graph!$D$41^2),3/2))</f>
        <v>-47.089652611021897</v>
      </c>
      <c r="U766">
        <f>O766+Q766+S766</f>
        <v>-351.81318900918325</v>
      </c>
      <c r="V766">
        <f>P766+R766+T766</f>
        <v>-71.715637501288242</v>
      </c>
      <c r="W766">
        <f>W765+(U765*Graph!$D$5)</f>
        <v>569.87489469533</v>
      </c>
      <c r="X766">
        <f>X765+(V765*Graph!$D$5)</f>
        <v>111.25741737172498</v>
      </c>
      <c r="Y766">
        <f>Y765+(W765*Graph!$D$5)+(U765*Graph!$D$5^2)</f>
        <v>62254.030743438583</v>
      </c>
      <c r="Z766">
        <f>Z765+(X765*Graph!$D$5)+(V765*Graph!$D$5^2)</f>
        <v>14803.71771681819</v>
      </c>
    </row>
    <row r="767" spans="14:26" x14ac:dyDescent="0.35">
      <c r="N767">
        <f>N766+1</f>
        <v>764</v>
      </c>
      <c r="O767">
        <f>Graph!$D$22*((Graph!$D$18-Y767)/POWER((((Graph!$D$18-$Y767)^2)+((Graph!$E$18-$Z767)^2))+(Graph!$D$23^2),(3/2)))</f>
        <v>-225.23795312896345</v>
      </c>
      <c r="P767" s="84">
        <f>Graph!$D$22*((Graph!$E$18-Z767)/POWER((((Graph!$D$18-$Y767)^2)+((Graph!$E$18-$Z767)^2))+(Graph!$D$23^2),3/2))</f>
        <v>-22.98098310483433</v>
      </c>
      <c r="Q767">
        <f>Graph!$D$31*((Graph!$D$27-Y767)/POWER((((Graph!$D$27-$Y767)^2)+((Graph!$E$27-$Z767)^2))+(Graph!$D$32^2),3/2))</f>
        <v>-26.211369336409064</v>
      </c>
      <c r="R767">
        <f>Graph!$D$31*((Graph!$E$27-Z767)/POWER((((Graph!$D$27-$Y767)^2)+((Graph!$E$27-$Z767)^2))+(Graph!$D$32^2),3/2))</f>
        <v>-1.5390978848577184</v>
      </c>
      <c r="S767">
        <f>Graph!$D$40*((Graph!$D$36-Y767)/POWER((((Graph!$D$36-$Y767)^2)+((Graph!$E$36-$Z767)^2))+(Graph!$D$41^2),3/2))</f>
        <v>-97.849176737419526</v>
      </c>
      <c r="T767">
        <f>Graph!$D$40*((Graph!$E$36-Z767)/POWER((((Graph!$D$36-$Y767)^2)+((Graph!$E$36-$Z767)^2))+(Graph!$D$41^2),3/2))</f>
        <v>-46.755975729277274</v>
      </c>
      <c r="U767">
        <f>O767+Q767+S767</f>
        <v>-349.29849920279207</v>
      </c>
      <c r="V767">
        <f>P767+R767+T767</f>
        <v>-71.276056718969329</v>
      </c>
      <c r="W767">
        <f>W766+(U766*Graph!$D$5)</f>
        <v>393.96830019073838</v>
      </c>
      <c r="X767">
        <f>X766+(V766*Graph!$D$5)</f>
        <v>75.399598621080855</v>
      </c>
      <c r="Y767">
        <f>Y766+(W766*Graph!$D$5)+(U766*Graph!$D$5^2)</f>
        <v>62451.014893533953</v>
      </c>
      <c r="Z767">
        <f>Z766+(X766*Graph!$D$5)+(V766*Graph!$D$5^2)</f>
        <v>14841.417516128731</v>
      </c>
    </row>
    <row r="768" spans="14:26" x14ac:dyDescent="0.35">
      <c r="N768">
        <f>N767+1</f>
        <v>765</v>
      </c>
      <c r="O768">
        <f>Graph!$D$22*((Graph!$D$18-Y768)/POWER((((Graph!$D$18-$Y768)^2)+((Graph!$E$18-$Z768)^2))+(Graph!$D$23^2),(3/2)))</f>
        <v>-224.20504683825553</v>
      </c>
      <c r="P768" s="84">
        <f>Graph!$D$22*((Graph!$E$18-Z768)/POWER((((Graph!$D$18-$Y768)^2)+((Graph!$E$18-$Z768)^2))+(Graph!$D$23^2),3/2))</f>
        <v>-22.916571866296689</v>
      </c>
      <c r="Q768">
        <f>Graph!$D$31*((Graph!$D$27-Y768)/POWER((((Graph!$D$27-$Y768)^2)+((Graph!$E$27-$Z768)^2))+(Graph!$D$32^2),3/2))</f>
        <v>-26.141225893621918</v>
      </c>
      <c r="R768">
        <f>Graph!$D$31*((Graph!$E$27-Z768)/POWER((((Graph!$D$27-$Y768)^2)+((Graph!$E$27-$Z768)^2))+(Graph!$D$32^2),3/2))</f>
        <v>-1.5392352100326852</v>
      </c>
      <c r="S768">
        <f>Graph!$D$40*((Graph!$D$36-Y768)/POWER((((Graph!$D$36-$Y768)^2)+((Graph!$E$36-$Z768)^2))+(Graph!$D$41^2),3/2))</f>
        <v>-97.567949578666656</v>
      </c>
      <c r="T768">
        <f>Graph!$D$40*((Graph!$E$36-Z768)/POWER((((Graph!$D$36-$Y768)^2)+((Graph!$E$36-$Z768)^2))+(Graph!$D$41^2),3/2))</f>
        <v>-46.570879775137925</v>
      </c>
      <c r="U768">
        <f>O768+Q768+S768</f>
        <v>-347.91422231054412</v>
      </c>
      <c r="V768">
        <f>P768+R768+T768</f>
        <v>-71.026686851467304</v>
      </c>
      <c r="W768">
        <f>W767+(U767*Graph!$D$5)</f>
        <v>219.31905058934234</v>
      </c>
      <c r="X768">
        <f>X767+(V767*Graph!$D$5)</f>
        <v>39.761570261596191</v>
      </c>
      <c r="Y768">
        <f>Y767+(W767*Graph!$D$5)+(U767*Graph!$D$5^2)</f>
        <v>62560.674418828625</v>
      </c>
      <c r="Z768">
        <f>Z767+(X767*Graph!$D$5)+(V767*Graph!$D$5^2)</f>
        <v>14861.298301259529</v>
      </c>
    </row>
    <row r="769" spans="14:26" x14ac:dyDescent="0.35">
      <c r="N769">
        <f>N768+1</f>
        <v>766</v>
      </c>
      <c r="O769">
        <f>Graph!$D$22*((Graph!$D$18-Y769)/POWER((((Graph!$D$18-$Y769)^2)+((Graph!$E$18-$Z769)^2))+(Graph!$D$23^2),(3/2)))</f>
        <v>-223.99509876643467</v>
      </c>
      <c r="P769" s="84">
        <f>Graph!$D$22*((Graph!$E$18-Z769)/POWER((((Graph!$D$18-$Y769)^2)+((Graph!$E$18-$Z769)^2))+(Graph!$D$23^2),3/2))</f>
        <v>-22.894198511709149</v>
      </c>
      <c r="Q769">
        <f>Graph!$D$31*((Graph!$D$27-Y769)/POWER((((Graph!$D$27-$Y769)^2)+((Graph!$E$27-$Z769)^2))+(Graph!$D$32^2),3/2))</f>
        <v>-26.126863471867438</v>
      </c>
      <c r="R769">
        <f>Graph!$D$31*((Graph!$E$27-Z769)/POWER((((Graph!$D$27-$Y769)^2)+((Graph!$E$27-$Z769)^2))+(Graph!$D$32^2),3/2))</f>
        <v>-1.538639025218415</v>
      </c>
      <c r="S769">
        <f>Graph!$D$40*((Graph!$D$36-Y769)/POWER((((Graph!$D$36-$Y769)^2)+((Graph!$E$36-$Z769)^2))+(Graph!$D$41^2),3/2))</f>
        <v>-97.513519632904917</v>
      </c>
      <c r="T769">
        <f>Graph!$D$40*((Graph!$E$36-Z769)/POWER((((Graph!$D$36-$Y769)^2)+((Graph!$E$36-$Z769)^2))+(Graph!$D$41^2),3/2))</f>
        <v>-46.531340639373404</v>
      </c>
      <c r="U769">
        <f>O769+Q769+S769</f>
        <v>-347.63548187120705</v>
      </c>
      <c r="V769">
        <f>P769+R769+T769</f>
        <v>-70.964178176300976</v>
      </c>
      <c r="W769">
        <f>W768+(U768*Graph!$D$5)</f>
        <v>45.36193943407028</v>
      </c>
      <c r="X769">
        <f>X768+(V768*Graph!$D$5)</f>
        <v>4.248226835862539</v>
      </c>
      <c r="Y769">
        <f>Y768+(W768*Graph!$D$5)+(U768*Graph!$D$5^2)</f>
        <v>62583.355388545664</v>
      </c>
      <c r="Z769">
        <f>Z768+(X768*Graph!$D$5)+(V768*Graph!$D$5^2)</f>
        <v>14863.42241467746</v>
      </c>
    </row>
    <row r="770" spans="14:26" x14ac:dyDescent="0.35">
      <c r="N770">
        <f>N769+1</f>
        <v>767</v>
      </c>
      <c r="O770">
        <f>Graph!$D$22*((Graph!$D$18-Y770)/POWER((((Graph!$D$18-$Y770)^2)+((Graph!$E$18-$Z770)^2))+(Graph!$D$23^2),(3/2)))</f>
        <v>-224.60400182850643</v>
      </c>
      <c r="P770" s="84">
        <f>Graph!$D$22*((Graph!$E$18-Z770)/POWER((((Graph!$D$18-$Y770)^2)+((Graph!$E$18-$Z770)^2))+(Graph!$D$23^2),3/2))</f>
        <v>-22.913646972400041</v>
      </c>
      <c r="Q770">
        <f>Graph!$D$31*((Graph!$D$27-Y770)/POWER((((Graph!$D$27-$Y770)^2)+((Graph!$E$27-$Z770)^2))+(Graph!$D$32^2),3/2))</f>
        <v>-26.168099981661626</v>
      </c>
      <c r="R770">
        <f>Graph!$D$31*((Graph!$E$27-Z770)/POWER((((Graph!$D$27-$Y770)^2)+((Graph!$E$27-$Z770)^2))+(Graph!$D$32^2),3/2))</f>
        <v>-1.5373145893233224</v>
      </c>
      <c r="S770">
        <f>Graph!$D$40*((Graph!$D$36-Y770)/POWER((((Graph!$D$36-$Y770)^2)+((Graph!$E$36-$Z770)^2))+(Graph!$D$41^2),3/2))</f>
        <v>-97.685169974396231</v>
      </c>
      <c r="T770">
        <f>Graph!$D$40*((Graph!$E$36-Z770)/POWER((((Graph!$D$36-$Y770)^2)+((Graph!$E$36-$Z770)^2))+(Graph!$D$41^2),3/2))</f>
        <v>-46.636734535244948</v>
      </c>
      <c r="U770">
        <f>O770+Q770+S770</f>
        <v>-348.45727178456428</v>
      </c>
      <c r="V770">
        <f>P770+R770+T770</f>
        <v>-71.087696096968315</v>
      </c>
      <c r="W770">
        <f>W769+(U769*Graph!$D$5)</f>
        <v>-128.45580150153324</v>
      </c>
      <c r="X770">
        <f>X769+(V769*Graph!$D$5)</f>
        <v>-31.233862252287949</v>
      </c>
      <c r="Y770">
        <f>Y769+(W769*Graph!$D$5)+(U769*Graph!$D$5^2)</f>
        <v>62519.127487794896</v>
      </c>
      <c r="Z770">
        <f>Z769+(X769*Graph!$D$5)+(V769*Graph!$D$5^2)</f>
        <v>14847.805483551316</v>
      </c>
    </row>
    <row r="771" spans="14:26" x14ac:dyDescent="0.35">
      <c r="N771">
        <f>N770+1</f>
        <v>768</v>
      </c>
      <c r="O771">
        <f>Graph!$D$22*((Graph!$D$18-Y771)/POWER((((Graph!$D$18-$Y771)^2)+((Graph!$E$18-$Z771)^2))+(Graph!$D$23^2),(3/2)))</f>
        <v>-226.0436297618869</v>
      </c>
      <c r="P771" s="84">
        <f>Graph!$D$22*((Graph!$E$18-Z771)/POWER((((Graph!$D$18-$Y771)^2)+((Graph!$E$18-$Z771)^2))+(Graph!$D$23^2),3/2))</f>
        <v>-22.974859468038101</v>
      </c>
      <c r="Q771">
        <f>Graph!$D$31*((Graph!$D$27-Y771)/POWER((((Graph!$D$27-$Y771)^2)+((Graph!$E$27-$Z771)^2))+(Graph!$D$32^2),3/2))</f>
        <v>-26.265457426394661</v>
      </c>
      <c r="R771">
        <f>Graph!$D$31*((Graph!$E$27-Z771)/POWER((((Graph!$D$27-$Y771)^2)+((Graph!$E$27-$Z771)^2))+(Graph!$D$32^2),3/2))</f>
        <v>-1.535222230063197</v>
      </c>
      <c r="S771">
        <f>Graph!$D$40*((Graph!$D$36-Y771)/POWER((((Graph!$D$36-$Y771)^2)+((Graph!$E$36-$Z771)^2))+(Graph!$D$41^2),3/2))</f>
        <v>-98.085148751770987</v>
      </c>
      <c r="T771">
        <f>Graph!$D$40*((Graph!$E$36-Z771)/POWER((((Graph!$D$36-$Y771)^2)+((Graph!$E$36-$Z771)^2))+(Graph!$D$41^2),3/2))</f>
        <v>-46.888814110141865</v>
      </c>
      <c r="U771">
        <f>O771+Q771+S771</f>
        <v>-350.39423594005257</v>
      </c>
      <c r="V771">
        <f>P771+R771+T771</f>
        <v>-71.398895808243168</v>
      </c>
      <c r="W771">
        <f>W770+(U770*Graph!$D$5)</f>
        <v>-302.68443739381541</v>
      </c>
      <c r="X771">
        <f>X770+(V770*Graph!$D$5)</f>
        <v>-66.7777103007721</v>
      </c>
      <c r="Y771">
        <f>Y770+(W770*Graph!$D$5)+(U770*Graph!$D$5^2)</f>
        <v>62367.785269097985</v>
      </c>
      <c r="Z771">
        <f>Z770+(X770*Graph!$D$5)+(V770*Graph!$D$5^2)</f>
        <v>14814.41662840093</v>
      </c>
    </row>
    <row r="772" spans="14:26" x14ac:dyDescent="0.35">
      <c r="N772">
        <f>N771+1</f>
        <v>769</v>
      </c>
      <c r="O772">
        <f>Graph!$D$22*((Graph!$D$18-Y772)/POWER((((Graph!$D$18-$Y772)^2)+((Graph!$E$18-$Z772)^2))+(Graph!$D$23^2),(3/2)))</f>
        <v>-228.34239052521849</v>
      </c>
      <c r="P772" s="84">
        <f>Graph!$D$22*((Graph!$E$18-Z772)/POWER((((Graph!$D$18-$Y772)^2)+((Graph!$E$18-$Z772)^2))+(Graph!$D$23^2),3/2))</f>
        <v>-23.07791489503126</v>
      </c>
      <c r="Q772">
        <f>Graph!$D$31*((Graph!$D$27-Y772)/POWER((((Graph!$D$27-$Y772)^2)+((Graph!$E$27-$Z772)^2))+(Graph!$D$32^2),3/2))</f>
        <v>-26.420178698628177</v>
      </c>
      <c r="R772">
        <f>Graph!$D$31*((Graph!$E$27-Z772)/POWER((((Graph!$D$27-$Y772)^2)+((Graph!$E$27-$Z772)^2))+(Graph!$D$32^2),3/2))</f>
        <v>-1.5322754875603062</v>
      </c>
      <c r="S772">
        <f>Graph!$D$40*((Graph!$D$36-Y772)/POWER((((Graph!$D$36-$Y772)^2)+((Graph!$E$36-$Z772)^2))+(Graph!$D$41^2),3/2))</f>
        <v>-98.718741300404105</v>
      </c>
      <c r="T772">
        <f>Graph!$D$40*((Graph!$E$36-Z772)/POWER((((Graph!$D$36-$Y772)^2)+((Graph!$E$36-$Z772)^2))+(Graph!$D$41^2),3/2))</f>
        <v>-47.291777244183457</v>
      </c>
      <c r="U772">
        <f>O772+Q772+S772</f>
        <v>-353.48131052425077</v>
      </c>
      <c r="V772">
        <f>P772+R772+T772</f>
        <v>-71.901967626775019</v>
      </c>
      <c r="W772">
        <f>W771+(U771*Graph!$D$5)</f>
        <v>-477.8815553638417</v>
      </c>
      <c r="X772">
        <f>X771+(V771*Graph!$D$5)</f>
        <v>-102.47715820489368</v>
      </c>
      <c r="Y772">
        <f>Y771+(W771*Graph!$D$5)+(U771*Graph!$D$5^2)</f>
        <v>62128.844491416065</v>
      </c>
      <c r="Z772">
        <f>Z771+(X771*Graph!$D$5)+(V771*Graph!$D$5^2)</f>
        <v>14763.178049298484</v>
      </c>
    </row>
    <row r="773" spans="14:26" x14ac:dyDescent="0.35">
      <c r="N773">
        <f>N772+1</f>
        <v>770</v>
      </c>
      <c r="O773">
        <f>Graph!$D$22*((Graph!$D$18-Y773)/POWER((((Graph!$D$18-$Y773)^2)+((Graph!$E$18-$Z773)^2))+(Graph!$D$23^2),(3/2)))</f>
        <v>-231.54657174586427</v>
      </c>
      <c r="P773" s="84">
        <f>Graph!$D$22*((Graph!$E$18-Z773)/POWER((((Graph!$D$18-$Y773)^2)+((Graph!$E$18-$Z773)^2))+(Graph!$D$23^2),3/2))</f>
        <v>-23.222984129708106</v>
      </c>
      <c r="Q773">
        <f>Graph!$D$31*((Graph!$D$27-Y773)/POWER((((Graph!$D$27-$Y773)^2)+((Graph!$E$27-$Z773)^2))+(Graph!$D$32^2),3/2))</f>
        <v>-26.634268054850345</v>
      </c>
      <c r="R773">
        <f>Graph!$D$31*((Graph!$E$27-Z773)/POWER((((Graph!$D$27-$Y773)^2)+((Graph!$E$27-$Z773)^2))+(Graph!$D$32^2),3/2))</f>
        <v>-1.5283368130457227</v>
      </c>
      <c r="S773">
        <f>Graph!$D$40*((Graph!$D$36-Y773)/POWER((((Graph!$D$36-$Y773)^2)+((Graph!$E$36-$Z773)^2))+(Graph!$D$41^2),3/2))</f>
        <v>-99.594441682990251</v>
      </c>
      <c r="T773">
        <f>Graph!$D$40*((Graph!$E$36-Z773)/POWER((((Graph!$D$36-$Y773)^2)+((Graph!$E$36-$Z773)^2))+(Graph!$D$41^2),3/2))</f>
        <v>-47.852433454952966</v>
      </c>
      <c r="U773">
        <f>O773+Q773+S773</f>
        <v>-357.77528148370487</v>
      </c>
      <c r="V773">
        <f>P773+R773+T773</f>
        <v>-72.603754397706794</v>
      </c>
      <c r="W773">
        <f>W772+(U772*Graph!$D$5)</f>
        <v>-654.62221062596711</v>
      </c>
      <c r="X773">
        <f>X772+(V772*Graph!$D$5)</f>
        <v>-138.42814201828119</v>
      </c>
      <c r="Y773">
        <f>Y772+(W772*Graph!$D$5)+(U772*Graph!$D$5^2)</f>
        <v>61801.533386103081</v>
      </c>
      <c r="Z773">
        <f>Z772+(X772*Graph!$D$5)+(V772*Graph!$D$5^2)</f>
        <v>14693.963978289343</v>
      </c>
    </row>
    <row r="774" spans="14:26" x14ac:dyDescent="0.35">
      <c r="N774">
        <f>N773+1</f>
        <v>771</v>
      </c>
      <c r="O774">
        <f>Graph!$D$22*((Graph!$D$18-Y774)/POWER((((Graph!$D$18-$Y774)^2)+((Graph!$E$18-$Z774)^2))+(Graph!$D$23^2),(3/2)))</f>
        <v>-235.72259527192583</v>
      </c>
      <c r="P774" s="84">
        <f>Graph!$D$22*((Graph!$E$18-Z774)/POWER((((Graph!$D$18-$Y774)^2)+((Graph!$E$18-$Z774)^2))+(Graph!$D$23^2),3/2))</f>
        <v>-23.410254404923084</v>
      </c>
      <c r="Q774">
        <f>Graph!$D$31*((Graph!$D$27-Y774)/POWER((((Graph!$D$27-$Y774)^2)+((Graph!$E$27-$Z774)^2))+(Graph!$D$32^2),3/2))</f>
        <v>-26.910557795493379</v>
      </c>
      <c r="R774">
        <f>Graph!$D$31*((Graph!$E$27-Z774)/POWER((((Graph!$D$27-$Y774)^2)+((Graph!$E$27-$Z774)^2))+(Graph!$D$32^2),3/2))</f>
        <v>-1.5232104839805412</v>
      </c>
      <c r="S774">
        <f>Graph!$D$40*((Graph!$D$36-Y774)/POWER((((Graph!$D$36-$Y774)^2)+((Graph!$E$36-$Z774)^2))+(Graph!$D$41^2),3/2))</f>
        <v>-100.72423397255201</v>
      </c>
      <c r="T774">
        <f>Graph!$D$40*((Graph!$E$36-Z774)/POWER((((Graph!$D$36-$Y774)^2)+((Graph!$E$36-$Z774)^2))+(Graph!$D$41^2),3/2))</f>
        <v>-48.580479989445188</v>
      </c>
      <c r="U774">
        <f>O774+Q774+S774</f>
        <v>-363.35738703997117</v>
      </c>
      <c r="V774">
        <f>P774+R774+T774</f>
        <v>-73.513944878348809</v>
      </c>
      <c r="W774">
        <f>W773+(U773*Graph!$D$5)</f>
        <v>-833.50985136781958</v>
      </c>
      <c r="X774">
        <f>X773+(V773*Graph!$D$5)</f>
        <v>-174.73001921713458</v>
      </c>
      <c r="Y774">
        <f>Y773+(W773*Graph!$D$5)+(U773*Graph!$D$5^2)</f>
        <v>61384.778460419169</v>
      </c>
      <c r="Z774">
        <f>Z773+(X773*Graph!$D$5)+(V773*Graph!$D$5^2)</f>
        <v>14606.598968680775</v>
      </c>
    </row>
    <row r="775" spans="14:26" x14ac:dyDescent="0.35">
      <c r="N775">
        <f>N774+1</f>
        <v>772</v>
      </c>
      <c r="O775">
        <f>Graph!$D$22*((Graph!$D$18-Y775)/POWER((((Graph!$D$18-$Y775)^2)+((Graph!$E$18-$Z775)^2))+(Graph!$D$23^2),(3/2)))</f>
        <v>-240.96038408405104</v>
      </c>
      <c r="P775" s="84">
        <f>Graph!$D$22*((Graph!$E$18-Z775)/POWER((((Graph!$D$18-$Y775)^2)+((Graph!$E$18-$Z775)^2))+(Graph!$D$23^2),3/2))</f>
        <v>-23.639808820909131</v>
      </c>
      <c r="Q775">
        <f>Graph!$D$31*((Graph!$D$27-Y775)/POWER((((Graph!$D$27-$Y775)^2)+((Graph!$E$27-$Z775)^2))+(Graph!$D$32^2),3/2))</f>
        <v>-27.252805433083914</v>
      </c>
      <c r="R775">
        <f>Graph!$D$31*((Graph!$E$27-Z775)/POWER((((Graph!$D$27-$Y775)^2)+((Graph!$E$27-$Z775)^2))+(Graph!$D$32^2),3/2))</f>
        <v>-1.5166321591883567</v>
      </c>
      <c r="S775">
        <f>Graph!$D$40*((Graph!$D$36-Y775)/POWER((((Graph!$D$36-$Y775)^2)+((Graph!$E$36-$Z775)^2))+(Graph!$D$41^2),3/2))</f>
        <v>-102.12400062596583</v>
      </c>
      <c r="T775">
        <f>Graph!$D$40*((Graph!$E$36-Z775)/POWER((((Graph!$D$36-$Y775)^2)+((Graph!$E$36-$Z775)^2))+(Graph!$D$41^2),3/2))</f>
        <v>-49.488908249656198</v>
      </c>
      <c r="U775">
        <f>O775+Q775+S775</f>
        <v>-370.33719014310077</v>
      </c>
      <c r="V775">
        <f>P775+R775+T775</f>
        <v>-74.645349229753691</v>
      </c>
      <c r="W775">
        <f>W774+(U774*Graph!$D$5)</f>
        <v>-1015.1885448878052</v>
      </c>
      <c r="X775">
        <f>X774+(V774*Graph!$D$5)</f>
        <v>-211.48699165630899</v>
      </c>
      <c r="Y775">
        <f>Y774+(W774*Graph!$D$5)+(U774*Graph!$D$5^2)</f>
        <v>60877.184187975261</v>
      </c>
      <c r="Z775">
        <f>Z774+(X774*Graph!$D$5)+(V774*Graph!$D$5^2)</f>
        <v>14500.85547285262</v>
      </c>
    </row>
    <row r="776" spans="14:26" x14ac:dyDescent="0.35">
      <c r="N776">
        <f>N775+1</f>
        <v>773</v>
      </c>
      <c r="O776">
        <f>Graph!$D$22*((Graph!$D$18-Y776)/POWER((((Graph!$D$18-$Y776)^2)+((Graph!$E$18-$Z776)^2))+(Graph!$D$23^2),(3/2)))</f>
        <v>-247.37816059283568</v>
      </c>
      <c r="P776" s="84">
        <f>Graph!$D$22*((Graph!$E$18-Z776)/POWER((((Graph!$D$18-$Y776)^2)+((Graph!$E$18-$Z776)^2))+(Graph!$D$23^2),3/2))</f>
        <v>-23.91143792309969</v>
      </c>
      <c r="Q776">
        <f>Graph!$D$31*((Graph!$D$27-Y776)/POWER((((Graph!$D$27-$Y776)^2)+((Graph!$E$27-$Z776)^2))+(Graph!$D$32^2),3/2))</f>
        <v>-27.665827846250814</v>
      </c>
      <c r="R776">
        <f>Graph!$D$31*((Graph!$E$27-Z776)/POWER((((Graph!$D$27-$Y776)^2)+((Graph!$E$27-$Z776)^2))+(Graph!$D$32^2),3/2))</f>
        <v>-1.508254188655034</v>
      </c>
      <c r="S776">
        <f>Graph!$D$40*((Graph!$D$36-Y776)/POWER((((Graph!$D$36-$Y776)^2)+((Graph!$E$36-$Z776)^2))+(Graph!$D$41^2),3/2))</f>
        <v>-103.81408404955286</v>
      </c>
      <c r="T776">
        <f>Graph!$D$40*((Graph!$E$36-Z776)/POWER((((Graph!$D$36-$Y776)^2)+((Graph!$E$36-$Z776)^2))+(Graph!$D$41^2),3/2))</f>
        <v>-50.594572250593771</v>
      </c>
      <c r="U776">
        <f>O776+Q776+S776</f>
        <v>-378.85807248863932</v>
      </c>
      <c r="V776">
        <f>P776+R776+T776</f>
        <v>-76.014264362348499</v>
      </c>
      <c r="W776">
        <f>W775+(U775*Graph!$D$5)</f>
        <v>-1200.3571399593557</v>
      </c>
      <c r="X776">
        <f>X775+(V775*Graph!$D$5)</f>
        <v>-248.80966627118585</v>
      </c>
      <c r="Y776">
        <f>Y775+(W775*Graph!$D$5)+(U775*Graph!$D$5^2)</f>
        <v>60277.005617995586</v>
      </c>
      <c r="Z776">
        <f>Z775+(X775*Graph!$D$5)+(V775*Graph!$D$5^2)</f>
        <v>14376.450639717028</v>
      </c>
    </row>
    <row r="777" spans="14:26" x14ac:dyDescent="0.35">
      <c r="N777">
        <f>N776+1</f>
        <v>774</v>
      </c>
      <c r="O777">
        <f>Graph!$D$22*((Graph!$D$18-Y777)/POWER((((Graph!$D$18-$Y777)^2)+((Graph!$E$18-$Z777)^2))+(Graph!$D$23^2),(3/2)))</f>
        <v>-255.12916033202902</v>
      </c>
      <c r="P777" s="84">
        <f>Graph!$D$22*((Graph!$E$18-Z777)/POWER((((Graph!$D$18-$Y777)^2)+((Graph!$E$18-$Z777)^2))+(Graph!$D$23^2),3/2))</f>
        <v>-24.22434584593281</v>
      </c>
      <c r="Q777">
        <f>Graph!$D$31*((Graph!$D$27-Y777)/POWER((((Graph!$D$27-$Y777)^2)+((Graph!$E$27-$Z777)^2))+(Graph!$D$32^2),3/2))</f>
        <v>-28.155681863515749</v>
      </c>
      <c r="R777">
        <f>Graph!$D$31*((Graph!$E$27-Z777)/POWER((((Graph!$D$27-$Y777)^2)+((Graph!$E$27-$Z777)^2))+(Graph!$D$32^2),3/2))</f>
        <v>-1.4976253689334345</v>
      </c>
      <c r="S777">
        <f>Graph!$D$40*((Graph!$D$36-Y777)/POWER((((Graph!$D$36-$Y777)^2)+((Graph!$E$36-$Z777)^2))+(Graph!$D$41^2),3/2))</f>
        <v>-105.82003890823559</v>
      </c>
      <c r="T777">
        <f>Graph!$D$40*((Graph!$E$36-Z777)/POWER((((Graph!$D$36-$Y777)^2)+((Graph!$E$36-$Z777)^2))+(Graph!$D$41^2),3/2))</f>
        <v>-51.918965876592281</v>
      </c>
      <c r="U777">
        <f>O777+Q777+S777</f>
        <v>-389.10488110378031</v>
      </c>
      <c r="V777">
        <f>P777+R777+T777</f>
        <v>-77.640937091458525</v>
      </c>
      <c r="W777">
        <f>W776+(U776*Graph!$D$5)</f>
        <v>-1389.7861762036753</v>
      </c>
      <c r="X777">
        <f>X776+(V776*Graph!$D$5)</f>
        <v>-286.8167984523601</v>
      </c>
      <c r="Y777">
        <f>Y776+(W776*Graph!$D$5)+(U776*Graph!$D$5^2)</f>
        <v>59582.112529893755</v>
      </c>
      <c r="Z777">
        <f>Z776+(X776*Graph!$D$5)+(V776*Graph!$D$5^2)</f>
        <v>14233.042240490848</v>
      </c>
    </row>
    <row r="778" spans="14:26" x14ac:dyDescent="0.35">
      <c r="N778">
        <f>N777+1</f>
        <v>775</v>
      </c>
      <c r="O778">
        <f>Graph!$D$22*((Graph!$D$18-Y778)/POWER((((Graph!$D$18-$Y778)^2)+((Graph!$E$18-$Z778)^2))+(Graph!$D$23^2),(3/2)))</f>
        <v>-264.41099025832972</v>
      </c>
      <c r="P778" s="84">
        <f>Graph!$D$22*((Graph!$E$18-Z778)/POWER((((Graph!$D$18-$Y778)^2)+((Graph!$E$18-$Z778)^2))+(Graph!$D$23^2),3/2))</f>
        <v>-24.576689881816112</v>
      </c>
      <c r="Q778">
        <f>Graph!$D$31*((Graph!$D$27-Y778)/POWER((((Graph!$D$27-$Y778)^2)+((Graph!$E$27-$Z778)^2))+(Graph!$D$32^2),3/2))</f>
        <v>-28.729904797543288</v>
      </c>
      <c r="R778">
        <f>Graph!$D$31*((Graph!$E$27-Z778)/POWER((((Graph!$D$27-$Y778)^2)+((Graph!$E$27-$Z778)^2))+(Graph!$D$32^2),3/2))</f>
        <v>-1.4841632314015241</v>
      </c>
      <c r="S778">
        <f>Graph!$D$40*((Graph!$D$36-Y778)/POWER((((Graph!$D$36-$Y778)^2)+((Graph!$E$36-$Z778)^2))+(Graph!$D$41^2),3/2))</f>
        <v>-108.17362826228469</v>
      </c>
      <c r="T778">
        <f>Graph!$D$40*((Graph!$E$36-Z778)/POWER((((Graph!$D$36-$Y778)^2)+((Graph!$E$36-$Z778)^2))+(Graph!$D$41^2),3/2))</f>
        <v>-53.489277071003364</v>
      </c>
      <c r="U778">
        <f>O778+Q778+S778</f>
        <v>-401.31452331815768</v>
      </c>
      <c r="V778">
        <f>P778+R778+T778</f>
        <v>-79.550130184221004</v>
      </c>
      <c r="W778">
        <f>W777+(U777*Graph!$D$5)</f>
        <v>-1584.3386167555655</v>
      </c>
      <c r="X778">
        <f>X777+(V777*Graph!$D$5)</f>
        <v>-325.63726699808939</v>
      </c>
      <c r="Y778">
        <f>Y777+(W777*Graph!$D$5)+(U777*Graph!$D$5^2)</f>
        <v>58789.943221515969</v>
      </c>
      <c r="Z778">
        <f>Z777+(X777*Graph!$D$5)+(V777*Graph!$D$5^2)</f>
        <v>14070.223606991804</v>
      </c>
    </row>
    <row r="779" spans="14:26" x14ac:dyDescent="0.35">
      <c r="N779">
        <f>N778+1</f>
        <v>776</v>
      </c>
      <c r="O779">
        <f>Graph!$D$22*((Graph!$D$18-Y779)/POWER((((Graph!$D$18-$Y779)^2)+((Graph!$E$18-$Z779)^2))+(Graph!$D$23^2),(3/2)))</f>
        <v>-275.47873732534913</v>
      </c>
      <c r="P779" s="84">
        <f>Graph!$D$22*((Graph!$E$18-Z779)/POWER((((Graph!$D$18-$Y779)^2)+((Graph!$E$18-$Z779)^2))+(Graph!$D$23^2),3/2))</f>
        <v>-24.964852543420175</v>
      </c>
      <c r="Q779">
        <f>Graph!$D$31*((Graph!$D$27-Y779)/POWER((((Graph!$D$27-$Y779)^2)+((Graph!$E$27-$Z779)^2))+(Graph!$D$32^2),3/2))</f>
        <v>-29.397834267186646</v>
      </c>
      <c r="R779">
        <f>Graph!$D$31*((Graph!$E$27-Z779)/POWER((((Graph!$D$27-$Y779)^2)+((Graph!$E$27-$Z779)^2))+(Graph!$D$32^2),3/2))</f>
        <v>-1.4671160655599063</v>
      </c>
      <c r="S779">
        <f>Graph!$D$40*((Graph!$D$36-Y779)/POWER((((Graph!$D$36-$Y779)^2)+((Graph!$E$36-$Z779)^2))+(Graph!$D$41^2),3/2))</f>
        <v>-110.91413827045332</v>
      </c>
      <c r="T779">
        <f>Graph!$D$40*((Graph!$E$36-Z779)/POWER((((Graph!$D$36-$Y779)^2)+((Graph!$E$36-$Z779)^2))+(Graph!$D$41^2),3/2))</f>
        <v>-55.339818330711928</v>
      </c>
      <c r="U779">
        <f>O779+Q779+S779</f>
        <v>-415.79070986298905</v>
      </c>
      <c r="V779">
        <f>P779+R779+T779</f>
        <v>-81.771786939692007</v>
      </c>
      <c r="W779">
        <f>W778+(U778*Graph!$D$5)</f>
        <v>-1784.9958784146443</v>
      </c>
      <c r="X779">
        <f>X778+(V778*Graph!$D$5)</f>
        <v>-365.41233209019987</v>
      </c>
      <c r="Y779">
        <f>Y778+(W778*Graph!$D$5)+(U778*Graph!$D$5^2)</f>
        <v>57897.445282308639</v>
      </c>
      <c r="Z779">
        <f>Z778+(X778*Graph!$D$5)+(V778*Graph!$D$5^2)</f>
        <v>13887.517440946704</v>
      </c>
    </row>
    <row r="780" spans="14:26" x14ac:dyDescent="0.35">
      <c r="N780">
        <f>N779+1</f>
        <v>777</v>
      </c>
      <c r="O780">
        <f>Graph!$D$22*((Graph!$D$18-Y780)/POWER((((Graph!$D$18-$Y780)^2)+((Graph!$E$18-$Z780)^2))+(Graph!$D$23^2),(3/2)))</f>
        <v>-288.66352758745342</v>
      </c>
      <c r="P780" s="84">
        <f>Graph!$D$22*((Graph!$E$18-Z780)/POWER((((Graph!$D$18-$Y780)^2)+((Graph!$E$18-$Z780)^2))+(Graph!$D$23^2),3/2))</f>
        <v>-25.382276485692756</v>
      </c>
      <c r="Q780">
        <f>Graph!$D$31*((Graph!$D$27-Y780)/POWER((((Graph!$D$27-$Y780)^2)+((Graph!$E$27-$Z780)^2))+(Graph!$D$32^2),3/2))</f>
        <v>-30.171035161184442</v>
      </c>
      <c r="R780">
        <f>Graph!$D$31*((Graph!$E$27-Z780)/POWER((((Graph!$D$27-$Y780)^2)+((Graph!$E$27-$Z780)^2))+(Graph!$D$32^2),3/2))</f>
        <v>-1.4455105506976313</v>
      </c>
      <c r="S780">
        <f>Graph!$D$40*((Graph!$D$36-Y780)/POWER((((Graph!$D$36-$Y780)^2)+((Graph!$E$36-$Z780)^2))+(Graph!$D$41^2),3/2))</f>
        <v>-114.09011705561186</v>
      </c>
      <c r="T780">
        <f>Graph!$D$40*((Graph!$E$36-Z780)/POWER((((Graph!$D$36-$Y780)^2)+((Graph!$E$36-$Z780)^2))+(Graph!$D$41^2),3/2))</f>
        <v>-57.513979709626391</v>
      </c>
      <c r="U780">
        <f>O780+Q780+S780</f>
        <v>-432.92467980424971</v>
      </c>
      <c r="V780">
        <f>P780+R780+T780</f>
        <v>-84.341766746016773</v>
      </c>
      <c r="W780">
        <f>W779+(U779*Graph!$D$5)</f>
        <v>-1992.8912333461387</v>
      </c>
      <c r="X780">
        <f>X779+(V779*Graph!$D$5)</f>
        <v>-406.29822556004586</v>
      </c>
      <c r="Y780">
        <f>Y779+(W779*Graph!$D$5)+(U779*Graph!$D$5^2)</f>
        <v>56900.999665635572</v>
      </c>
      <c r="Z780">
        <f>Z779+(X779*Graph!$D$5)+(V779*Graph!$D$5^2)</f>
        <v>13684.36832816668</v>
      </c>
    </row>
    <row r="781" spans="14:26" x14ac:dyDescent="0.35">
      <c r="N781">
        <f>N780+1</f>
        <v>778</v>
      </c>
      <c r="O781">
        <f>Graph!$D$22*((Graph!$D$18-Y781)/POWER((((Graph!$D$18-$Y781)^2)+((Graph!$E$18-$Z781)^2))+(Graph!$D$23^2),(3/2)))</f>
        <v>-304.39920129834957</v>
      </c>
      <c r="P781" s="84">
        <f>Graph!$D$22*((Graph!$E$18-Z781)/POWER((((Graph!$D$18-$Y781)^2)+((Graph!$E$18-$Z781)^2))+(Graph!$D$23^2),3/2))</f>
        <v>-25.817570868418731</v>
      </c>
      <c r="Q781">
        <f>Graph!$D$31*((Graph!$D$27-Y781)/POWER((((Graph!$D$27-$Y781)^2)+((Graph!$E$27-$Z781)^2))+(Graph!$D$32^2),3/2))</f>
        <v>-31.063874368581001</v>
      </c>
      <c r="R781">
        <f>Graph!$D$31*((Graph!$E$27-Z781)/POWER((((Graph!$D$27-$Y781)^2)+((Graph!$E$27-$Z781)^2))+(Graph!$D$32^2),3/2))</f>
        <v>-1.4180788297115274</v>
      </c>
      <c r="S781">
        <f>Graph!$D$40*((Graph!$D$36-Y781)/POWER((((Graph!$D$36-$Y781)^2)+((Graph!$E$36-$Z781)^2))+(Graph!$D$41^2),3/2))</f>
        <v>-117.76168813601267</v>
      </c>
      <c r="T781">
        <f>Graph!$D$40*((Graph!$E$36-Z781)/POWER((((Graph!$D$36-$Y781)^2)+((Graph!$E$36-$Z781)^2))+(Graph!$D$41^2),3/2))</f>
        <v>-60.066922421305229</v>
      </c>
      <c r="U781">
        <f>O781+Q781+S781</f>
        <v>-453.22476380294324</v>
      </c>
      <c r="V781">
        <f>P781+R781+T781</f>
        <v>-87.302572119435496</v>
      </c>
      <c r="W781">
        <f>W780+(U780*Graph!$D$5)</f>
        <v>-2209.3535732482637</v>
      </c>
      <c r="X781">
        <f>X780+(V780*Graph!$D$5)</f>
        <v>-448.46910893305426</v>
      </c>
      <c r="Y781">
        <f>Y780+(W780*Graph!$D$5)+(U780*Graph!$D$5^2)</f>
        <v>55796.322879011444</v>
      </c>
      <c r="Z781">
        <f>Z780+(X780*Graph!$D$5)+(V780*Graph!$D$5^2)</f>
        <v>13460.133773700152</v>
      </c>
    </row>
    <row r="782" spans="14:26" x14ac:dyDescent="0.35">
      <c r="N782">
        <f>N781+1</f>
        <v>779</v>
      </c>
      <c r="O782">
        <f>Graph!$D$22*((Graph!$D$18-Y782)/POWER((((Graph!$D$18-$Y782)^2)+((Graph!$E$18-$Z782)^2))+(Graph!$D$23^2),(3/2)))</f>
        <v>-323.26138150337709</v>
      </c>
      <c r="P782" s="84">
        <f>Graph!$D$22*((Graph!$E$18-Z782)/POWER((((Graph!$D$18-$Y782)^2)+((Graph!$E$18-$Z782)^2))+(Graph!$D$23^2),3/2))</f>
        <v>-26.251375552500555</v>
      </c>
      <c r="Q782">
        <f>Graph!$D$31*((Graph!$D$27-Y782)/POWER((((Graph!$D$27-$Y782)^2)+((Graph!$E$27-$Z782)^2))+(Graph!$D$32^2),3/2))</f>
        <v>-32.094303514805731</v>
      </c>
      <c r="R782">
        <f>Graph!$D$31*((Graph!$E$27-Z782)/POWER((((Graph!$D$27-$Y782)^2)+((Graph!$E$27-$Z782)^2))+(Graph!$D$32^2),3/2))</f>
        <v>-1.3831556590013845</v>
      </c>
      <c r="S782">
        <f>Graph!$D$40*((Graph!$D$36-Y782)/POWER((((Graph!$D$36-$Y782)^2)+((Graph!$E$36-$Z782)^2))+(Graph!$D$41^2),3/2))</f>
        <v>-122.00365502588203</v>
      </c>
      <c r="T782">
        <f>Graph!$D$40*((Graph!$E$36-Z782)/POWER((((Graph!$D$36-$Y782)^2)+((Graph!$E$36-$Z782)^2))+(Graph!$D$41^2),3/2))</f>
        <v>-63.06934409662054</v>
      </c>
      <c r="U782">
        <f>O782+Q782+S782</f>
        <v>-477.35934004406488</v>
      </c>
      <c r="V782">
        <f>P782+R782+T782</f>
        <v>-90.703875308122477</v>
      </c>
      <c r="W782">
        <f>W781+(U781*Graph!$D$5)</f>
        <v>-2435.9659551497352</v>
      </c>
      <c r="X782">
        <f>X781+(V781*Graph!$D$5)</f>
        <v>-492.12039499277199</v>
      </c>
      <c r="Y782">
        <f>Y781+(W781*Graph!$D$5)+(U781*Graph!$D$5^2)</f>
        <v>54578.339901436571</v>
      </c>
      <c r="Z782">
        <f>Z781+(X781*Graph!$D$5)+(V781*Graph!$D$5^2)</f>
        <v>13214.073576203766</v>
      </c>
    </row>
    <row r="783" spans="14:26" x14ac:dyDescent="0.35">
      <c r="N783">
        <f>N782+1</f>
        <v>780</v>
      </c>
      <c r="O783">
        <f>Graph!$D$22*((Graph!$D$18-Y783)/POWER((((Graph!$D$18-$Y783)^2)+((Graph!$E$18-$Z783)^2))+(Graph!$D$23^2),(3/2)))</f>
        <v>-346.02598997388213</v>
      </c>
      <c r="P783" s="84">
        <f>Graph!$D$22*((Graph!$E$18-Z783)/POWER((((Graph!$D$18-$Y783)^2)+((Graph!$E$18-$Z783)^2))+(Graph!$D$23^2),3/2))</f>
        <v>-26.651050904137652</v>
      </c>
      <c r="Q783">
        <f>Graph!$D$31*((Graph!$D$27-Y783)/POWER((((Graph!$D$27-$Y783)^2)+((Graph!$E$27-$Z783)^2))+(Graph!$D$32^2),3/2))</f>
        <v>-33.284940831163595</v>
      </c>
      <c r="R783">
        <f>Graph!$D$31*((Graph!$E$27-Z783)/POWER((((Graph!$D$27-$Y783)^2)+((Graph!$E$27-$Z783)^2))+(Graph!$D$32^2),3/2))</f>
        <v>-1.3385311306743679</v>
      </c>
      <c r="S783">
        <f>Graph!$D$40*((Graph!$D$36-Y783)/POWER((((Graph!$D$36-$Y783)^2)+((Graph!$E$36-$Z783)^2))+(Graph!$D$41^2),3/2))</f>
        <v>-126.90971305556866</v>
      </c>
      <c r="T783">
        <f>Graph!$D$40*((Graph!$E$36-Z783)/POWER((((Graph!$D$36-$Y783)^2)+((Graph!$E$36-$Z783)^2))+(Graph!$D$41^2),3/2))</f>
        <v>-66.612828714567328</v>
      </c>
      <c r="U783">
        <f>O783+Q783+S783</f>
        <v>-506.22064386061436</v>
      </c>
      <c r="V783">
        <f>P783+R783+T783</f>
        <v>-94.602410749379345</v>
      </c>
      <c r="W783">
        <f>W782+(U782*Graph!$D$5)</f>
        <v>-2674.6456251717677</v>
      </c>
      <c r="X783">
        <f>X782+(V782*Graph!$D$5)</f>
        <v>-537.47233264683325</v>
      </c>
      <c r="Y783">
        <f>Y782+(W782*Graph!$D$5)+(U782*Graph!$D$5^2)</f>
        <v>53241.017088850691</v>
      </c>
      <c r="Z783">
        <f>Z782+(X782*Graph!$D$5)+(V782*Graph!$D$5^2)</f>
        <v>12945.337409880349</v>
      </c>
    </row>
    <row r="784" spans="14:26" x14ac:dyDescent="0.35">
      <c r="N784">
        <f>N783+1</f>
        <v>781</v>
      </c>
      <c r="O784">
        <f>Graph!$D$22*((Graph!$D$18-Y784)/POWER((((Graph!$D$18-$Y784)^2)+((Graph!$E$18-$Z784)^2))+(Graph!$D$23^2),(3/2)))</f>
        <v>-373.75921143873745</v>
      </c>
      <c r="P784" s="84">
        <f>Graph!$D$22*((Graph!$E$18-Z784)/POWER((((Graph!$D$18-$Y784)^2)+((Graph!$E$18-$Z784)^2))+(Graph!$D$23^2),3/2))</f>
        <v>-26.961442987956861</v>
      </c>
      <c r="Q784">
        <f>Graph!$D$31*((Graph!$D$27-Y784)/POWER((((Graph!$D$27-$Y784)^2)+((Graph!$E$27-$Z784)^2))+(Graph!$D$32^2),3/2))</f>
        <v>-34.664593280652895</v>
      </c>
      <c r="R784">
        <f>Graph!$D$31*((Graph!$E$27-Z784)/POWER((((Graph!$D$27-$Y784)^2)+((Graph!$E$27-$Z784)^2))+(Graph!$D$32^2),3/2))</f>
        <v>-1.2812360048464124</v>
      </c>
      <c r="S784">
        <f>Graph!$D$40*((Graph!$D$36-Y784)/POWER((((Graph!$D$36-$Y784)^2)+((Graph!$E$36-$Z784)^2))+(Graph!$D$41^2),3/2))</f>
        <v>-132.59823627427917</v>
      </c>
      <c r="T784">
        <f>Graph!$D$40*((Graph!$E$36-Z784)/POWER((((Graph!$D$36-$Y784)^2)+((Graph!$E$36-$Z784)^2))+(Graph!$D$41^2),3/2))</f>
        <v>-70.817595282616153</v>
      </c>
      <c r="U784">
        <f>O784+Q784+S784</f>
        <v>-541.02204099366952</v>
      </c>
      <c r="V784">
        <f>P784+R784+T784</f>
        <v>-99.060274275419431</v>
      </c>
      <c r="W784">
        <f>W783+(U783*Graph!$D$5)</f>
        <v>-2927.755947102075</v>
      </c>
      <c r="X784">
        <f>X783+(V783*Graph!$D$5)</f>
        <v>-584.77353802152288</v>
      </c>
      <c r="Y784">
        <f>Y783+(W783*Graph!$D$5)+(U783*Graph!$D$5^2)</f>
        <v>51777.139115299658</v>
      </c>
      <c r="Z784">
        <f>Z783+(X783*Graph!$D$5)+(V783*Graph!$D$5^2)</f>
        <v>12652.950640869587</v>
      </c>
    </row>
    <row r="785" spans="14:26" x14ac:dyDescent="0.35">
      <c r="N785">
        <f>N784+1</f>
        <v>782</v>
      </c>
      <c r="O785">
        <f>Graph!$D$22*((Graph!$D$18-Y785)/POWER((((Graph!$D$18-$Y785)^2)+((Graph!$E$18-$Z785)^2))+(Graph!$D$23^2),(3/2)))</f>
        <v>-407.96006591214729</v>
      </c>
      <c r="P785" s="84">
        <f>Graph!$D$22*((Graph!$E$18-Z785)/POWER((((Graph!$D$18-$Y785)^2)+((Graph!$E$18-$Z785)^2))+(Graph!$D$23^2),3/2))</f>
        <v>-27.088307499001701</v>
      </c>
      <c r="Q785">
        <f>Graph!$D$31*((Graph!$D$27-Y785)/POWER((((Graph!$D$27-$Y785)^2)+((Graph!$E$27-$Z785)^2))+(Graph!$D$32^2),3/2))</f>
        <v>-36.270443492037401</v>
      </c>
      <c r="R785">
        <f>Graph!$D$31*((Graph!$E$27-Z785)/POWER((((Graph!$D$27-$Y785)^2)+((Graph!$E$27-$Z785)^2))+(Graph!$D$32^2),3/2))</f>
        <v>-1.2072223731799769</v>
      </c>
      <c r="S785">
        <f>Graph!$D$40*((Graph!$D$36-Y785)/POWER((((Graph!$D$36-$Y785)^2)+((Graph!$E$36-$Z785)^2))+(Graph!$D$41^2),3/2))</f>
        <v>-139.22034260683503</v>
      </c>
      <c r="T785">
        <f>Graph!$D$40*((Graph!$E$36-Z785)/POWER((((Graph!$D$36-$Y785)^2)+((Graph!$E$36-$Z785)^2))+(Graph!$D$41^2),3/2))</f>
        <v>-75.84397241241571</v>
      </c>
      <c r="U785">
        <f>O785+Q785+S785</f>
        <v>-583.45085201101972</v>
      </c>
      <c r="V785">
        <f>P785+R785+T785</f>
        <v>-104.13950228459738</v>
      </c>
      <c r="W785">
        <f>W784+(U784*Graph!$D$5)</f>
        <v>-3198.2669675989096</v>
      </c>
      <c r="X785">
        <f>X784+(V784*Graph!$D$5)</f>
        <v>-634.30367515923263</v>
      </c>
      <c r="Y785">
        <f>Y784+(W784*Graph!$D$5)+(U784*Graph!$D$5^2)</f>
        <v>50178.0056315002</v>
      </c>
      <c r="Z785">
        <f>Z784+(X784*Graph!$D$5)+(V784*Graph!$D$5^2)</f>
        <v>12335.79880328997</v>
      </c>
    </row>
    <row r="786" spans="14:26" x14ac:dyDescent="0.35">
      <c r="N786">
        <f>N785+1</f>
        <v>783</v>
      </c>
      <c r="O786">
        <f>Graph!$D$22*((Graph!$D$18-Y786)/POWER((((Graph!$D$18-$Y786)^2)+((Graph!$E$18-$Z786)^2))+(Graph!$D$23^2),(3/2)))</f>
        <v>-450.79445908582687</v>
      </c>
      <c r="P786" s="84">
        <f>Graph!$D$22*((Graph!$E$18-Z786)/POWER((((Graph!$D$18-$Y786)^2)+((Graph!$E$18-$Z786)^2))+(Graph!$D$23^2),3/2))</f>
        <v>-26.867413509294686</v>
      </c>
      <c r="Q786">
        <f>Graph!$D$31*((Graph!$D$27-Y786)/POWER((((Graph!$D$27-$Y786)^2)+((Graph!$E$27-$Z786)^2))+(Graph!$D$32^2),3/2))</f>
        <v>-38.151270181919656</v>
      </c>
      <c r="R786">
        <f>Graph!$D$31*((Graph!$E$27-Z786)/POWER((((Graph!$D$27-$Y786)^2)+((Graph!$E$27-$Z786)^2))+(Graph!$D$32^2),3/2))</f>
        <v>-1.1108773798878882</v>
      </c>
      <c r="S786">
        <f>Graph!$D$40*((Graph!$D$36-Y786)/POWER((((Graph!$D$36-$Y786)^2)+((Graph!$E$36-$Z786)^2))+(Graph!$D$41^2),3/2))</f>
        <v>-146.97130998428298</v>
      </c>
      <c r="T786">
        <f>Graph!$D$40*((Graph!$E$36-Z786)/POWER((((Graph!$D$36-$Y786)^2)+((Graph!$E$36-$Z786)^2))+(Graph!$D$41^2),3/2))</f>
        <v>-81.909829785287855</v>
      </c>
      <c r="U786">
        <f>O786+Q786+S786</f>
        <v>-635.91703925202955</v>
      </c>
      <c r="V786">
        <f>P786+R786+T786</f>
        <v>-109.88812067447043</v>
      </c>
      <c r="W786">
        <f>W785+(U785*Graph!$D$5)</f>
        <v>-3489.9923936044192</v>
      </c>
      <c r="X786">
        <f>X785+(V785*Graph!$D$5)</f>
        <v>-686.37342630153137</v>
      </c>
      <c r="Y786">
        <f>Y785+(W785*Graph!$D$5)+(U785*Graph!$D$5^2)</f>
        <v>48433.009434697989</v>
      </c>
      <c r="Z786">
        <f>Z785+(X785*Graph!$D$5)+(V785*Graph!$D$5^2)</f>
        <v>11992.612090139204</v>
      </c>
    </row>
    <row r="787" spans="14:26" x14ac:dyDescent="0.35">
      <c r="N787">
        <f>N786+1</f>
        <v>784</v>
      </c>
      <c r="O787">
        <f>Graph!$D$22*((Graph!$D$18-Y787)/POWER((((Graph!$D$18-$Y787)^2)+((Graph!$E$18-$Z787)^2))+(Graph!$D$23^2),(3/2)))</f>
        <v>-505.49558182082495</v>
      </c>
      <c r="P787" s="84">
        <f>Graph!$D$22*((Graph!$E$18-Z787)/POWER((((Graph!$D$18-$Y787)^2)+((Graph!$E$18-$Z787)^2))+(Graph!$D$23^2),3/2))</f>
        <v>-26.004293417516742</v>
      </c>
      <c r="Q787">
        <f>Graph!$D$31*((Graph!$D$27-Y787)/POWER((((Graph!$D$27-$Y787)^2)+((Graph!$E$27-$Z787)^2))+(Graph!$D$32^2),3/2))</f>
        <v>-40.372329854748294</v>
      </c>
      <c r="R787">
        <f>Graph!$D$31*((Graph!$E$27-Z787)/POWER((((Graph!$D$27-$Y787)^2)+((Graph!$E$27-$Z787)^2))+(Graph!$D$32^2),3/2))</f>
        <v>-0.98426253338347081</v>
      </c>
      <c r="S787">
        <f>Graph!$D$40*((Graph!$D$36-Y787)/POWER((((Graph!$D$36-$Y787)^2)+((Graph!$E$36-$Z787)^2))+(Graph!$D$41^2),3/2))</f>
        <v>-156.10700131930665</v>
      </c>
      <c r="T787">
        <f>Graph!$D$40*((Graph!$E$36-Z787)/POWER((((Graph!$D$36-$Y787)^2)+((Graph!$E$36-$Z787)^2))+(Graph!$D$41^2),3/2))</f>
        <v>-89.317850617576156</v>
      </c>
      <c r="U787">
        <f>O787+Q787+S787</f>
        <v>-701.9749129948799</v>
      </c>
      <c r="V787">
        <f>P787+R787+T787</f>
        <v>-116.30640656847638</v>
      </c>
      <c r="W787">
        <f>W786+(U786*Graph!$D$5)</f>
        <v>-3807.9509132304338</v>
      </c>
      <c r="X787">
        <f>X786+(V786*Graph!$D$5)</f>
        <v>-741.31748663876658</v>
      </c>
      <c r="Y787">
        <f>Y786+(W786*Graph!$D$5)+(U786*Graph!$D$5^2)</f>
        <v>46529.033978082771</v>
      </c>
      <c r="Z787">
        <f>Z786+(X786*Graph!$D$5)+(V786*Graph!$D$5^2)</f>
        <v>11621.953346819821</v>
      </c>
    </row>
    <row r="788" spans="14:26" x14ac:dyDescent="0.35">
      <c r="N788">
        <f>N787+1</f>
        <v>785</v>
      </c>
      <c r="O788">
        <f>Graph!$D$22*((Graph!$D$18-Y788)/POWER((((Graph!$D$18-$Y788)^2)+((Graph!$E$18-$Z788)^2))+(Graph!$D$23^2),(3/2)))</f>
        <v>-577.08308608487744</v>
      </c>
      <c r="P788" s="84">
        <f>Graph!$D$22*((Graph!$E$18-Z788)/POWER((((Graph!$D$18-$Y788)^2)+((Graph!$E$18-$Z788)^2))+(Graph!$D$23^2),3/2))</f>
        <v>-23.950144639940518</v>
      </c>
      <c r="Q788">
        <f>Graph!$D$31*((Graph!$D$27-Y788)/POWER((((Graph!$D$27-$Y788)^2)+((Graph!$E$27-$Z788)^2))+(Graph!$D$32^2),3/2))</f>
        <v>-43.023015559533775</v>
      </c>
      <c r="R788">
        <f>Graph!$D$31*((Graph!$E$27-Z788)/POWER((((Graph!$D$27-$Y788)^2)+((Graph!$E$27-$Z788)^2))+(Graph!$D$32^2),3/2))</f>
        <v>-0.81588610070219414</v>
      </c>
      <c r="S788">
        <f>Graph!$D$40*((Graph!$D$36-Y788)/POWER((((Graph!$D$36-$Y788)^2)+((Graph!$E$36-$Z788)^2))+(Graph!$D$41^2),3/2))</f>
        <v>-166.9678795405629</v>
      </c>
      <c r="T788">
        <f>Graph!$D$40*((Graph!$E$36-Z788)/POWER((((Graph!$D$36-$Y788)^2)+((Graph!$E$36-$Z788)^2))+(Graph!$D$41^2),3/2))</f>
        <v>-98.499685137268258</v>
      </c>
      <c r="U788">
        <f>O788+Q788+S788</f>
        <v>-787.07398118497406</v>
      </c>
      <c r="V788">
        <f>P788+R788+T788</f>
        <v>-123.26571587791096</v>
      </c>
      <c r="W788">
        <f>W787+(U787*Graph!$D$5)</f>
        <v>-4158.9383697278736</v>
      </c>
      <c r="X788">
        <f>X787+(V787*Graph!$D$5)</f>
        <v>-799.47068992300478</v>
      </c>
      <c r="Y788">
        <f>Y787+(W787*Graph!$D$5)+(U787*Graph!$D$5^2)</f>
        <v>44449.564793218829</v>
      </c>
      <c r="Z788">
        <f>Z787+(X787*Graph!$D$5)+(V787*Graph!$D$5^2)</f>
        <v>11222.218001858319</v>
      </c>
    </row>
    <row r="789" spans="14:26" x14ac:dyDescent="0.35">
      <c r="N789">
        <f>N788+1</f>
        <v>786</v>
      </c>
      <c r="O789">
        <f>Graph!$D$22*((Graph!$D$18-Y789)/POWER((((Graph!$D$18-$Y789)^2)+((Graph!$E$18-$Z789)^2))+(Graph!$D$23^2),(3/2)))</f>
        <v>-673.73232053020809</v>
      </c>
      <c r="P789" s="84">
        <f>Graph!$D$22*((Graph!$E$18-Z789)/POWER((((Graph!$D$18-$Y789)^2)+((Graph!$E$18-$Z789)^2))+(Graph!$D$23^2),3/2))</f>
        <v>-19.628480627628445</v>
      </c>
      <c r="Q789">
        <f>Graph!$D$31*((Graph!$D$27-Y789)/POWER((((Graph!$D$27-$Y789)^2)+((Graph!$E$27-$Z789)^2))+(Graph!$D$32^2),3/2))</f>
        <v>-46.22937953784885</v>
      </c>
      <c r="R789">
        <f>Graph!$D$31*((Graph!$E$27-Z789)/POWER((((Graph!$D$27-$Y789)^2)+((Graph!$E$27-$Z789)^2))+(Graph!$D$32^2),3/2))</f>
        <v>-0.58864854460174354</v>
      </c>
      <c r="S789">
        <f>Graph!$D$40*((Graph!$D$36-Y789)/POWER((((Graph!$D$36-$Y789)^2)+((Graph!$E$36-$Z789)^2))+(Graph!$D$41^2),3/2))</f>
        <v>-180.01460343182836</v>
      </c>
      <c r="T789">
        <f>Graph!$D$40*((Graph!$E$36-Z789)/POWER((((Graph!$D$36-$Y789)^2)+((Graph!$E$36-$Z789)^2))+(Graph!$D$41^2),3/2))</f>
        <v>-110.09035534283916</v>
      </c>
      <c r="U789">
        <f>O789+Q789+S789</f>
        <v>-899.97630349988538</v>
      </c>
      <c r="V789">
        <f>P789+R789+T789</f>
        <v>-130.30748451506935</v>
      </c>
      <c r="W789">
        <f>W788+(U788*Graph!$D$5)</f>
        <v>-4552.4753603203608</v>
      </c>
      <c r="X789">
        <f>X788+(V788*Graph!$D$5)</f>
        <v>-861.10354786196024</v>
      </c>
      <c r="Y789">
        <f>Y788+(W788*Graph!$D$5)+(U788*Graph!$D$5^2)</f>
        <v>42173.327113058651</v>
      </c>
      <c r="Z789">
        <f>Z788+(X788*Graph!$D$5)+(V788*Graph!$D$5^2)</f>
        <v>10791.666227927339</v>
      </c>
    </row>
    <row r="790" spans="14:26" x14ac:dyDescent="0.35">
      <c r="N790">
        <f>N789+1</f>
        <v>787</v>
      </c>
      <c r="O790">
        <f>Graph!$D$22*((Graph!$D$18-Y790)/POWER((((Graph!$D$18-$Y790)^2)+((Graph!$E$18-$Z790)^2))+(Graph!$D$23^2),(3/2)))</f>
        <v>-809.57206870782261</v>
      </c>
      <c r="P790" s="84">
        <f>Graph!$D$22*((Graph!$E$18-Z790)/POWER((((Graph!$D$18-$Y790)^2)+((Graph!$E$18-$Z790)^2))+(Graph!$D$23^2),3/2))</f>
        <v>-10.780391643333514</v>
      </c>
      <c r="Q790">
        <f>Graph!$D$31*((Graph!$D$27-Y790)/POWER((((Graph!$D$27-$Y790)^2)+((Graph!$E$27-$Z790)^2))+(Graph!$D$32^2),3/2))</f>
        <v>-50.175671426196622</v>
      </c>
      <c r="R790">
        <f>Graph!$D$31*((Graph!$E$27-Z790)/POWER((((Graph!$D$27-$Y790)^2)+((Graph!$E$27-$Z790)^2))+(Graph!$D$32^2),3/2))</f>
        <v>-0.27625297403237331</v>
      </c>
      <c r="S790">
        <f>Graph!$D$40*((Graph!$D$36-Y790)/POWER((((Graph!$D$36-$Y790)^2)+((Graph!$E$36-$Z790)^2))+(Graph!$D$41^2),3/2))</f>
        <v>-195.88109253230147</v>
      </c>
      <c r="T790">
        <f>Graph!$D$40*((Graph!$E$36-Z790)/POWER((((Graph!$D$36-$Y790)^2)+((Graph!$E$36-$Z790)^2))+(Graph!$D$41^2),3/2))</f>
        <v>-125.05973201889888</v>
      </c>
      <c r="U790">
        <f>O790+Q790+S790</f>
        <v>-1055.6288326663207</v>
      </c>
      <c r="V790">
        <f>P790+R790+T790</f>
        <v>-136.11637663626476</v>
      </c>
      <c r="W790">
        <f>W789+(U789*Graph!$D$5)</f>
        <v>-5002.4635120703033</v>
      </c>
      <c r="X790">
        <f>X789+(V789*Graph!$D$5)</f>
        <v>-926.25729011949488</v>
      </c>
      <c r="Y790">
        <f>Y789+(W789*Graph!$D$5)+(U789*Graph!$D$5^2)</f>
        <v>39672.0953570235</v>
      </c>
      <c r="Z790">
        <f>Z789+(X789*Graph!$D$5)+(V789*Graph!$D$5^2)</f>
        <v>10328.537582867591</v>
      </c>
    </row>
    <row r="791" spans="14:26" x14ac:dyDescent="0.35">
      <c r="N791">
        <f>N790+1</f>
        <v>788</v>
      </c>
      <c r="O791">
        <f>Graph!$D$22*((Graph!$D$18-Y791)/POWER((((Graph!$D$18-$Y791)^2)+((Graph!$E$18-$Z791)^2))+(Graph!$D$23^2),(3/2)))</f>
        <v>-1010.9202853832103</v>
      </c>
      <c r="P791" s="84">
        <f>Graph!$D$22*((Graph!$E$18-Z791)/POWER((((Graph!$D$18-$Y791)^2)+((Graph!$E$18-$Z791)^2))+(Graph!$D$23^2),3/2))</f>
        <v>7.7811601722909387</v>
      </c>
      <c r="Q791">
        <f>Graph!$D$31*((Graph!$D$27-Y791)/POWER((((Graph!$D$27-$Y791)^2)+((Graph!$E$27-$Z791)^2))+(Graph!$D$32^2),3/2))</f>
        <v>-55.143807340886958</v>
      </c>
      <c r="R791">
        <f>Graph!$D$31*((Graph!$E$27-Z791)/POWER((((Graph!$D$27-$Y791)^2)+((Graph!$E$27-$Z791)^2))+(Graph!$D$32^2),3/2))</f>
        <v>0.16339579561128889</v>
      </c>
      <c r="S791">
        <f>Graph!$D$40*((Graph!$D$36-Y791)/POWER((((Graph!$D$36-$Y791)^2)+((Graph!$E$36-$Z791)^2))+(Graph!$D$41^2),3/2))</f>
        <v>-215.45224628416219</v>
      </c>
      <c r="T791">
        <f>Graph!$D$40*((Graph!$E$36-Z791)/POWER((((Graph!$D$36-$Y791)^2)+((Graph!$E$36-$Z791)^2))+(Graph!$D$41^2),3/2))</f>
        <v>-144.95848719429878</v>
      </c>
      <c r="U791">
        <f>O791+Q791+S791</f>
        <v>-1281.5163390082594</v>
      </c>
      <c r="V791">
        <f>P791+R791+T791</f>
        <v>-137.01393122639655</v>
      </c>
      <c r="W791">
        <f>W790+(U790*Graph!$D$5)</f>
        <v>-5530.2779284034641</v>
      </c>
      <c r="X791">
        <f>X790+(V790*Graph!$D$5)</f>
        <v>-994.31547843762723</v>
      </c>
      <c r="Y791">
        <f>Y790+(W790*Graph!$D$5)+(U790*Graph!$D$5^2)</f>
        <v>36906.956392821769</v>
      </c>
      <c r="Z791">
        <f>Z790+(X790*Graph!$D$5)+(V790*Graph!$D$5^2)</f>
        <v>9831.3798436487778</v>
      </c>
    </row>
    <row r="792" spans="14:26" x14ac:dyDescent="0.35">
      <c r="N792">
        <f>N791+1</f>
        <v>789</v>
      </c>
      <c r="O792">
        <f>Graph!$D$22*((Graph!$D$18-Y792)/POWER((((Graph!$D$18-$Y792)^2)+((Graph!$E$18-$Z792)^2))+(Graph!$D$23^2),(3/2)))</f>
        <v>-1331.7655321124441</v>
      </c>
      <c r="P792" s="84">
        <f>Graph!$D$22*((Graph!$E$18-Z792)/POWER((((Graph!$D$18-$Y792)^2)+((Graph!$E$18-$Z792)^2))+(Graph!$D$23^2),3/2))</f>
        <v>49.532753240556907</v>
      </c>
      <c r="Q792">
        <f>Graph!$D$31*((Graph!$D$27-Y792)/POWER((((Graph!$D$27-$Y792)^2)+((Graph!$E$27-$Z792)^2))+(Graph!$D$32^2),3/2))</f>
        <v>-61.591864375348152</v>
      </c>
      <c r="R792">
        <f>Graph!$D$31*((Graph!$E$27-Z792)/POWER((((Graph!$D$27-$Y792)^2)+((Graph!$E$27-$Z792)^2))+(Graph!$D$32^2),3/2))</f>
        <v>0.80109783465818762</v>
      </c>
      <c r="S792">
        <f>Graph!$D$40*((Graph!$D$36-Y792)/POWER((((Graph!$D$36-$Y792)^2)+((Graph!$E$36-$Z792)^2))+(Graph!$D$41^2),3/2))</f>
        <v>-239.96720777417107</v>
      </c>
      <c r="T792">
        <f>Graph!$D$40*((Graph!$E$36-Z792)/POWER((((Graph!$D$36-$Y792)^2)+((Graph!$E$36-$Z792)^2))+(Graph!$D$41^2),3/2))</f>
        <v>-172.41122508878047</v>
      </c>
      <c r="U792">
        <f>O792+Q792+S792</f>
        <v>-1633.3246042619635</v>
      </c>
      <c r="V792">
        <f>P792+R792+T792</f>
        <v>-122.07737401356538</v>
      </c>
      <c r="W792">
        <f>W791+(U791*Graph!$D$5)</f>
        <v>-6171.036097907594</v>
      </c>
      <c r="X792">
        <f>X791+(V791*Graph!$D$5)</f>
        <v>-1062.8224440508254</v>
      </c>
      <c r="Y792">
        <f>Y791+(W791*Graph!$D$5)+(U791*Graph!$D$5^2)</f>
        <v>33821.438343867972</v>
      </c>
      <c r="Z792">
        <f>Z791+(X791*Graph!$D$5)+(V791*Graph!$D$5^2)</f>
        <v>9299.968621623364</v>
      </c>
    </row>
    <row r="793" spans="14:26" x14ac:dyDescent="0.35">
      <c r="N793">
        <f>N792+1</f>
        <v>790</v>
      </c>
      <c r="O793">
        <f>Graph!$D$22*((Graph!$D$18-Y793)/POWER((((Graph!$D$18-$Y793)^2)+((Graph!$E$18-$Z793)^2))+(Graph!$D$23^2),(3/2)))</f>
        <v>-1897.5635852363798</v>
      </c>
      <c r="P793" s="84">
        <f>Graph!$D$22*((Graph!$E$18-Z793)/POWER((((Graph!$D$18-$Y793)^2)+((Graph!$E$18-$Z793)^2))+(Graph!$D$23^2),3/2))</f>
        <v>156.23155137023647</v>
      </c>
      <c r="Q793">
        <f>Graph!$D$31*((Graph!$D$27-Y793)/POWER((((Graph!$D$27-$Y793)^2)+((Graph!$E$27-$Z793)^2))+(Graph!$D$32^2),3/2))</f>
        <v>-70.328271161123155</v>
      </c>
      <c r="R793">
        <f>Graph!$D$31*((Graph!$E$27-Z793)/POWER((((Graph!$D$27-$Y793)^2)+((Graph!$E$27-$Z793)^2))+(Graph!$D$32^2),3/2))</f>
        <v>1.7634781100347519</v>
      </c>
      <c r="S793">
        <f>Graph!$D$40*((Graph!$D$36-Y793)/POWER((((Graph!$D$36-$Y793)^2)+((Graph!$E$36-$Z793)^2))+(Graph!$D$41^2),3/2))</f>
        <v>-271.09620409275908</v>
      </c>
      <c r="T793">
        <f>Graph!$D$40*((Graph!$E$36-Z793)/POWER((((Graph!$D$36-$Y793)^2)+((Graph!$E$36-$Z793)^2))+(Graph!$D$41^2),3/2))</f>
        <v>-212.19266652199281</v>
      </c>
      <c r="U793">
        <f>O793+Q793+S793</f>
        <v>-2238.9880604902619</v>
      </c>
      <c r="V793">
        <f>P793+R793+T793</f>
        <v>-54.197637041721578</v>
      </c>
      <c r="W793">
        <f>W792+(U792*Graph!$D$5)</f>
        <v>-6987.6984000385755</v>
      </c>
      <c r="X793">
        <f>X792+(V792*Graph!$D$5)</f>
        <v>-1123.8611310576082</v>
      </c>
      <c r="Y793">
        <f>Y792+(W792*Graph!$D$5)+(U792*Graph!$D$5^2)</f>
        <v>30327.589143848687</v>
      </c>
      <c r="Z793">
        <f>Z792+(X792*Graph!$D$5)+(V792*Graph!$D$5^2)</f>
        <v>8738.0380560945614</v>
      </c>
    </row>
    <row r="794" spans="14:26" x14ac:dyDescent="0.35">
      <c r="N794">
        <f>N793+1</f>
        <v>791</v>
      </c>
      <c r="O794">
        <f>Graph!$D$22*((Graph!$D$18-Y794)/POWER((((Graph!$D$18-$Y794)^2)+((Graph!$E$18-$Z794)^2))+(Graph!$D$23^2),(3/2)))</f>
        <v>-3044.8669071924328</v>
      </c>
      <c r="P794" s="84">
        <f>Graph!$D$22*((Graph!$E$18-Z794)/POWER((((Graph!$D$18-$Y794)^2)+((Graph!$E$18-$Z794)^2))+(Graph!$D$23^2),3/2))</f>
        <v>496.25417786769174</v>
      </c>
      <c r="Q794">
        <f>Graph!$D$31*((Graph!$D$27-Y794)/POWER((((Graph!$D$27-$Y794)^2)+((Graph!$E$27-$Z794)^2))+(Graph!$D$32^2),3/2))</f>
        <v>-82.962551605934777</v>
      </c>
      <c r="R794">
        <f>Graph!$D$31*((Graph!$E$27-Z794)/POWER((((Graph!$D$27-$Y794)^2)+((Graph!$E$27-$Z794)^2))+(Graph!$D$32^2),3/2))</f>
        <v>3.2942666140238499</v>
      </c>
      <c r="S794">
        <f>Graph!$D$40*((Graph!$D$36-Y794)/POWER((((Graph!$D$36-$Y794)^2)+((Graph!$E$36-$Z794)^2))+(Graph!$D$41^2),3/2))</f>
        <v>-310.604921524134</v>
      </c>
      <c r="T794">
        <f>Graph!$D$40*((Graph!$E$36-Z794)/POWER((((Graph!$D$36-$Y794)^2)+((Graph!$E$36-$Z794)^2))+(Graph!$D$41^2),3/2))</f>
        <v>-273.82227568773783</v>
      </c>
      <c r="U794">
        <f>O794+Q794+S794</f>
        <v>-3438.4343803225015</v>
      </c>
      <c r="V794">
        <f>P794+R794+T794</f>
        <v>225.72616879397776</v>
      </c>
      <c r="W794">
        <f>W793+(U793*Graph!$D$5)</f>
        <v>-8107.1924302837069</v>
      </c>
      <c r="X794">
        <f>X793+(V793*Graph!$D$5)</f>
        <v>-1150.9599495784689</v>
      </c>
      <c r="Y794">
        <f>Y793+(W793*Graph!$D$5)+(U793*Graph!$D$5^2)</f>
        <v>26273.992928706833</v>
      </c>
      <c r="Z794">
        <f>Z793+(X793*Graph!$D$5)+(V793*Graph!$D$5^2)</f>
        <v>8162.5580813053266</v>
      </c>
    </row>
    <row r="795" spans="14:26" x14ac:dyDescent="0.35">
      <c r="N795">
        <f>N794+1</f>
        <v>792</v>
      </c>
      <c r="O795">
        <f>Graph!$D$22*((Graph!$D$18-Y795)/POWER((((Graph!$D$18-$Y795)^2)+((Graph!$E$18-$Z795)^2))+(Graph!$D$23^2),(3/2)))</f>
        <v>-5565.5202571697464</v>
      </c>
      <c r="P795" s="84">
        <f>Graph!$D$22*((Graph!$E$18-Z795)/POWER((((Graph!$D$18-$Y795)^2)+((Graph!$E$18-$Z795)^2))+(Graph!$D$23^2),3/2))</f>
        <v>2061.8663193310517</v>
      </c>
      <c r="Q795">
        <f>Graph!$D$31*((Graph!$D$27-Y795)/POWER((((Graph!$D$27-$Y795)^2)+((Graph!$E$27-$Z795)^2))+(Graph!$D$32^2),3/2))</f>
        <v>-103.36434294402996</v>
      </c>
      <c r="R795">
        <f>Graph!$D$31*((Graph!$E$27-Z795)/POWER((((Graph!$D$27-$Y795)^2)+((Graph!$E$27-$Z795)^2))+(Graph!$D$32^2),3/2))</f>
        <v>5.8890820967143807</v>
      </c>
      <c r="S795">
        <f>Graph!$D$40*((Graph!$D$36-Y795)/POWER((((Graph!$D$36-$Y795)^2)+((Graph!$E$36-$Z795)^2))+(Graph!$D$41^2),3/2))</f>
        <v>-356.8852390454054</v>
      </c>
      <c r="T795">
        <f>Graph!$D$40*((Graph!$E$36-Z795)/POWER((((Graph!$D$36-$Y795)^2)+((Graph!$E$36-$Z795)^2))+(Graph!$D$41^2),3/2))</f>
        <v>-378.31630129861713</v>
      </c>
      <c r="U795">
        <f>O795+Q795+S795</f>
        <v>-6025.7698391591821</v>
      </c>
      <c r="V795">
        <f>P795+R795+T795</f>
        <v>1689.439100129149</v>
      </c>
      <c r="W795">
        <f>W794+(U794*Graph!$D$5)</f>
        <v>-9826.4096204449579</v>
      </c>
      <c r="X795">
        <f>X794+(V794*Graph!$D$5)</f>
        <v>-1038.0968651814801</v>
      </c>
      <c r="Y795">
        <f>Y794+(W794*Graph!$D$5)+(U794*Graph!$D$5^2)</f>
        <v>21360.788118484354</v>
      </c>
      <c r="Z795">
        <f>Z794+(X794*Graph!$D$5)+(V794*Graph!$D$5^2)</f>
        <v>7643.5096487145865</v>
      </c>
    </row>
    <row r="796" spans="14:26" x14ac:dyDescent="0.35">
      <c r="N796">
        <f>N795+1</f>
        <v>793</v>
      </c>
      <c r="O796">
        <f>Graph!$D$22*((Graph!$D$18-Y796)/POWER((((Graph!$D$18-$Y796)^2)+((Graph!$E$18-$Z796)^2))+(Graph!$D$23^2),(3/2)))</f>
        <v>178.36816502991471</v>
      </c>
      <c r="P796" s="84">
        <f>Graph!$D$22*((Graph!$E$18-Z796)/POWER((((Graph!$D$18-$Y796)^2)+((Graph!$E$18-$Z796)^2))+(Graph!$D$23^2),3/2))</f>
        <v>7434.1716952852576</v>
      </c>
      <c r="Q796">
        <f>Graph!$D$31*((Graph!$D$27-Y796)/POWER((((Graph!$D$27-$Y796)^2)+((Graph!$E$27-$Z796)^2))+(Graph!$D$32^2),3/2))</f>
        <v>-143.86106119543959</v>
      </c>
      <c r="R796">
        <f>Graph!$D$31*((Graph!$E$27-Z796)/POWER((((Graph!$D$27-$Y796)^2)+((Graph!$E$27-$Z796)^2))+(Graph!$D$32^2),3/2))</f>
        <v>10.100326633441561</v>
      </c>
      <c r="S796">
        <f>Graph!$D$40*((Graph!$D$36-Y796)/POWER((((Graph!$D$36-$Y796)^2)+((Graph!$E$36-$Z796)^2))+(Graph!$D$41^2),3/2))</f>
        <v>-375.91149739555777</v>
      </c>
      <c r="T796">
        <f>Graph!$D$40*((Graph!$E$36-Z796)/POWER((((Graph!$D$36-$Y796)^2)+((Graph!$E$36-$Z796)^2))+(Graph!$D$41^2),3/2))</f>
        <v>-567.26653782678432</v>
      </c>
      <c r="U796">
        <f>O796+Q796+S796</f>
        <v>-341.40439356108266</v>
      </c>
      <c r="V796">
        <f>P796+R796+T796</f>
        <v>6877.0054840919147</v>
      </c>
      <c r="W796">
        <f>W795+(U795*Graph!$D$5)</f>
        <v>-12839.294540024548</v>
      </c>
      <c r="X796">
        <f>X795+(V795*Graph!$D$5)</f>
        <v>-193.37731511690561</v>
      </c>
      <c r="Y796">
        <f>Y795+(W795*Graph!$D$5)+(U795*Graph!$D$5^2)</f>
        <v>14941.140848472078</v>
      </c>
      <c r="Z796">
        <f>Z795+(X795*Graph!$D$5)+(V795*Graph!$D$5^2)</f>
        <v>7546.8209911561335</v>
      </c>
    </row>
    <row r="797" spans="14:26" x14ac:dyDescent="0.35">
      <c r="N797">
        <f>N796+1</f>
        <v>794</v>
      </c>
      <c r="O797">
        <f>Graph!$D$22*((Graph!$D$18-Y797)/POWER((((Graph!$D$18-$Y797)^2)+((Graph!$E$18-$Z797)^2))+(Graph!$D$23^2),(3/2)))</f>
        <v>6025.8723865272823</v>
      </c>
      <c r="P797" s="84">
        <f>Graph!$D$22*((Graph!$E$18-Z797)/POWER((((Graph!$D$18-$Y797)^2)+((Graph!$E$18-$Z797)^2))+(Graph!$D$23^2),3/2))</f>
        <v>762.5375448702581</v>
      </c>
      <c r="Q797">
        <f>Graph!$D$31*((Graph!$D$27-Y797)/POWER((((Graph!$D$27-$Y797)^2)+((Graph!$E$27-$Z797)^2))+(Graph!$D$32^2),3/2))</f>
        <v>-216.87483165653666</v>
      </c>
      <c r="R797">
        <f>Graph!$D$31*((Graph!$E$27-Z797)/POWER((((Graph!$D$27-$Y797)^2)+((Graph!$E$27-$Z797)^2))+(Graph!$D$32^2),3/2))</f>
        <v>6.3348876999694301</v>
      </c>
      <c r="S797">
        <f>Graph!$D$40*((Graph!$D$36-Y797)/POWER((((Graph!$D$36-$Y797)^2)+((Graph!$E$36-$Z797)^2))+(Graph!$D$41^2),3/2))</f>
        <v>-248.92320551728096</v>
      </c>
      <c r="T797">
        <f>Graph!$D$40*((Graph!$E$36-Z797)/POWER((((Graph!$D$36-$Y797)^2)+((Graph!$E$36-$Z797)^2))+(Graph!$D$41^2),3/2))</f>
        <v>-713.16012992252377</v>
      </c>
      <c r="U797">
        <f>O797+Q797+S797</f>
        <v>5560.0743493534646</v>
      </c>
      <c r="V797">
        <f>P797+R797+T797</f>
        <v>55.712302647703723</v>
      </c>
      <c r="W797">
        <f>W796+(U796*Graph!$D$5)</f>
        <v>-13009.996736805089</v>
      </c>
      <c r="X797">
        <f>X796+(V796*Graph!$D$5)</f>
        <v>3245.1254269290516</v>
      </c>
      <c r="Y797">
        <f>Y796+(W796*Graph!$D$5)+(U796*Graph!$D$5^2)</f>
        <v>8436.1424800695331</v>
      </c>
      <c r="Z797">
        <f>Z796+(X796*Graph!$D$5)+(V796*Graph!$D$5^2)</f>
        <v>9169.383704620659</v>
      </c>
    </row>
    <row r="798" spans="14:26" x14ac:dyDescent="0.35">
      <c r="N798">
        <f>N797+1</f>
        <v>795</v>
      </c>
      <c r="O798">
        <f>Graph!$D$22*((Graph!$D$18-Y798)/POWER((((Graph!$D$18-$Y798)^2)+((Graph!$E$18-$Z798)^2))+(Graph!$D$23^2),(3/2)))</f>
        <v>2964.463359109764</v>
      </c>
      <c r="P798" s="84">
        <f>Graph!$D$22*((Graph!$E$18-Z798)/POWER((((Graph!$D$18-$Y798)^2)+((Graph!$E$18-$Z798)^2))+(Graph!$D$23^2),3/2))</f>
        <v>-204.5567848223196</v>
      </c>
      <c r="Q798">
        <f>Graph!$D$31*((Graph!$D$27-Y798)/POWER((((Graph!$D$27-$Y798)^2)+((Graph!$E$27-$Z798)^2))+(Graph!$D$32^2),3/2))</f>
        <v>-318.80278535233111</v>
      </c>
      <c r="R798">
        <f>Graph!$D$31*((Graph!$E$27-Z798)/POWER((((Graph!$D$27-$Y798)^2)+((Graph!$E$27-$Z798)^2))+(Graph!$D$32^2),3/2))</f>
        <v>-11.016390416157773</v>
      </c>
      <c r="S798">
        <f>Graph!$D$40*((Graph!$D$36-Y798)/POWER((((Graph!$D$36-$Y798)^2)+((Graph!$E$36-$Z798)^2))+(Graph!$D$41^2),3/2))</f>
        <v>-93.499201456365981</v>
      </c>
      <c r="T798">
        <f>Graph!$D$40*((Graph!$E$36-Z798)/POWER((((Graph!$D$36-$Y798)^2)+((Graph!$E$36-$Z798)^2))+(Graph!$D$41^2),3/2))</f>
        <v>-726.50119151680485</v>
      </c>
      <c r="U798">
        <f>O798+Q798+S798</f>
        <v>2552.1613723010669</v>
      </c>
      <c r="V798">
        <f>P798+R798+T798</f>
        <v>-942.0743667552822</v>
      </c>
      <c r="W798">
        <f>W797+(U797*Graph!$D$5)</f>
        <v>-10229.959562128357</v>
      </c>
      <c r="X798">
        <f>X797+(V797*Graph!$D$5)</f>
        <v>3272.9815782529035</v>
      </c>
      <c r="Y798">
        <f>Y797+(W797*Graph!$D$5)+(U797*Graph!$D$5^2)</f>
        <v>3321.1626990053546</v>
      </c>
      <c r="Z798">
        <f>Z797+(X797*Graph!$D$5)+(V797*Graph!$D$5^2)</f>
        <v>10805.874493747111</v>
      </c>
    </row>
    <row r="799" spans="14:26" x14ac:dyDescent="0.35">
      <c r="N799">
        <f>N798+1</f>
        <v>796</v>
      </c>
      <c r="O799">
        <f>Graph!$D$22*((Graph!$D$18-Y799)/POWER((((Graph!$D$18-$Y799)^2)+((Graph!$E$18-$Z799)^2))+(Graph!$D$23^2),(3/2)))</f>
        <v>1705.1290490803433</v>
      </c>
      <c r="P799" s="84">
        <f>Graph!$D$22*((Graph!$E$18-Z799)/POWER((((Graph!$D$18-$Y799)^2)+((Graph!$E$18-$Z799)^2))+(Graph!$D$23^2),3/2))</f>
        <v>-232.91720731235418</v>
      </c>
      <c r="Q799">
        <f>Graph!$D$31*((Graph!$D$27-Y799)/POWER((((Graph!$D$27-$Y799)^2)+((Graph!$E$27-$Z799)^2))+(Graph!$D$32^2),3/2))</f>
        <v>-471.26242194091594</v>
      </c>
      <c r="R799">
        <f>Graph!$D$31*((Graph!$E$27-Z799)/POWER((((Graph!$D$27-$Y799)^2)+((Graph!$E$27-$Z799)^2))+(Graph!$D$32^2),3/2))</f>
        <v>-55.18953485822378</v>
      </c>
      <c r="S799">
        <f>Graph!$D$40*((Graph!$D$36-Y799)/POWER((((Graph!$D$36-$Y799)^2)+((Graph!$E$36-$Z799)^2))+(Graph!$D$41^2),3/2))</f>
        <v>28.514335945528185</v>
      </c>
      <c r="T799">
        <f>Graph!$D$40*((Graph!$E$36-Z799)/POWER((((Graph!$D$36-$Y799)^2)+((Graph!$E$36-$Z799)^2))+(Graph!$D$41^2),3/2))</f>
        <v>-671.22406984344104</v>
      </c>
      <c r="U799">
        <f>O799+Q799+S799</f>
        <v>1262.3809630849555</v>
      </c>
      <c r="V799">
        <f>P799+R799+T799</f>
        <v>-959.33081201401899</v>
      </c>
      <c r="W799">
        <f>W798+(U798*Graph!$D$5)</f>
        <v>-8953.8788759778236</v>
      </c>
      <c r="X799">
        <f>X798+(V798*Graph!$D$5)</f>
        <v>2801.9443948752623</v>
      </c>
      <c r="Y799">
        <f>Y798+(W798*Graph!$D$5)+(U798*Graph!$D$5^2)</f>
        <v>-1155.7767389835572</v>
      </c>
      <c r="Z799">
        <f>Z798+(X798*Graph!$D$5)+(V798*Graph!$D$5^2)</f>
        <v>12206.846691184743</v>
      </c>
    </row>
    <row r="800" spans="14:26" x14ac:dyDescent="0.35">
      <c r="N800">
        <f>N799+1</f>
        <v>797</v>
      </c>
      <c r="O800">
        <f>Graph!$D$22*((Graph!$D$18-Y800)/POWER((((Graph!$D$18-$Y800)^2)+((Graph!$E$18-$Z800)^2))+(Graph!$D$23^2),(3/2)))</f>
        <v>1117.6466650361074</v>
      </c>
      <c r="P800" s="84">
        <f>Graph!$D$22*((Graph!$E$18-Z800)/POWER((((Graph!$D$18-$Y800)^2)+((Graph!$E$18-$Z800)^2))+(Graph!$D$23^2),3/2))</f>
        <v>-185.27322547642518</v>
      </c>
      <c r="Q800">
        <f>Graph!$D$31*((Graph!$D$27-Y800)/POWER((((Graph!$D$27-$Y800)^2)+((Graph!$E$27-$Z800)^2))+(Graph!$D$32^2),3/2))</f>
        <v>-712.87919511668485</v>
      </c>
      <c r="R800">
        <f>Graph!$D$31*((Graph!$E$27-Z800)/POWER((((Graph!$D$27-$Y800)^2)+((Graph!$E$27-$Z800)^2))+(Graph!$D$32^2),3/2))</f>
        <v>-163.52155941185774</v>
      </c>
      <c r="S800">
        <f>Graph!$D$40*((Graph!$D$36-Y800)/POWER((((Graph!$D$36-$Y800)^2)+((Graph!$E$36-$Z800)^2))+(Graph!$D$41^2),3/2))</f>
        <v>110.77283840248106</v>
      </c>
      <c r="T800">
        <f>Graph!$D$40*((Graph!$E$36-Z800)/POWER((((Graph!$D$36-$Y800)^2)+((Graph!$E$36-$Z800)^2))+(Graph!$D$41^2),3/2))</f>
        <v>-590.99696757855486</v>
      </c>
      <c r="U800">
        <f>O800+Q800+S800</f>
        <v>515.54030832190358</v>
      </c>
      <c r="V800">
        <f>P800+R800+T800</f>
        <v>-939.79175246683781</v>
      </c>
      <c r="W800">
        <f>W799+(U799*Graph!$D$5)</f>
        <v>-8322.6883944353467</v>
      </c>
      <c r="X800">
        <f>X799+(V799*Graph!$D$5)</f>
        <v>2322.2789888682528</v>
      </c>
      <c r="Y800">
        <f>Y799+(W799*Graph!$D$5)+(U799*Graph!$D$5^2)</f>
        <v>-5317.1209362012305</v>
      </c>
      <c r="Z800">
        <f>Z799+(X799*Graph!$D$5)+(V799*Graph!$D$5^2)</f>
        <v>13367.986185618869</v>
      </c>
    </row>
    <row r="801" spans="14:26" x14ac:dyDescent="0.35">
      <c r="N801">
        <f>N800+1</f>
        <v>798</v>
      </c>
      <c r="O801">
        <f>Graph!$D$22*((Graph!$D$18-Y801)/POWER((((Graph!$D$18-$Y801)^2)+((Graph!$E$18-$Z801)^2))+(Graph!$D$23^2),(3/2)))</f>
        <v>794.24447665152684</v>
      </c>
      <c r="P801" s="84">
        <f>Graph!$D$22*((Graph!$E$18-Z801)/POWER((((Graph!$D$18-$Y801)^2)+((Graph!$E$18-$Z801)^2))+(Graph!$D$23^2),3/2))</f>
        <v>-140.06923098474556</v>
      </c>
      <c r="Q801">
        <f>Graph!$D$31*((Graph!$D$27-Y801)/POWER((((Graph!$D$27-$Y801)^2)+((Graph!$E$27-$Z801)^2))+(Graph!$D$32^2),3/2))</f>
        <v>-1105.5203277250976</v>
      </c>
      <c r="R801">
        <f>Graph!$D$31*((Graph!$E$27-Z801)/POWER((((Graph!$D$27-$Y801)^2)+((Graph!$E$27-$Z801)^2))+(Graph!$D$32^2),3/2))</f>
        <v>-445.73836615714885</v>
      </c>
      <c r="S801">
        <f>Graph!$D$40*((Graph!$D$36-Y801)/POWER((((Graph!$D$36-$Y801)^2)+((Graph!$E$36-$Z801)^2))+(Graph!$D$41^2),3/2))</f>
        <v>161.90296302066338</v>
      </c>
      <c r="T801">
        <f>Graph!$D$40*((Graph!$E$36-Z801)/POWER((((Graph!$D$36-$Y801)^2)+((Graph!$E$36-$Z801)^2))+(Graph!$D$41^2),3/2))</f>
        <v>-507.27563666970474</v>
      </c>
      <c r="U801">
        <f>O801+Q801+S801</f>
        <v>-149.37288805290734</v>
      </c>
      <c r="V801">
        <f>P801+R801+T801</f>
        <v>-1093.083233811599</v>
      </c>
      <c r="W801">
        <f>W800+(U800*Graph!$D$5)</f>
        <v>-8064.9182402743945</v>
      </c>
      <c r="X801">
        <f>X800+(V800*Graph!$D$5)</f>
        <v>1852.3831126348339</v>
      </c>
      <c r="Y801">
        <f>Y800+(W800*Graph!$D$5)+(U800*Graph!$D$5^2)</f>
        <v>-9349.5800563384273</v>
      </c>
      <c r="Z801">
        <f>Z800+(X800*Graph!$D$5)+(V800*Graph!$D$5^2)</f>
        <v>14294.177741936286</v>
      </c>
    </row>
    <row r="802" spans="14:26" x14ac:dyDescent="0.35">
      <c r="N802">
        <f>N801+1</f>
        <v>799</v>
      </c>
      <c r="O802">
        <f>Graph!$D$22*((Graph!$D$18-Y802)/POWER((((Graph!$D$18-$Y802)^2)+((Graph!$E$18-$Z802)^2))+(Graph!$D$23^2),(3/2)))</f>
        <v>592.97905514020033</v>
      </c>
      <c r="P802" s="84">
        <f>Graph!$D$22*((Graph!$E$18-Z802)/POWER((((Graph!$D$18-$Y802)^2)+((Graph!$E$18-$Z802)^2))+(Graph!$D$23^2),3/2))</f>
        <v>-103.22271423898279</v>
      </c>
      <c r="Q802">
        <f>Graph!$D$31*((Graph!$D$27-Y802)/POWER((((Graph!$D$27-$Y802)^2)+((Graph!$E$27-$Z802)^2))+(Graph!$D$32^2),3/2))</f>
        <v>-1650.7979328487013</v>
      </c>
      <c r="R802">
        <f>Graph!$D$31*((Graph!$E$27-Z802)/POWER((((Graph!$D$27-$Y802)^2)+((Graph!$E$27-$Z802)^2))+(Graph!$D$32^2),3/2))</f>
        <v>-1241.0172502177816</v>
      </c>
      <c r="S802">
        <f>Graph!$D$40*((Graph!$D$36-Y802)/POWER((((Graph!$D$36-$Y802)^2)+((Graph!$E$36-$Z802)^2))+(Graph!$D$41^2),3/2))</f>
        <v>192.09357201029636</v>
      </c>
      <c r="T802">
        <f>Graph!$D$40*((Graph!$E$36-Z802)/POWER((((Graph!$D$36-$Y802)^2)+((Graph!$E$36-$Z802)^2))+(Graph!$D$41^2),3/2))</f>
        <v>-428.68180885118755</v>
      </c>
      <c r="U802">
        <f>O802+Q802+S802</f>
        <v>-865.72530569820469</v>
      </c>
      <c r="V802">
        <f>P802+R802+T802</f>
        <v>-1772.9217733079518</v>
      </c>
      <c r="W802">
        <f>W801+(U801*Graph!$D$5)</f>
        <v>-8139.604684300848</v>
      </c>
      <c r="X802">
        <f>X801+(V801*Graph!$D$5)</f>
        <v>1305.8414957290342</v>
      </c>
      <c r="Y802">
        <f>Y801+(W801*Graph!$D$5)+(U801*Graph!$D$5^2)</f>
        <v>-13419.382398488851</v>
      </c>
      <c r="Z802">
        <f>Z801+(X801*Graph!$D$5)+(V801*Graph!$D$5^2)</f>
        <v>14947.098489800803</v>
      </c>
    </row>
    <row r="803" spans="14:26" x14ac:dyDescent="0.35">
      <c r="N803">
        <f>N802+1</f>
        <v>800</v>
      </c>
      <c r="O803">
        <f>Graph!$D$22*((Graph!$D$18-Y803)/POWER((((Graph!$D$18-$Y803)^2)+((Graph!$E$18-$Z803)^2))+(Graph!$D$23^2),(3/2)))</f>
        <v>456.1076881157183</v>
      </c>
      <c r="P803" s="84">
        <f>Graph!$D$22*((Graph!$E$18-Z803)/POWER((((Graph!$D$18-$Y803)^2)+((Graph!$E$18-$Z803)^2))+(Graph!$D$23^2),3/2))</f>
        <v>-71.915814405200294</v>
      </c>
      <c r="Q803">
        <f>Graph!$D$31*((Graph!$D$27-Y803)/POWER((((Graph!$D$27-$Y803)^2)+((Graph!$E$27-$Z803)^2))+(Graph!$D$32^2),3/2))</f>
        <v>-1406.7031329746485</v>
      </c>
      <c r="R803">
        <f>Graph!$D$31*((Graph!$E$27-Z803)/POWER((((Graph!$D$27-$Y803)^2)+((Graph!$E$27-$Z803)^2))+(Graph!$D$32^2),3/2))</f>
        <v>-3161.6639434016179</v>
      </c>
      <c r="S803">
        <f>Graph!$D$40*((Graph!$D$36-Y803)/POWER((((Graph!$D$36-$Y803)^2)+((Graph!$E$36-$Z803)^2))+(Graph!$D$41^2),3/2))</f>
        <v>210.29510096019831</v>
      </c>
      <c r="T803">
        <f>Graph!$D$40*((Graph!$E$36-Z803)/POWER((((Graph!$D$36-$Y803)^2)+((Graph!$E$36-$Z803)^2))+(Graph!$D$41^2),3/2))</f>
        <v>-358.18154647201948</v>
      </c>
      <c r="U803">
        <f>O803+Q803+S803</f>
        <v>-740.30034389873197</v>
      </c>
      <c r="V803">
        <f>P803+R803+T803</f>
        <v>-3591.7613042788375</v>
      </c>
      <c r="W803">
        <f>W802+(U802*Graph!$D$5)</f>
        <v>-8572.4673371499503</v>
      </c>
      <c r="X803">
        <f>X802+(V802*Graph!$D$5)</f>
        <v>419.38060907505837</v>
      </c>
      <c r="Y803">
        <f>Y802+(W802*Graph!$D$5)+(U802*Graph!$D$5^2)</f>
        <v>-17705.616067063827</v>
      </c>
      <c r="Z803">
        <f>Z802+(X802*Graph!$D$5)+(V802*Graph!$D$5^2)</f>
        <v>15156.788794338332</v>
      </c>
    </row>
    <row r="804" spans="14:26" x14ac:dyDescent="0.35">
      <c r="N804">
        <f>N803+1</f>
        <v>801</v>
      </c>
      <c r="O804">
        <f>Graph!$D$22*((Graph!$D$18-Y804)/POWER((((Graph!$D$18-$Y804)^2)+((Graph!$E$18-$Z804)^2))+(Graph!$D$23^2),(3/2)))</f>
        <v>361.07242339530359</v>
      </c>
      <c r="P804" s="84">
        <f>Graph!$D$22*((Graph!$E$18-Z804)/POWER((((Graph!$D$18-$Y804)^2)+((Graph!$E$18-$Z804)^2))+(Graph!$D$23^2),3/2))</f>
        <v>-43.3996660959697</v>
      </c>
      <c r="Q804">
        <f>Graph!$D$31*((Graph!$D$27-Y804)/POWER((((Graph!$D$27-$Y804)^2)+((Graph!$E$27-$Z804)^2))+(Graph!$D$32^2),3/2))</f>
        <v>1740.1789913306284</v>
      </c>
      <c r="R804">
        <f>Graph!$D$31*((Graph!$E$27-Z804)/POWER((((Graph!$D$27-$Y804)^2)+((Graph!$E$27-$Z804)^2))+(Graph!$D$32^2),3/2))</f>
        <v>-3572.0375904484267</v>
      </c>
      <c r="S804">
        <f>Graph!$D$40*((Graph!$D$36-Y804)/POWER((((Graph!$D$36-$Y804)^2)+((Graph!$E$36-$Z804)^2))+(Graph!$D$41^2),3/2))</f>
        <v>225.22995826362961</v>
      </c>
      <c r="T804">
        <f>Graph!$D$40*((Graph!$E$36-Z804)/POWER((((Graph!$D$36-$Y804)^2)+((Graph!$E$36-$Z804)^2))+(Graph!$D$41^2),3/2))</f>
        <v>-299.28395443811542</v>
      </c>
      <c r="U804">
        <f>O804+Q804+S804</f>
        <v>2326.4813729895618</v>
      </c>
      <c r="V804">
        <f>P804+R804+T804</f>
        <v>-3914.7212109825118</v>
      </c>
      <c r="W804">
        <f>W803+(U803*Graph!$D$5)</f>
        <v>-8942.6175090993165</v>
      </c>
      <c r="X804">
        <f>X803+(V803*Graph!$D$5)</f>
        <v>-1376.5000430643604</v>
      </c>
      <c r="Y804">
        <f>Y803+(W803*Graph!$D$5)+(U803*Graph!$D$5^2)</f>
        <v>-22176.924821613487</v>
      </c>
      <c r="Z804">
        <f>Z803+(X803*Graph!$D$5)+(V803*Graph!$D$5^2)</f>
        <v>14468.538772806152</v>
      </c>
    </row>
    <row r="805" spans="14:26" x14ac:dyDescent="0.35">
      <c r="N805">
        <f>N804+1</f>
        <v>802</v>
      </c>
      <c r="O805">
        <f>Graph!$D$22*((Graph!$D$18-Y805)/POWER((((Graph!$D$18-$Y805)^2)+((Graph!$E$18-$Z805)^2))+(Graph!$D$23^2),(3/2)))</f>
        <v>301.61577675474859</v>
      </c>
      <c r="P805" s="84">
        <f>Graph!$D$22*((Graph!$E$18-Z805)/POWER((((Graph!$D$18-$Y805)^2)+((Graph!$E$18-$Z805)^2))+(Graph!$D$23^2),3/2))</f>
        <v>-20.576552139153517</v>
      </c>
      <c r="Q805">
        <f>Graph!$D$31*((Graph!$D$27-Y805)/POWER((((Graph!$D$27-$Y805)^2)+((Graph!$E$27-$Z805)^2))+(Graph!$D$32^2),3/2))</f>
        <v>2538.2741439710585</v>
      </c>
      <c r="R805">
        <f>Graph!$D$31*((Graph!$E$27-Z805)/POWER((((Graph!$D$27-$Y805)^2)+((Graph!$E$27-$Z805)^2))+(Graph!$D$32^2),3/2))</f>
        <v>-1172.1944375564776</v>
      </c>
      <c r="S805">
        <f>Graph!$D$40*((Graph!$D$36-Y805)/POWER((((Graph!$D$36-$Y805)^2)+((Graph!$E$36-$Z805)^2))+(Graph!$D$41^2),3/2))</f>
        <v>240.34609870375263</v>
      </c>
      <c r="T805">
        <f>Graph!$D$40*((Graph!$E$36-Z805)/POWER((((Graph!$D$36-$Y805)^2)+((Graph!$E$36-$Z805)^2))+(Graph!$D$41^2),3/2))</f>
        <v>-256.34354830014257</v>
      </c>
      <c r="U805">
        <f>O805+Q805+S805</f>
        <v>3080.2360194295597</v>
      </c>
      <c r="V805">
        <f>P805+R805+T805</f>
        <v>-1449.1145379957738</v>
      </c>
      <c r="W805">
        <f>W804+(U804*Graph!$D$5)</f>
        <v>-7779.3768226045358</v>
      </c>
      <c r="X805">
        <f>X804+(V804*Graph!$D$5)</f>
        <v>-3333.8606485556165</v>
      </c>
      <c r="Y805">
        <f>Y804+(W804*Graph!$D$5)+(U804*Graph!$D$5^2)</f>
        <v>-26066.613232915755</v>
      </c>
      <c r="Z805">
        <f>Z804+(X804*Graph!$D$5)+(V804*Graph!$D$5^2)</f>
        <v>12801.608448528345</v>
      </c>
    </row>
    <row r="806" spans="14:26" x14ac:dyDescent="0.35">
      <c r="N806">
        <f>N805+1</f>
        <v>803</v>
      </c>
      <c r="O806">
        <f>Graph!$D$22*((Graph!$D$18-Y806)/POWER((((Graph!$D$18-$Y806)^2)+((Graph!$E$18-$Z806)^2))+(Graph!$D$23^2),(3/2)))</f>
        <v>262.99014044882375</v>
      </c>
      <c r="P806" s="84">
        <f>Graph!$D$22*((Graph!$E$18-Z806)/POWER((((Graph!$D$18-$Y806)^2)+((Graph!$E$18-$Z806)^2))+(Graph!$D$23^2),3/2))</f>
        <v>-4.5972103115964451</v>
      </c>
      <c r="Q806">
        <f>Graph!$D$31*((Graph!$D$27-Y806)/POWER((((Graph!$D$27-$Y806)^2)+((Graph!$E$27-$Z806)^2))+(Graph!$D$32^2),3/2))</f>
        <v>1720.7023007220116</v>
      </c>
      <c r="R806">
        <f>Graph!$D$31*((Graph!$E$27-Z806)/POWER((((Graph!$D$27-$Y806)^2)+((Graph!$E$27-$Z806)^2))+(Graph!$D$32^2),3/2))</f>
        <v>-144.6804347837886</v>
      </c>
      <c r="S806">
        <f>Graph!$D$40*((Graph!$D$36-Y806)/POWER((((Graph!$D$36-$Y806)^2)+((Graph!$E$36-$Z806)^2))+(Graph!$D$41^2),3/2))</f>
        <v>252.60986485949098</v>
      </c>
      <c r="T806">
        <f>Graph!$D$40*((Graph!$E$36-Z806)/POWER((((Graph!$D$36-$Y806)^2)+((Graph!$E$36-$Z806)^2))+(Graph!$D$41^2),3/2))</f>
        <v>-223.0627091214227</v>
      </c>
      <c r="U806">
        <f>O806+Q806+S806</f>
        <v>2236.3023060303262</v>
      </c>
      <c r="V806">
        <f>P806+R806+T806</f>
        <v>-372.34035421680778</v>
      </c>
      <c r="W806">
        <f>W805+(U805*Graph!$D$5)</f>
        <v>-6239.258812889756</v>
      </c>
      <c r="X806">
        <f>X805+(V805*Graph!$D$5)</f>
        <v>-4058.4179175535037</v>
      </c>
      <c r="Y806">
        <f>Y805+(W805*Graph!$D$5)+(U805*Graph!$D$5^2)</f>
        <v>-29186.242639360633</v>
      </c>
      <c r="Z806">
        <f>Z805+(X805*Graph!$D$5)+(V805*Graph!$D$5^2)</f>
        <v>10772.399489751593</v>
      </c>
    </row>
    <row r="807" spans="14:26" x14ac:dyDescent="0.35">
      <c r="N807">
        <f>N806+1</f>
        <v>804</v>
      </c>
      <c r="O807">
        <f>Graph!$D$22*((Graph!$D$18-Y807)/POWER((((Graph!$D$18-$Y807)^2)+((Graph!$E$18-$Z807)^2))+(Graph!$D$23^2),(3/2)))</f>
        <v>235.25978877884506</v>
      </c>
      <c r="P807" s="84">
        <f>Graph!$D$22*((Graph!$E$18-Z807)/POWER((((Graph!$D$18-$Y807)^2)+((Graph!$E$18-$Z807)^2))+(Graph!$D$23^2),3/2))</f>
        <v>6.7935330862385053</v>
      </c>
      <c r="Q807">
        <f>Graph!$D$31*((Graph!$D$27-Y807)/POWER((((Graph!$D$27-$Y807)^2)+((Graph!$E$27-$Z807)^2))+(Graph!$D$32^2),3/2))</f>
        <v>1125.1025139483636</v>
      </c>
      <c r="R807">
        <f>Graph!$D$31*((Graph!$E$27-Z807)/POWER((((Graph!$D$27-$Y807)^2)+((Graph!$E$27-$Z807)^2))+(Graph!$D$32^2),3/2))</f>
        <v>129.29225123354203</v>
      </c>
      <c r="S807">
        <f>Graph!$D$40*((Graph!$D$36-Y807)/POWER((((Graph!$D$36-$Y807)^2)+((Graph!$E$36-$Z807)^2))+(Graph!$D$41^2),3/2))</f>
        <v>261.64208062569793</v>
      </c>
      <c r="T807">
        <f>Graph!$D$40*((Graph!$E$36-Z807)/POWER((((Graph!$D$36-$Y807)^2)+((Graph!$E$36-$Z807)^2))+(Graph!$D$41^2),3/2))</f>
        <v>-194.91298282509575</v>
      </c>
      <c r="U807">
        <f>O807+Q807+S807</f>
        <v>1622.0043833529066</v>
      </c>
      <c r="V807">
        <f>P807+R807+T807</f>
        <v>-58.827198505315209</v>
      </c>
      <c r="W807">
        <f>W806+(U806*Graph!$D$5)</f>
        <v>-5121.1076598745931</v>
      </c>
      <c r="X807">
        <f>X806+(V806*Graph!$D$5)</f>
        <v>-4244.5880946619072</v>
      </c>
      <c r="Y807">
        <f>Y806+(W806*Graph!$D$5)+(U806*Graph!$D$5^2)</f>
        <v>-31746.796469297929</v>
      </c>
      <c r="Z807">
        <f>Z806+(X806*Graph!$D$5)+(V806*Graph!$D$5^2)</f>
        <v>8650.1054424206395</v>
      </c>
    </row>
    <row r="808" spans="14:26" x14ac:dyDescent="0.35">
      <c r="N808">
        <f>N807+1</f>
        <v>805</v>
      </c>
      <c r="O808">
        <f>Graph!$D$22*((Graph!$D$18-Y808)/POWER((((Graph!$D$18-$Y808)^2)+((Graph!$E$18-$Z808)^2))+(Graph!$D$23^2),(3/2)))</f>
        <v>213.94567895674996</v>
      </c>
      <c r="P808" s="84">
        <f>Graph!$D$22*((Graph!$E$18-Z808)/POWER((((Graph!$D$18-$Y808)^2)+((Graph!$E$18-$Z808)^2))+(Graph!$D$23^2),3/2))</f>
        <v>15.255173718930479</v>
      </c>
      <c r="Q808">
        <f>Graph!$D$31*((Graph!$D$27-Y808)/POWER((((Graph!$D$27-$Y808)^2)+((Graph!$E$27-$Z808)^2))+(Graph!$D$32^2),3/2))</f>
        <v>777.44181601523223</v>
      </c>
      <c r="R808">
        <f>Graph!$D$31*((Graph!$E$27-Z808)/POWER((((Graph!$D$27-$Y808)^2)+((Graph!$E$27-$Z808)^2))+(Graph!$D$32^2),3/2))</f>
        <v>194.99983461881604</v>
      </c>
      <c r="S808">
        <f>Graph!$D$40*((Graph!$D$36-Y808)/POWER((((Graph!$D$36-$Y808)^2)+((Graph!$E$36-$Z808)^2))+(Graph!$D$41^2),3/2))</f>
        <v>267.97216187465011</v>
      </c>
      <c r="T808">
        <f>Graph!$D$40*((Graph!$E$36-Z808)/POWER((((Graph!$D$36-$Y808)^2)+((Graph!$E$36-$Z808)^2))+(Graph!$D$41^2),3/2))</f>
        <v>-170.0471591533165</v>
      </c>
      <c r="U808">
        <f>O808+Q808+S808</f>
        <v>1259.3596568466323</v>
      </c>
      <c r="V808">
        <f>P808+R808+T808</f>
        <v>40.207849184430017</v>
      </c>
      <c r="W808">
        <f>W807+(U807*Graph!$D$5)</f>
        <v>-4310.1054681981395</v>
      </c>
      <c r="X808">
        <f>X807+(V807*Graph!$D$5)</f>
        <v>-4274.0016939145644</v>
      </c>
      <c r="Y808">
        <f>Y807+(W807*Graph!$D$5)+(U807*Graph!$D$5^2)</f>
        <v>-33901.849203397003</v>
      </c>
      <c r="Z808">
        <f>Z807+(X807*Graph!$D$5)+(V807*Graph!$D$5^2)</f>
        <v>6513.1045954633573</v>
      </c>
    </row>
    <row r="809" spans="14:26" x14ac:dyDescent="0.35">
      <c r="N809">
        <f>N808+1</f>
        <v>806</v>
      </c>
      <c r="O809">
        <f>Graph!$D$22*((Graph!$D$18-Y809)/POWER((((Graph!$D$18-$Y809)^2)+((Graph!$E$18-$Z809)^2))+(Graph!$D$23^2),(3/2)))</f>
        <v>196.84214612055854</v>
      </c>
      <c r="P809" s="84">
        <f>Graph!$D$22*((Graph!$E$18-Z809)/POWER((((Graph!$D$18-$Y809)^2)+((Graph!$E$18-$Z809)^2))+(Graph!$D$23^2),3/2))</f>
        <v>21.777616316917925</v>
      </c>
      <c r="Q809">
        <f>Graph!$D$31*((Graph!$D$27-Y809)/POWER((((Graph!$D$27-$Y809)^2)+((Graph!$E$27-$Z809)^2))+(Graph!$D$32^2),3/2))</f>
        <v>567.83578558708666</v>
      </c>
      <c r="R809">
        <f>Graph!$D$31*((Graph!$E$27-Z809)/POWER((((Graph!$D$27-$Y809)^2)+((Graph!$E$27-$Z809)^2))+(Graph!$D$32^2),3/2))</f>
        <v>202.49835614960531</v>
      </c>
      <c r="S809">
        <f>Graph!$D$40*((Graph!$D$36-Y809)/POWER((((Graph!$D$36-$Y809)^2)+((Graph!$E$36-$Z809)^2))+(Graph!$D$41^2),3/2))</f>
        <v>272.18665961964751</v>
      </c>
      <c r="T809">
        <f>Graph!$D$40*((Graph!$E$36-Z809)/POWER((((Graph!$D$36-$Y809)^2)+((Graph!$E$36-$Z809)^2))+(Graph!$D$41^2),3/2))</f>
        <v>-147.63146464107436</v>
      </c>
      <c r="U809">
        <f>O809+Q809+S809</f>
        <v>1036.8645913272928</v>
      </c>
      <c r="V809">
        <f>P809+R809+T809</f>
        <v>76.644507825448869</v>
      </c>
      <c r="W809">
        <f>W808+(U808*Graph!$D$5)</f>
        <v>-3680.4256397748231</v>
      </c>
      <c r="X809">
        <f>X808+(V808*Graph!$D$5)</f>
        <v>-4253.8977693223496</v>
      </c>
      <c r="Y809">
        <f>Y808+(W808*Graph!$D$5)+(U808*Graph!$D$5^2)</f>
        <v>-35742.062023284408</v>
      </c>
      <c r="Z809">
        <f>Z808+(X808*Graph!$D$5)+(V808*Graph!$D$5^2)</f>
        <v>4386.1557108021825</v>
      </c>
    </row>
    <row r="810" spans="14:26" x14ac:dyDescent="0.35">
      <c r="N810">
        <f>N809+1</f>
        <v>807</v>
      </c>
      <c r="O810">
        <f>Graph!$D$22*((Graph!$D$18-Y810)/POWER((((Graph!$D$18-$Y810)^2)+((Graph!$E$18-$Z810)^2))+(Graph!$D$23^2),(3/2)))</f>
        <v>182.71784505840012</v>
      </c>
      <c r="P810" s="84">
        <f>Graph!$D$22*((Graph!$E$18-Z810)/POWER((((Graph!$D$18-$Y810)^2)+((Graph!$E$18-$Z810)^2))+(Graph!$D$23^2),3/2))</f>
        <v>26.964783847194848</v>
      </c>
      <c r="Q810">
        <f>Graph!$D$31*((Graph!$D$27-Y810)/POWER((((Graph!$D$27-$Y810)^2)+((Graph!$E$27-$Z810)^2))+(Graph!$D$32^2),3/2))</f>
        <v>433.6801264943395</v>
      </c>
      <c r="R810">
        <f>Graph!$D$31*((Graph!$E$27-Z810)/POWER((((Graph!$D$27-$Y810)^2)+((Graph!$E$27-$Z810)^2))+(Graph!$D$32^2),3/2))</f>
        <v>193.30987799194509</v>
      </c>
      <c r="S810">
        <f>Graph!$D$40*((Graph!$D$36-Y810)/POWER((((Graph!$D$36-$Y810)^2)+((Graph!$E$36-$Z810)^2))+(Graph!$D$41^2),3/2))</f>
        <v>274.78317327840529</v>
      </c>
      <c r="T810">
        <f>Graph!$D$40*((Graph!$E$36-Z810)/POWER((((Graph!$D$36-$Y810)^2)+((Graph!$E$36-$Z810)^2))+(Graph!$D$41^2),3/2))</f>
        <v>-127.20835165143608</v>
      </c>
      <c r="U810">
        <f>O810+Q810+S810</f>
        <v>891.18114483114482</v>
      </c>
      <c r="V810">
        <f>P810+R810+T810</f>
        <v>93.066310187703849</v>
      </c>
      <c r="W810">
        <f>W809+(U809*Graph!$D$5)</f>
        <v>-3161.9933441111766</v>
      </c>
      <c r="X810">
        <f>X809+(V809*Graph!$D$5)</f>
        <v>-4215.575515409625</v>
      </c>
      <c r="Y810">
        <f>Y809+(W809*Graph!$D$5)+(U809*Graph!$D$5^2)</f>
        <v>-37323.058695339998</v>
      </c>
      <c r="Z810">
        <f>Z809+(X809*Graph!$D$5)+(V809*Graph!$D$5^2)</f>
        <v>2278.36795309737</v>
      </c>
    </row>
    <row r="811" spans="14:26" x14ac:dyDescent="0.35">
      <c r="N811">
        <f>N810+1</f>
        <v>808</v>
      </c>
      <c r="O811">
        <f>Graph!$D$22*((Graph!$D$18-Y811)/POWER((((Graph!$D$18-$Y811)^2)+((Graph!$E$18-$Z811)^2))+(Graph!$D$23^2),(3/2)))</f>
        <v>170.81397482895403</v>
      </c>
      <c r="P811" s="84">
        <f>Graph!$D$22*((Graph!$E$18-Z811)/POWER((((Graph!$D$18-$Y811)^2)+((Graph!$E$18-$Z811)^2))+(Graph!$D$23^2),3/2))</f>
        <v>31.203217062391246</v>
      </c>
      <c r="Q811">
        <f>Graph!$D$31*((Graph!$D$27-Y811)/POWER((((Graph!$D$27-$Y811)^2)+((Graph!$E$27-$Z811)^2))+(Graph!$D$32^2),3/2))</f>
        <v>342.96870904667378</v>
      </c>
      <c r="R811">
        <f>Graph!$D$31*((Graph!$E$27-Z811)/POWER((((Graph!$D$27-$Y811)^2)+((Graph!$E$27-$Z811)^2))+(Graph!$D$32^2),3/2))</f>
        <v>180.03088112806674</v>
      </c>
      <c r="S811">
        <f>Graph!$D$40*((Graph!$D$36-Y811)/POWER((((Graph!$D$36-$Y811)^2)+((Graph!$E$36-$Z811)^2))+(Graph!$D$41^2),3/2))</f>
        <v>276.16176859076876</v>
      </c>
      <c r="T811">
        <f>Graph!$D$40*((Graph!$E$36-Z811)/POWER((((Graph!$D$36-$Y811)^2)+((Graph!$E$36-$Z811)^2))+(Graph!$D$41^2),3/2))</f>
        <v>-108.47525617586514</v>
      </c>
      <c r="U811">
        <f>O811+Q811+S811</f>
        <v>789.94445246639657</v>
      </c>
      <c r="V811">
        <f>P811+R811+T811</f>
        <v>102.75884201459284</v>
      </c>
      <c r="W811">
        <f>W810+(U810*Graph!$D$5)</f>
        <v>-2716.4027716956043</v>
      </c>
      <c r="X811">
        <f>X810+(V810*Graph!$D$5)</f>
        <v>-4169.0423603157733</v>
      </c>
      <c r="Y811">
        <f>Y810+(W810*Graph!$D$5)+(U810*Graph!$D$5^2)</f>
        <v>-38681.2600811878</v>
      </c>
      <c r="Z811">
        <f>Z810+(X810*Graph!$D$5)+(V810*Graph!$D$5^2)</f>
        <v>193.84677293948343</v>
      </c>
    </row>
    <row r="812" spans="14:26" x14ac:dyDescent="0.35">
      <c r="N812">
        <f>N811+1</f>
        <v>809</v>
      </c>
      <c r="O812">
        <f>Graph!$D$22*((Graph!$D$18-Y812)/POWER((((Graph!$D$18-$Y812)^2)+((Graph!$E$18-$Z812)^2))+(Graph!$D$23^2),(3/2)))</f>
        <v>160.62766814045375</v>
      </c>
      <c r="P812" s="84">
        <f>Graph!$D$22*((Graph!$E$18-Z812)/POWER((((Graph!$D$18-$Y812)^2)+((Graph!$E$18-$Z812)^2))+(Graph!$D$23^2),3/2))</f>
        <v>34.751571438778754</v>
      </c>
      <c r="Q812">
        <f>Graph!$D$31*((Graph!$D$27-Y812)/POWER((((Graph!$D$27-$Y812)^2)+((Graph!$E$27-$Z812)^2))+(Graph!$D$32^2),3/2))</f>
        <v>278.75077851479256</v>
      </c>
      <c r="R812">
        <f>Graph!$D$31*((Graph!$E$27-Z812)/POWER((((Graph!$D$27-$Y812)^2)+((Graph!$E$27-$Z812)^2))+(Graph!$D$32^2),3/2))</f>
        <v>166.68570856893518</v>
      </c>
      <c r="S812">
        <f>Graph!$D$40*((Graph!$D$36-Y812)/POWER((((Graph!$D$36-$Y812)^2)+((Graph!$E$36-$Z812)^2))+(Graph!$D$41^2),3/2))</f>
        <v>276.63963753457472</v>
      </c>
      <c r="T812">
        <f>Graph!$D$40*((Graph!$E$36-Z812)/POWER((((Graph!$D$36-$Y812)^2)+((Graph!$E$36-$Z812)^2))+(Graph!$D$41^2),3/2))</f>
        <v>-91.201950712378547</v>
      </c>
      <c r="U812">
        <f>O812+Q812+S812</f>
        <v>716.01808418982102</v>
      </c>
      <c r="V812">
        <f>P812+R812+T812</f>
        <v>110.23532929533538</v>
      </c>
      <c r="W812">
        <f>W811+(U811*Graph!$D$5)</f>
        <v>-2321.4305454624059</v>
      </c>
      <c r="X812">
        <f>X811+(V811*Graph!$D$5)</f>
        <v>-4117.6629393084768</v>
      </c>
      <c r="Y812">
        <f>Y811+(W811*Graph!$D$5)+(U811*Graph!$D$5^2)</f>
        <v>-39841.975353919006</v>
      </c>
      <c r="Z812">
        <f>Z811+(X811*Graph!$D$5)+(V811*Graph!$D$5^2)</f>
        <v>-1864.984696714755</v>
      </c>
    </row>
    <row r="813" spans="14:26" x14ac:dyDescent="0.35">
      <c r="N813">
        <f>N812+1</f>
        <v>810</v>
      </c>
      <c r="O813">
        <f>Graph!$D$22*((Graph!$D$18-Y813)/POWER((((Graph!$D$18-$Y813)^2)+((Graph!$E$18-$Z813)^2))+(Graph!$D$23^2),(3/2)))</f>
        <v>151.80726642365434</v>
      </c>
      <c r="P813" s="84">
        <f>Graph!$D$22*((Graph!$E$18-Z813)/POWER((((Graph!$D$18-$Y813)^2)+((Graph!$E$18-$Z813)^2))+(Graph!$D$23^2),3/2))</f>
        <v>37.789565443786209</v>
      </c>
      <c r="Q813">
        <f>Graph!$D$31*((Graph!$D$27-Y813)/POWER((((Graph!$D$27-$Y813)^2)+((Graph!$E$27-$Z813)^2))+(Graph!$D$32^2),3/2))</f>
        <v>231.53547747817484</v>
      </c>
      <c r="R813">
        <f>Graph!$D$31*((Graph!$E$27-Z813)/POWER((((Graph!$D$27-$Y813)^2)+((Graph!$E$27-$Z813)^2))+(Graph!$D$32^2),3/2))</f>
        <v>154.51042436391947</v>
      </c>
      <c r="S813">
        <f>Graph!$D$40*((Graph!$D$36-Y813)/POWER((((Graph!$D$36-$Y813)^2)+((Graph!$E$36-$Z813)^2))+(Graph!$D$41^2),3/2))</f>
        <v>276.4673377650231</v>
      </c>
      <c r="T813">
        <f>Graph!$D$40*((Graph!$E$36-Z813)/POWER((((Graph!$D$36-$Y813)^2)+((Graph!$E$36-$Z813)^2))+(Graph!$D$41^2),3/2))</f>
        <v>-75.197084509796966</v>
      </c>
      <c r="U813">
        <f>O813+Q813+S813</f>
        <v>659.81008166685228</v>
      </c>
      <c r="V813">
        <f>P813+R813+T813</f>
        <v>117.10290529790872</v>
      </c>
      <c r="W813">
        <f>W812+(U812*Graph!$D$5)</f>
        <v>-1963.4215033674955</v>
      </c>
      <c r="X813">
        <f>X812+(V812*Graph!$D$5)</f>
        <v>-4062.5452746608089</v>
      </c>
      <c r="Y813">
        <f>Y812+(W812*Graph!$D$5)+(U812*Graph!$D$5^2)</f>
        <v>-40823.686105602756</v>
      </c>
      <c r="Z813">
        <f>Z812+(X812*Graph!$D$5)+(V812*Graph!$D$5^2)</f>
        <v>-3896.2573340451595</v>
      </c>
    </row>
    <row r="814" spans="14:26" x14ac:dyDescent="0.35">
      <c r="N814">
        <f>N813+1</f>
        <v>811</v>
      </c>
      <c r="O814">
        <f>Graph!$D$22*((Graph!$D$18-Y814)/POWER((((Graph!$D$18-$Y814)^2)+((Graph!$E$18-$Z814)^2))+(Graph!$D$23^2),(3/2)))</f>
        <v>144.09666506836385</v>
      </c>
      <c r="P814" s="84">
        <f>Graph!$D$22*((Graph!$E$18-Z814)/POWER((((Graph!$D$18-$Y814)^2)+((Graph!$E$18-$Z814)^2))+(Graph!$D$23^2),3/2))</f>
        <v>40.446106027977976</v>
      </c>
      <c r="Q814">
        <f>Graph!$D$31*((Graph!$D$27-Y814)/POWER((((Graph!$D$27-$Y814)^2)+((Graph!$E$27-$Z814)^2))+(Graph!$D$32^2),3/2))</f>
        <v>195.71520020439263</v>
      </c>
      <c r="R814">
        <f>Graph!$D$31*((Graph!$E$27-Z814)/POWER((((Graph!$D$27-$Y814)^2)+((Graph!$E$27-$Z814)^2))+(Graph!$D$32^2),3/2))</f>
        <v>143.78309262205195</v>
      </c>
      <c r="S814">
        <f>Graph!$D$40*((Graph!$D$36-Y814)/POWER((((Graph!$D$36-$Y814)^2)+((Graph!$E$36-$Z814)^2))+(Graph!$D$41^2),3/2))</f>
        <v>275.84267667976371</v>
      </c>
      <c r="T814">
        <f>Graph!$D$40*((Graph!$E$36-Z814)/POWER((((Graph!$D$36-$Y814)^2)+((Graph!$E$36-$Z814)^2))+(Graph!$D$41^2),3/2))</f>
        <v>-60.293542768004869</v>
      </c>
      <c r="U814">
        <f>O814+Q814+S814</f>
        <v>615.65454195252016</v>
      </c>
      <c r="V814">
        <f>P814+R814+T814</f>
        <v>123.93565588202506</v>
      </c>
      <c r="W814">
        <f>W813+(U813*Graph!$D$5)</f>
        <v>-1633.5164625340694</v>
      </c>
      <c r="X814">
        <f>X813+(V813*Graph!$D$5)</f>
        <v>-4003.9938220118547</v>
      </c>
      <c r="Y814">
        <f>Y813+(W813*Graph!$D$5)+(U813*Graph!$D$5^2)</f>
        <v>-41640.44433686979</v>
      </c>
      <c r="Z814">
        <f>Z813+(X813*Graph!$D$5)+(V813*Graph!$D$5^2)</f>
        <v>-5898.2542450510864</v>
      </c>
    </row>
    <row r="815" spans="14:26" x14ac:dyDescent="0.35">
      <c r="N815">
        <f>N814+1</f>
        <v>812</v>
      </c>
      <c r="O815">
        <f>Graph!$D$22*((Graph!$D$18-Y815)/POWER((((Graph!$D$18-$Y815)^2)+((Graph!$E$18-$Z815)^2))+(Graph!$D$23^2),(3/2)))</f>
        <v>137.30339309146694</v>
      </c>
      <c r="P815" s="84">
        <f>Graph!$D$22*((Graph!$E$18-Z815)/POWER((((Graph!$D$18-$Y815)^2)+((Graph!$E$18-$Z815)^2))+(Graph!$D$23^2),3/2))</f>
        <v>42.816233938690779</v>
      </c>
      <c r="Q815">
        <f>Graph!$D$31*((Graph!$D$27-Y815)/POWER((((Graph!$D$27-$Y815)^2)+((Graph!$E$27-$Z815)^2))+(Graph!$D$32^2),3/2))</f>
        <v>167.81543119668021</v>
      </c>
      <c r="R815">
        <f>Graph!$D$31*((Graph!$E$27-Z815)/POWER((((Graph!$D$27-$Y815)^2)+((Graph!$E$27-$Z815)^2))+(Graph!$D$32^2),3/2))</f>
        <v>134.4527614942813</v>
      </c>
      <c r="S815">
        <f>Graph!$D$40*((Graph!$D$36-Y815)/POWER((((Graph!$D$36-$Y815)^2)+((Graph!$E$36-$Z815)^2))+(Graph!$D$41^2),3/2))</f>
        <v>274.92190710721206</v>
      </c>
      <c r="T815">
        <f>Graph!$D$40*((Graph!$E$36-Z815)/POWER((((Graph!$D$36-$Y815)^2)+((Graph!$E$36-$Z815)^2))+(Graph!$D$41^2),3/2))</f>
        <v>-46.341423996573944</v>
      </c>
      <c r="U815">
        <f>O815+Q815+S815</f>
        <v>580.04073139535922</v>
      </c>
      <c r="V815">
        <f>P815+R815+T815</f>
        <v>130.92757143639813</v>
      </c>
      <c r="W815">
        <f>W814+(U814*Graph!$D$5)</f>
        <v>-1325.6891915578094</v>
      </c>
      <c r="X815">
        <f>X814+(V814*Graph!$D$5)</f>
        <v>-3942.025994070842</v>
      </c>
      <c r="Y815">
        <f>Y814+(W814*Graph!$D$5)+(U814*Graph!$D$5^2)</f>
        <v>-42303.288932648698</v>
      </c>
      <c r="Z815">
        <f>Z814+(X814*Graph!$D$5)+(V814*Graph!$D$5^2)</f>
        <v>-7869.2672420865074</v>
      </c>
    </row>
    <row r="816" spans="14:26" x14ac:dyDescent="0.35">
      <c r="N816">
        <f>N815+1</f>
        <v>813</v>
      </c>
      <c r="O816">
        <f>Graph!$D$22*((Graph!$D$18-Y816)/POWER((((Graph!$D$18-$Y816)^2)+((Graph!$E$18-$Z816)^2))+(Graph!$D$23^2),(3/2)))</f>
        <v>131.27914783570523</v>
      </c>
      <c r="P816" s="84">
        <f>Graph!$D$22*((Graph!$E$18-Z816)/POWER((((Graph!$D$18-$Y816)^2)+((Graph!$E$18-$Z816)^2))+(Graph!$D$23^2),3/2))</f>
        <v>44.971766668569011</v>
      </c>
      <c r="Q816">
        <f>Graph!$D$31*((Graph!$D$27-Y816)/POWER((((Graph!$D$27-$Y816)^2)+((Graph!$E$27-$Z816)^2))+(Graph!$D$32^2),3/2))</f>
        <v>145.59306789693366</v>
      </c>
      <c r="R816">
        <f>Graph!$D$31*((Graph!$E$27-Z816)/POWER((((Graph!$D$27-$Y816)^2)+((Graph!$E$27-$Z816)^2))+(Graph!$D$32^2),3/2))</f>
        <v>126.36721197197066</v>
      </c>
      <c r="S816">
        <f>Graph!$D$40*((Graph!$D$36-Y816)/POWER((((Graph!$D$36-$Y816)^2)+((Graph!$E$36-$Z816)^2))+(Graph!$D$41^2),3/2))</f>
        <v>273.8286053676124</v>
      </c>
      <c r="T816">
        <f>Graph!$D$40*((Graph!$E$36-Z816)/POWER((((Graph!$D$36-$Y816)^2)+((Graph!$E$36-$Z816)^2))+(Graph!$D$41^2),3/2))</f>
        <v>-33.204215202551566</v>
      </c>
      <c r="U816">
        <f>O816+Q816+S816</f>
        <v>550.70082110025123</v>
      </c>
      <c r="V816">
        <f>P816+R816+T816</f>
        <v>138.13476343798811</v>
      </c>
      <c r="W816">
        <f>W815+(U815*Graph!$D$5)</f>
        <v>-1035.6688258601298</v>
      </c>
      <c r="X816">
        <f>X815+(V815*Graph!$D$5)</f>
        <v>-3876.5622083526428</v>
      </c>
      <c r="Y816">
        <f>Y815+(W815*Graph!$D$5)+(U815*Graph!$D$5^2)</f>
        <v>-42821.123345578766</v>
      </c>
      <c r="Z816">
        <f>Z815+(X815*Graph!$D$5)+(V815*Graph!$D$5^2)</f>
        <v>-9807.548346262829</v>
      </c>
    </row>
    <row r="817" spans="14:26" x14ac:dyDescent="0.35">
      <c r="N817">
        <f>N816+1</f>
        <v>814</v>
      </c>
      <c r="O817">
        <f>Graph!$D$22*((Graph!$D$18-Y817)/POWER((((Graph!$D$18-$Y817)^2)+((Graph!$E$18-$Z817)^2))+(Graph!$D$23^2),(3/2)))</f>
        <v>125.90732041286496</v>
      </c>
      <c r="P817" s="84">
        <f>Graph!$D$22*((Graph!$E$18-Z817)/POWER((((Graph!$D$18-$Y817)^2)+((Graph!$E$18-$Z817)^2))+(Graph!$D$23^2),3/2))</f>
        <v>46.968227363023757</v>
      </c>
      <c r="Q817">
        <f>Graph!$D$31*((Graph!$D$27-Y817)/POWER((((Graph!$D$27-$Y817)^2)+((Graph!$E$27-$Z817)^2))+(Graph!$D$32^2),3/2))</f>
        <v>127.54783516039963</v>
      </c>
      <c r="R817">
        <f>Graph!$D$31*((Graph!$E$27-Z817)/POWER((((Graph!$D$27-$Y817)^2)+((Graph!$E$27-$Z817)^2))+(Graph!$D$32^2),3/2))</f>
        <v>119.35671083302147</v>
      </c>
      <c r="S817">
        <f>Graph!$D$40*((Graph!$D$36-Y817)/POWER((((Graph!$D$36-$Y817)^2)+((Graph!$E$36-$Z817)^2))+(Graph!$D$41^2),3/2))</f>
        <v>272.66067597705097</v>
      </c>
      <c r="T817">
        <f>Graph!$D$40*((Graph!$E$36-Z817)/POWER((((Graph!$D$36-$Y817)^2)+((Graph!$E$36-$Z817)^2))+(Graph!$D$41^2),3/2))</f>
        <v>-20.756335652226699</v>
      </c>
      <c r="U817">
        <f>O817+Q817+S817</f>
        <v>526.11583155031553</v>
      </c>
      <c r="V817">
        <f>P817+R817+T817</f>
        <v>145.56860254381851</v>
      </c>
      <c r="W817">
        <f>W816+(U816*Graph!$D$5)</f>
        <v>-760.31841531000418</v>
      </c>
      <c r="X817">
        <f>X816+(V816*Graph!$D$5)</f>
        <v>-3807.4948266336487</v>
      </c>
      <c r="Y817">
        <f>Y816+(W816*Graph!$D$5)+(U816*Graph!$D$5^2)</f>
        <v>-43201.282553233774</v>
      </c>
      <c r="Z817">
        <f>Z816+(X816*Graph!$D$5)+(V816*Graph!$D$5^2)</f>
        <v>-11711.295759579654</v>
      </c>
    </row>
    <row r="818" spans="14:26" x14ac:dyDescent="0.35">
      <c r="N818">
        <f>N817+1</f>
        <v>815</v>
      </c>
      <c r="O818">
        <f>Graph!$D$22*((Graph!$D$18-Y818)/POWER((((Graph!$D$18-$Y818)^2)+((Graph!$E$18-$Z818)^2))+(Graph!$D$23^2),(3/2)))</f>
        <v>121.09466947693421</v>
      </c>
      <c r="P818" s="84">
        <f>Graph!$D$22*((Graph!$E$18-Z818)/POWER((((Graph!$D$18-$Y818)^2)+((Graph!$E$18-$Z818)^2))+(Graph!$D$23^2),3/2))</f>
        <v>48.849498918431379</v>
      </c>
      <c r="Q818">
        <f>Graph!$D$31*((Graph!$D$27-Y818)/POWER((((Graph!$D$27-$Y818)^2)+((Graph!$E$27-$Z818)^2))+(Graph!$D$32^2),3/2))</f>
        <v>112.64510063505365</v>
      </c>
      <c r="R818">
        <f>Graph!$D$31*((Graph!$E$27-Z818)/POWER((((Graph!$D$27-$Y818)^2)+((Graph!$E$27-$Z818)^2))+(Graph!$D$32^2),3/2))</f>
        <v>113.26351358122841</v>
      </c>
      <c r="S818">
        <f>Graph!$D$40*((Graph!$D$36-Y818)/POWER((((Graph!$D$36-$Y818)^2)+((Graph!$E$36-$Z818)^2))+(Graph!$D$41^2),3/2))</f>
        <v>271.49586969235492</v>
      </c>
      <c r="T818">
        <f>Graph!$D$40*((Graph!$E$36-Z818)/POWER((((Graph!$D$36-$Y818)^2)+((Graph!$E$36-$Z818)^2))+(Graph!$D$41^2),3/2))</f>
        <v>-8.8812693042059223</v>
      </c>
      <c r="U818">
        <f>O818+Q818+S818</f>
        <v>505.23563980434278</v>
      </c>
      <c r="V818">
        <f>P818+R818+T818</f>
        <v>153.23174319545387</v>
      </c>
      <c r="W818">
        <f>W817+(U817*Graph!$D$5)</f>
        <v>-497.26049953484642</v>
      </c>
      <c r="X818">
        <f>X817+(V817*Graph!$D$5)</f>
        <v>-3734.7105253617397</v>
      </c>
      <c r="Y818">
        <f>Y817+(W817*Graph!$D$5)+(U817*Graph!$D$5^2)</f>
        <v>-43449.912803001193</v>
      </c>
      <c r="Z818">
        <f>Z817+(X817*Graph!$D$5)+(V817*Graph!$D$5^2)</f>
        <v>-13578.651022260525</v>
      </c>
    </row>
    <row r="819" spans="14:26" x14ac:dyDescent="0.35">
      <c r="N819">
        <f>N818+1</f>
        <v>816</v>
      </c>
      <c r="O819">
        <f>Graph!$D$22*((Graph!$D$18-Y819)/POWER((((Graph!$D$18-$Y819)^2)+((Graph!$E$18-$Z819)^2))+(Graph!$D$23^2),(3/2)))</f>
        <v>116.76557339941041</v>
      </c>
      <c r="P819" s="84">
        <f>Graph!$D$22*((Graph!$E$18-Z819)/POWER((((Graph!$D$18-$Y819)^2)+((Graph!$E$18-$Z819)^2))+(Graph!$D$23^2),3/2))</f>
        <v>50.651038156800112</v>
      </c>
      <c r="Q819">
        <f>Graph!$D$31*((Graph!$D$27-Y819)/POWER((((Graph!$D$27-$Y819)^2)+((Graph!$E$27-$Z819)^2))+(Graph!$D$32^2),3/2))</f>
        <v>100.1520701573303</v>
      </c>
      <c r="R819">
        <f>Graph!$D$31*((Graph!$E$27-Z819)/POWER((((Graph!$D$27-$Y819)^2)+((Graph!$E$27-$Z819)^2))+(Graph!$D$32^2),3/2))</f>
        <v>107.95046291252622</v>
      </c>
      <c r="S819">
        <f>Graph!$D$40*((Graph!$D$36-Y819)/POWER((((Graph!$D$36-$Y819)^2)+((Graph!$E$36-$Z819)^2))+(Graph!$D$41^2),3/2))</f>
        <v>270.39612739615052</v>
      </c>
      <c r="T819">
        <f>Graph!$D$40*((Graph!$E$36-Z819)/POWER((((Graph!$D$36-$Y819)^2)+((Graph!$E$36-$Z819)^2))+(Graph!$D$41^2),3/2))</f>
        <v>2.5300528403617908</v>
      </c>
      <c r="U819">
        <f>O819+Q819+S819</f>
        <v>487.31377095289122</v>
      </c>
      <c r="V819">
        <f>P819+R819+T819</f>
        <v>161.13155390968814</v>
      </c>
      <c r="W819">
        <f>W818+(U818*Graph!$D$5)</f>
        <v>-244.64267963267503</v>
      </c>
      <c r="X819">
        <f>X818+(V818*Graph!$D$5)</f>
        <v>-3658.0946537640129</v>
      </c>
      <c r="Y819">
        <f>Y818+(W818*Graph!$D$5)+(U818*Graph!$D$5^2)</f>
        <v>-43572.234142817535</v>
      </c>
      <c r="Z819">
        <f>Z818+(X818*Graph!$D$5)+(V818*Graph!$D$5^2)</f>
        <v>-15407.698349142533</v>
      </c>
    </row>
    <row r="820" spans="14:26" x14ac:dyDescent="0.35">
      <c r="N820">
        <f>N819+1</f>
        <v>817</v>
      </c>
      <c r="O820">
        <f>Graph!$D$22*((Graph!$D$18-Y820)/POWER((((Graph!$D$18-$Y820)^2)+((Graph!$E$18-$Z820)^2))+(Graph!$D$23^2),(3/2)))</f>
        <v>112.85794857823534</v>
      </c>
      <c r="P820" s="84">
        <f>Graph!$D$22*((Graph!$E$18-Z820)/POWER((((Graph!$D$18-$Y820)^2)+((Graph!$E$18-$Z820)^2))+(Graph!$D$23^2),3/2))</f>
        <v>52.402152911478176</v>
      </c>
      <c r="Q820">
        <f>Graph!$D$31*((Graph!$D$27-Y820)/POWER((((Graph!$D$27-$Y820)^2)+((Graph!$E$27-$Z820)^2))+(Graph!$D$32^2),3/2))</f>
        <v>89.537430204923382</v>
      </c>
      <c r="R820">
        <f>Graph!$D$31*((Graph!$E$27-Z820)/POWER((((Graph!$D$27-$Y820)^2)+((Graph!$E$27-$Z820)^2))+(Graph!$D$32^2),3/2))</f>
        <v>103.3016411100638</v>
      </c>
      <c r="S820">
        <f>Graph!$D$40*((Graph!$D$36-Y820)/POWER((((Graph!$D$36-$Y820)^2)+((Graph!$E$36-$Z820)^2))+(Graph!$D$41^2),3/2))</f>
        <v>269.41099641309347</v>
      </c>
      <c r="T820">
        <f>Graph!$D$40*((Graph!$E$36-Z820)/POWER((((Graph!$D$36-$Y820)^2)+((Graph!$E$36-$Z820)^2))+(Graph!$D$41^2),3/2))</f>
        <v>13.580771009249357</v>
      </c>
      <c r="U820">
        <f>O820+Q820+S820</f>
        <v>471.80637519625219</v>
      </c>
      <c r="V820">
        <f>P820+R820+T820</f>
        <v>169.28456503079133</v>
      </c>
      <c r="W820">
        <f>W819+(U819*Graph!$D$5)</f>
        <v>-0.98579415622941724</v>
      </c>
      <c r="X820">
        <f>X819+(V819*Graph!$D$5)</f>
        <v>-3577.5288768091687</v>
      </c>
      <c r="Y820">
        <f>Y819+(W819*Graph!$D$5)+(U819*Graph!$D$5^2)</f>
        <v>-43572.727039895646</v>
      </c>
      <c r="Z820">
        <f>Z819+(X819*Graph!$D$5)+(V819*Graph!$D$5^2)</f>
        <v>-17196.46278754712</v>
      </c>
    </row>
    <row r="821" spans="14:26" x14ac:dyDescent="0.35">
      <c r="N821">
        <f>N820+1</f>
        <v>818</v>
      </c>
      <c r="O821">
        <f>Graph!$D$22*((Graph!$D$18-Y821)/POWER((((Graph!$D$18-$Y821)^2)+((Graph!$E$18-$Z821)^2))+(Graph!$D$23^2),(3/2)))</f>
        <v>109.32028031474002</v>
      </c>
      <c r="P821" s="84">
        <f>Graph!$D$22*((Graph!$E$18-Z821)/POWER((((Graph!$D$18-$Y821)^2)+((Graph!$E$18-$Z821)^2))+(Graph!$D$23^2),3/2))</f>
        <v>54.127655145242038</v>
      </c>
      <c r="Q821">
        <f>Graph!$D$31*((Graph!$D$27-Y821)/POWER((((Graph!$D$27-$Y821)^2)+((Graph!$E$27-$Z821)^2))+(Graph!$D$32^2),3/2))</f>
        <v>80.407869356267625</v>
      </c>
      <c r="R821">
        <f>Graph!$D$31*((Graph!$E$27-Z821)/POWER((((Graph!$D$27-$Y821)^2)+((Graph!$E$27-$Z821)^2))+(Graph!$D$32^2),3/2))</f>
        <v>99.220242429074915</v>
      </c>
      <c r="S821">
        <f>Graph!$D$40*((Graph!$D$36-Y821)/POWER((((Graph!$D$36-$Y821)^2)+((Graph!$E$36-$Z821)^2))+(Graph!$D$41^2),3/2))</f>
        <v>268.58031176064293</v>
      </c>
      <c r="T821">
        <f>Graph!$D$40*((Graph!$E$36-Z821)/POWER((((Graph!$D$36-$Y821)^2)+((Graph!$E$36-$Z821)^2))+(Graph!$D$41^2),3/2))</f>
        <v>24.369587068408538</v>
      </c>
      <c r="U821">
        <f>O821+Q821+S821</f>
        <v>458.30846143165058</v>
      </c>
      <c r="V821">
        <f>P821+R821+T821</f>
        <v>177.71748464272551</v>
      </c>
      <c r="W821">
        <f>W820+(U820*Graph!$D$5)</f>
        <v>234.91739344189668</v>
      </c>
      <c r="X821">
        <f>X820+(V820*Graph!$D$5)</f>
        <v>-3492.8865942937728</v>
      </c>
      <c r="Y821">
        <f>Y820+(W820*Graph!$D$5)+(U820*Graph!$D$5^2)</f>
        <v>-43455.268343174692</v>
      </c>
      <c r="Z821">
        <f>Z820+(X820*Graph!$D$5)+(V820*Graph!$D$5^2)</f>
        <v>-18942.906084694008</v>
      </c>
    </row>
    <row r="822" spans="14:26" x14ac:dyDescent="0.35">
      <c r="N822">
        <f>N821+1</f>
        <v>819</v>
      </c>
      <c r="O822">
        <f>Graph!$D$22*((Graph!$D$18-Y822)/POWER((((Graph!$D$18-$Y822)^2)+((Graph!$E$18-$Z822)^2))+(Graph!$D$23^2),(3/2)))</f>
        <v>106.10941761831668</v>
      </c>
      <c r="P822" s="84">
        <f>Graph!$D$22*((Graph!$E$18-Z822)/POWER((((Graph!$D$18-$Y822)^2)+((Graph!$E$18-$Z822)^2))+(Graph!$D$23^2),3/2))</f>
        <v>55.849091057534508</v>
      </c>
      <c r="Q822">
        <f>Graph!$D$31*((Graph!$D$27-Y822)/POWER((((Graph!$D$27-$Y822)^2)+((Graph!$E$27-$Z822)^2))+(Graph!$D$32^2),3/2))</f>
        <v>72.466773995244878</v>
      </c>
      <c r="R822">
        <f>Graph!$D$31*((Graph!$E$27-Z822)/POWER((((Graph!$D$27-$Y822)^2)+((Graph!$E$27-$Z822)^2))+(Graph!$D$32^2),3/2))</f>
        <v>95.625726932835846</v>
      </c>
      <c r="S822">
        <f>Graph!$D$40*((Graph!$D$36-Y822)/POWER((((Graph!$D$36-$Y822)^2)+((Graph!$E$36-$Z822)^2))+(Graph!$D$41^2),3/2))</f>
        <v>267.93629124608793</v>
      </c>
      <c r="T822">
        <f>Graph!$D$40*((Graph!$E$36-Z822)/POWER((((Graph!$D$36-$Y822)^2)+((Graph!$E$36-$Z822)^2))+(Graph!$D$41^2),3/2))</f>
        <v>34.992267895613068</v>
      </c>
      <c r="U822">
        <f>O822+Q822+S822</f>
        <v>446.51248285964948</v>
      </c>
      <c r="V822">
        <f>P822+R822+T822</f>
        <v>186.46708588598341</v>
      </c>
      <c r="W822">
        <f>W821+(U821*Graph!$D$5)</f>
        <v>464.071624157722</v>
      </c>
      <c r="X822">
        <f>X821+(V821*Graph!$D$5)</f>
        <v>-3404.0278519724102</v>
      </c>
      <c r="Y822">
        <f>Y821+(W821*Graph!$D$5)+(U821*Graph!$D$5^2)</f>
        <v>-43223.232531095833</v>
      </c>
      <c r="Z822">
        <f>Z821+(X821*Graph!$D$5)+(V821*Graph!$D$5^2)</f>
        <v>-20644.920010680213</v>
      </c>
    </row>
    <row r="823" spans="14:26" x14ac:dyDescent="0.35">
      <c r="N823">
        <f>N822+1</f>
        <v>820</v>
      </c>
      <c r="O823">
        <f>Graph!$D$22*((Graph!$D$18-Y823)/POWER((((Graph!$D$18-$Y823)^2)+((Graph!$E$18-$Z823)^2))+(Graph!$D$23^2),(3/2)))</f>
        <v>103.18890515728248</v>
      </c>
      <c r="P823" s="84">
        <f>Graph!$D$22*((Graph!$E$18-Z823)/POWER((((Graph!$D$18-$Y823)^2)+((Graph!$E$18-$Z823)^2))+(Graph!$D$23^2),3/2))</f>
        <v>57.585680840876527</v>
      </c>
      <c r="Q823">
        <f>Graph!$D$31*((Graph!$D$27-Y823)/POWER((((Graph!$D$27-$Y823)^2)+((Graph!$E$27-$Z823)^2))+(Graph!$D$32^2),3/2))</f>
        <v>65.486665609103738</v>
      </c>
      <c r="R823">
        <f>Graph!$D$31*((Graph!$E$27-Z823)/POWER((((Graph!$D$27-$Y823)^2)+((Graph!$E$27-$Z823)^2))+(Graph!$D$32^2),3/2))</f>
        <v>92.451046888274362</v>
      </c>
      <c r="S823">
        <f>Graph!$D$40*((Graph!$D$36-Y823)/POWER((((Graph!$D$36-$Y823)^2)+((Graph!$E$36-$Z823)^2))+(Graph!$D$41^2),3/2))</f>
        <v>267.50515808021458</v>
      </c>
      <c r="T823">
        <f>Graph!$D$40*((Graph!$E$36-Z823)/POWER((((Graph!$D$36-$Y823)^2)+((Graph!$E$36-$Z823)^2))+(Graph!$D$41^2),3/2))</f>
        <v>45.543193673559969</v>
      </c>
      <c r="U823">
        <f>O823+Q823+S823</f>
        <v>436.1807288466008</v>
      </c>
      <c r="V823">
        <f>P823+R823+T823</f>
        <v>195.57992140271085</v>
      </c>
      <c r="W823">
        <f>W822+(U822*Graph!$D$5)</f>
        <v>687.32786558754674</v>
      </c>
      <c r="X823">
        <f>X822+(V822*Graph!$D$5)</f>
        <v>-3310.7943090294184</v>
      </c>
      <c r="Y823">
        <f>Y822+(W822*Graph!$D$5)+(U822*Graph!$D$5^2)</f>
        <v>-42879.568598302059</v>
      </c>
      <c r="Z823">
        <f>Z822+(X822*Graph!$D$5)+(V822*Graph!$D$5^2)</f>
        <v>-22300.31716519492</v>
      </c>
    </row>
    <row r="824" spans="14:26" x14ac:dyDescent="0.35">
      <c r="N824">
        <f>N823+1</f>
        <v>821</v>
      </c>
      <c r="O824">
        <f>Graph!$D$22*((Graph!$D$18-Y824)/POWER((((Graph!$D$18-$Y824)^2)+((Graph!$E$18-$Z824)^2))+(Graph!$D$23^2),(3/2)))</f>
        <v>100.52770059939941</v>
      </c>
      <c r="P824" s="84">
        <f>Graph!$D$22*((Graph!$E$18-Z824)/POWER((((Graph!$D$18-$Y824)^2)+((Graph!$E$18-$Z824)^2))+(Graph!$D$23^2),3/2))</f>
        <v>59.355058129487858</v>
      </c>
      <c r="Q824">
        <f>Graph!$D$31*((Graph!$D$27-Y824)/POWER((((Graph!$D$27-$Y824)^2)+((Graph!$E$27-$Z824)^2))+(Graph!$D$32^2),3/2))</f>
        <v>59.290387179949057</v>
      </c>
      <c r="R824">
        <f>Graph!$D$31*((Graph!$E$27-Z824)/POWER((((Graph!$D$27-$Y824)^2)+((Graph!$E$27-$Z824)^2))+(Graph!$D$32^2),3/2))</f>
        <v>89.640212360917943</v>
      </c>
      <c r="S824">
        <f>Graph!$D$40*((Graph!$D$36-Y824)/POWER((((Graph!$D$36-$Y824)^2)+((Graph!$E$36-$Z824)^2))+(Graph!$D$41^2),3/2))</f>
        <v>267.30837573194361</v>
      </c>
      <c r="T824">
        <f>Graph!$D$40*((Graph!$E$36-Z824)/POWER((((Graph!$D$36-$Y824)^2)+((Graph!$E$36-$Z824)^2))+(Graph!$D$41^2),3/2))</f>
        <v>56.116984371168165</v>
      </c>
      <c r="U824">
        <f>O824+Q824+S824</f>
        <v>427.12646351129206</v>
      </c>
      <c r="V824">
        <f>P824+R824+T824</f>
        <v>205.11225486157397</v>
      </c>
      <c r="W824">
        <f>W823+(U823*Graph!$D$5)</f>
        <v>905.41823001084708</v>
      </c>
      <c r="X824">
        <f>X823+(V823*Graph!$D$5)</f>
        <v>-3213.0043483280629</v>
      </c>
      <c r="Y824">
        <f>Y823+(W823*Graph!$D$5)+(U823*Graph!$D$5^2)</f>
        <v>-42426.859483296634</v>
      </c>
      <c r="Z824">
        <f>Z823+(X823*Graph!$D$5)+(V823*Graph!$D$5^2)</f>
        <v>-23906.819339358954</v>
      </c>
    </row>
    <row r="825" spans="14:26" x14ac:dyDescent="0.35">
      <c r="N825">
        <f>N824+1</f>
        <v>822</v>
      </c>
      <c r="O825">
        <f>Graph!$D$22*((Graph!$D$18-Y825)/POWER((((Graph!$D$18-$Y825)^2)+((Graph!$E$18-$Z825)^2))+(Graph!$D$23^2),(3/2)))</f>
        <v>98.099173188430839</v>
      </c>
      <c r="P825" s="84">
        <f>Graph!$D$22*((Graph!$E$18-Z825)/POWER((((Graph!$D$18-$Y825)^2)+((Graph!$E$18-$Z825)^2))+(Graph!$D$23^2),3/2))</f>
        <v>61.173872087245087</v>
      </c>
      <c r="Q825">
        <f>Graph!$D$31*((Graph!$D$27-Y825)/POWER((((Graph!$D$27-$Y825)^2)+((Graph!$E$27-$Z825)^2))+(Graph!$D$32^2),3/2))</f>
        <v>53.73799681560093</v>
      </c>
      <c r="R825">
        <f>Graph!$D$31*((Graph!$E$27-Z825)/POWER((((Graph!$D$27-$Y825)^2)+((Graph!$E$27-$Z825)^2))+(Graph!$D$32^2),3/2))</f>
        <v>87.146249718322636</v>
      </c>
      <c r="S825">
        <f>Graph!$D$40*((Graph!$D$36-Y825)/POWER((((Graph!$D$36-$Y825)^2)+((Graph!$E$36-$Z825)^2))+(Graph!$D$41^2),3/2))</f>
        <v>267.36355525756329</v>
      </c>
      <c r="T825">
        <f>Graph!$D$40*((Graph!$E$36-Z825)/POWER((((Graph!$D$36-$Y825)^2)+((Graph!$E$36-$Z825)^2))+(Graph!$D$41^2),3/2))</f>
        <v>66.81024423915872</v>
      </c>
      <c r="U825">
        <f>O825+Q825+S825</f>
        <v>419.20072526159504</v>
      </c>
      <c r="V825">
        <f>P825+R825+T825</f>
        <v>215.13036604472646</v>
      </c>
      <c r="W825">
        <f>W824+(U824*Graph!$D$5)</f>
        <v>1118.9814617664931</v>
      </c>
      <c r="X825">
        <f>X824+(V824*Graph!$D$5)</f>
        <v>-3110.4482208972759</v>
      </c>
      <c r="Y825">
        <f>Y824+(W824*Graph!$D$5)+(U824*Graph!$D$5^2)</f>
        <v>-41867.368752413386</v>
      </c>
      <c r="Z825">
        <f>Z824+(X824*Graph!$D$5)+(V824*Graph!$D$5^2)</f>
        <v>-25462.043449807592</v>
      </c>
    </row>
    <row r="826" spans="14:26" x14ac:dyDescent="0.35">
      <c r="N826">
        <f>N825+1</f>
        <v>823</v>
      </c>
      <c r="O826">
        <f>Graph!$D$22*((Graph!$D$18-Y826)/POWER((((Graph!$D$18-$Y826)^2)+((Graph!$E$18-$Z826)^2))+(Graph!$D$23^2),(3/2)))</f>
        <v>95.880310399480109</v>
      </c>
      <c r="P826" s="84">
        <f>Graph!$D$22*((Graph!$E$18-Z826)/POWER((((Graph!$D$18-$Y826)^2)+((Graph!$E$18-$Z826)^2))+(Graph!$D$23^2),3/2))</f>
        <v>63.05829766699928</v>
      </c>
      <c r="Q826">
        <f>Graph!$D$31*((Graph!$D$27-Y826)/POWER((((Graph!$D$27-$Y826)^2)+((Graph!$E$27-$Z826)^2))+(Graph!$D$32^2),3/2))</f>
        <v>48.717466594847046</v>
      </c>
      <c r="R826">
        <f>Graph!$D$31*((Graph!$E$27-Z826)/POWER((((Graph!$D$27-$Y826)^2)+((Graph!$E$27-$Z826)^2))+(Graph!$D$32^2),3/2))</f>
        <v>84.92952569265907</v>
      </c>
      <c r="S826">
        <f>Graph!$D$40*((Graph!$D$36-Y826)/POWER((((Graph!$D$36-$Y826)^2)+((Graph!$E$36-$Z826)^2))+(Graph!$D$41^2),3/2))</f>
        <v>267.68507360579565</v>
      </c>
      <c r="T826">
        <f>Graph!$D$40*((Graph!$E$36-Z826)/POWER((((Graph!$D$36-$Y826)^2)+((Graph!$E$36-$Z826)^2))+(Graph!$D$41^2),3/2))</f>
        <v>77.723474126360486</v>
      </c>
      <c r="U826">
        <f>O826+Q826+S826</f>
        <v>412.2828506001228</v>
      </c>
      <c r="V826">
        <f>P826+R826+T826</f>
        <v>225.71129748601885</v>
      </c>
      <c r="W826">
        <f>W825+(U825*Graph!$D$5)</f>
        <v>1328.5818243972906</v>
      </c>
      <c r="X826">
        <f>X825+(V825*Graph!$D$5)</f>
        <v>-3002.8830378749126</v>
      </c>
      <c r="Y826">
        <f>Y825+(W825*Graph!$D$5)+(U825*Graph!$D$5^2)</f>
        <v>-41203.077840214741</v>
      </c>
      <c r="Z826">
        <f>Z825+(X825*Graph!$D$5)+(V825*Graph!$D$5^2)</f>
        <v>-26963.484968745048</v>
      </c>
    </row>
    <row r="827" spans="14:26" x14ac:dyDescent="0.35">
      <c r="N827">
        <f>N826+1</f>
        <v>824</v>
      </c>
      <c r="O827">
        <f>Graph!$D$22*((Graph!$D$18-Y827)/POWER((((Graph!$D$18-$Y827)^2)+((Graph!$E$18-$Z827)^2))+(Graph!$D$23^2),(3/2)))</f>
        <v>93.851080143073972</v>
      </c>
      <c r="P827" s="84">
        <f>Graph!$D$22*((Graph!$E$18-Z827)/POWER((((Graph!$D$18-$Y827)^2)+((Graph!$E$18-$Z827)^2))+(Graph!$D$23^2),3/2))</f>
        <v>65.024488404217266</v>
      </c>
      <c r="Q827">
        <f>Graph!$D$31*((Graph!$D$27-Y827)/POWER((((Graph!$D$27-$Y827)^2)+((Graph!$E$27-$Z827)^2))+(Graph!$D$32^2),3/2))</f>
        <v>44.137969042654682</v>
      </c>
      <c r="R827">
        <f>Graph!$D$31*((Graph!$E$27-Z827)/POWER((((Graph!$D$27-$Y827)^2)+((Graph!$E$27-$Z827)^2))+(Graph!$D$32^2),3/2))</f>
        <v>82.956384161439416</v>
      </c>
      <c r="S827">
        <f>Graph!$D$40*((Graph!$D$36-Y827)/POWER((((Graph!$D$36-$Y827)^2)+((Graph!$E$36-$Z827)^2))+(Graph!$D$41^2),3/2))</f>
        <v>268.28442074562122</v>
      </c>
      <c r="T827">
        <f>Graph!$D$40*((Graph!$E$36-Z827)/POWER((((Graph!$D$36-$Y827)^2)+((Graph!$E$36-$Z827)^2))+(Graph!$D$41^2),3/2))</f>
        <v>88.96321454516027</v>
      </c>
      <c r="U827">
        <f>O827+Q827+S827</f>
        <v>406.27346993134984</v>
      </c>
      <c r="V827">
        <f>P827+R827+T827</f>
        <v>236.94408711081695</v>
      </c>
      <c r="W827">
        <f>W826+(U826*Graph!$D$5)</f>
        <v>1534.723249697352</v>
      </c>
      <c r="X827">
        <f>X826+(V826*Graph!$D$5)</f>
        <v>-2890.027389131903</v>
      </c>
      <c r="Y827">
        <f>Y826+(W826*Graph!$D$5)+(U826*Graph!$D$5^2)</f>
        <v>-40435.716215366068</v>
      </c>
      <c r="Z827">
        <f>Z826+(X826*Graph!$D$5)+(V826*Graph!$D$5^2)</f>
        <v>-28408.498663310998</v>
      </c>
    </row>
    <row r="828" spans="14:26" x14ac:dyDescent="0.35">
      <c r="N828">
        <f>N827+1</f>
        <v>825</v>
      </c>
      <c r="O828">
        <f>Graph!$D$22*((Graph!$D$18-Y828)/POWER((((Graph!$D$18-$Y828)^2)+((Graph!$E$18-$Z828)^2))+(Graph!$D$23^2),(3/2)))</f>
        <v>91.993909952410121</v>
      </c>
      <c r="P828" s="84">
        <f>Graph!$D$22*((Graph!$E$18-Z828)/POWER((((Graph!$D$18-$Y828)^2)+((Graph!$E$18-$Z828)^2))+(Graph!$D$23^2),3/2))</f>
        <v>67.08899913807042</v>
      </c>
      <c r="Q828">
        <f>Graph!$D$31*((Graph!$D$27-Y828)/POWER((((Graph!$D$27-$Y828)^2)+((Graph!$E$27-$Z828)^2))+(Graph!$D$32^2),3/2))</f>
        <v>39.924954937854714</v>
      </c>
      <c r="R828">
        <f>Graph!$D$31*((Graph!$E$27-Z828)/POWER((((Graph!$D$27-$Y828)^2)+((Graph!$E$27-$Z828)^2))+(Graph!$D$32^2),3/2))</f>
        <v>81.198039953691492</v>
      </c>
      <c r="S828">
        <f>Graph!$D$40*((Graph!$D$36-Y828)/POWER((((Graph!$D$36-$Y828)^2)+((Graph!$E$36-$Z828)^2))+(Graph!$D$41^2),3/2))</f>
        <v>269.17027205543593</v>
      </c>
      <c r="T828">
        <f>Graph!$D$40*((Graph!$E$36-Z828)/POWER((((Graph!$D$36-$Y828)^2)+((Graph!$E$36-$Z828)^2))+(Graph!$D$41^2),3/2))</f>
        <v>100.64449924752368</v>
      </c>
      <c r="U828">
        <f>O828+Q828+S828</f>
        <v>401.08913694570077</v>
      </c>
      <c r="V828">
        <f>P828+R828+T828</f>
        <v>248.93153833928562</v>
      </c>
      <c r="W828">
        <f>W827+(U827*Graph!$D$5)</f>
        <v>1737.8599846630268</v>
      </c>
      <c r="X828">
        <f>X827+(V827*Graph!$D$5)</f>
        <v>-2771.5553455764943</v>
      </c>
      <c r="Y828">
        <f>Y827+(W827*Graph!$D$5)+(U827*Graph!$D$5^2)</f>
        <v>-39566.786223034556</v>
      </c>
      <c r="Z828">
        <f>Z827+(X827*Graph!$D$5)+(V827*Graph!$D$5^2)</f>
        <v>-29794.276336099243</v>
      </c>
    </row>
    <row r="829" spans="14:26" x14ac:dyDescent="0.35">
      <c r="N829">
        <f>N828+1</f>
        <v>826</v>
      </c>
      <c r="O829">
        <f>Graph!$D$22*((Graph!$D$18-Y829)/POWER((((Graph!$D$18-$Y829)^2)+((Graph!$E$18-$Z829)^2))+(Graph!$D$23^2),(3/2)))</f>
        <v>90.293254148105504</v>
      </c>
      <c r="P829" s="84">
        <f>Graph!$D$22*((Graph!$E$18-Z829)/POWER((((Graph!$D$18-$Y829)^2)+((Graph!$E$18-$Z829)^2))+(Graph!$D$23^2),3/2))</f>
        <v>69.26920206890702</v>
      </c>
      <c r="Q829">
        <f>Graph!$D$31*((Graph!$D$27-Y829)/POWER((((Graph!$D$27-$Y829)^2)+((Graph!$E$27-$Z829)^2))+(Graph!$D$32^2),3/2))</f>
        <v>36.016491370373359</v>
      </c>
      <c r="R829">
        <f>Graph!$D$31*((Graph!$E$27-Z829)/POWER((((Graph!$D$27-$Y829)^2)+((Graph!$E$27-$Z829)^2))+(Graph!$D$32^2),3/2))</f>
        <v>79.629679530139441</v>
      </c>
      <c r="S829">
        <f>Graph!$D$40*((Graph!$D$36-Y829)/POWER((((Graph!$D$36-$Y829)^2)+((Graph!$E$36-$Z829)^2))+(Graph!$D$41^2),3/2))</f>
        <v>270.34825804648545</v>
      </c>
      <c r="T829">
        <f>Graph!$D$40*((Graph!$E$36-Z829)/POWER((((Graph!$D$36-$Y829)^2)+((Graph!$E$36-$Z829)^2))+(Graph!$D$41^2),3/2))</f>
        <v>112.89372077028591</v>
      </c>
      <c r="U829">
        <f>O829+Q829+S829</f>
        <v>396.6580035649643</v>
      </c>
      <c r="V829">
        <f>P829+R829+T829</f>
        <v>261.79260236933237</v>
      </c>
      <c r="W829">
        <f>W828+(U828*Graph!$D$5)</f>
        <v>1938.4045531358772</v>
      </c>
      <c r="X829">
        <f>X828+(V828*Graph!$D$5)</f>
        <v>-2647.0895764068514</v>
      </c>
      <c r="Y829">
        <f>Y828+(W828*Graph!$D$5)+(U828*Graph!$D$5^2)</f>
        <v>-38597.583946466621</v>
      </c>
      <c r="Z829">
        <f>Z828+(X828*Graph!$D$5)+(V828*Graph!$D$5^2)</f>
        <v>-31117.821124302671</v>
      </c>
    </row>
    <row r="830" spans="14:26" x14ac:dyDescent="0.35">
      <c r="N830">
        <f>N829+1</f>
        <v>827</v>
      </c>
      <c r="O830">
        <f>Graph!$D$22*((Graph!$D$18-Y830)/POWER((((Graph!$D$18-$Y830)^2)+((Graph!$E$18-$Z830)^2))+(Graph!$D$23^2),(3/2)))</f>
        <v>88.735226531791682</v>
      </c>
      <c r="P830" s="84">
        <f>Graph!$D$22*((Graph!$E$18-Z830)/POWER((((Graph!$D$18-$Y830)^2)+((Graph!$E$18-$Z830)^2))+(Graph!$D$23^2),3/2))</f>
        <v>71.583717876430768</v>
      </c>
      <c r="Q830">
        <f>Graph!$D$31*((Graph!$D$27-Y830)/POWER((((Graph!$D$27-$Y830)^2)+((Graph!$E$27-$Z830)^2))+(Graph!$D$32^2),3/2))</f>
        <v>32.360499384306365</v>
      </c>
      <c r="R830">
        <f>Graph!$D$31*((Graph!$E$27-Z830)/POWER((((Graph!$D$27-$Y830)^2)+((Graph!$E$27-$Z830)^2))+(Graph!$D$32^2),3/2))</f>
        <v>78.229726257734214</v>
      </c>
      <c r="S830">
        <f>Graph!$D$40*((Graph!$D$36-Y830)/POWER((((Graph!$D$36-$Y830)^2)+((Graph!$E$36-$Z830)^2))+(Graph!$D$41^2),3/2))</f>
        <v>271.82037327842937</v>
      </c>
      <c r="T830">
        <f>Graph!$D$40*((Graph!$E$36-Z830)/POWER((((Graph!$D$36-$Y830)^2)+((Graph!$E$36-$Z830)^2))+(Graph!$D$41^2),3/2))</f>
        <v>125.85203764919366</v>
      </c>
      <c r="U830">
        <f>O830+Q830+S830</f>
        <v>392.91609919452742</v>
      </c>
      <c r="V830">
        <f>P830+R830+T830</f>
        <v>275.66548178335864</v>
      </c>
      <c r="W830">
        <f>W829+(U829*Graph!$D$5)</f>
        <v>2136.7335549183595</v>
      </c>
      <c r="X830">
        <f>X829+(V829*Graph!$D$5)</f>
        <v>-2516.1932752221851</v>
      </c>
      <c r="Y830">
        <f>Y829+(W829*Graph!$D$5)+(U829*Graph!$D$5^2)</f>
        <v>-37529.217169007447</v>
      </c>
      <c r="Z830">
        <f>Z829+(X829*Graph!$D$5)+(V829*Graph!$D$5^2)</f>
        <v>-32375.917761913763</v>
      </c>
    </row>
    <row r="831" spans="14:26" x14ac:dyDescent="0.35">
      <c r="N831">
        <f>N830+1</f>
        <v>828</v>
      </c>
      <c r="O831">
        <f>Graph!$D$22*((Graph!$D$18-Y831)/POWER((((Graph!$D$18-$Y831)^2)+((Graph!$E$18-$Z831)^2))+(Graph!$D$23^2),(3/2)))</f>
        <v>87.307280591103464</v>
      </c>
      <c r="P831" s="84">
        <f>Graph!$D$22*((Graph!$E$18-Z831)/POWER((((Graph!$D$18-$Y831)^2)+((Graph!$E$18-$Z831)^2))+(Graph!$D$23^2),3/2))</f>
        <v>74.052883914254735</v>
      </c>
      <c r="Q831">
        <f>Graph!$D$31*((Graph!$D$27-Y831)/POWER((((Graph!$D$27-$Y831)^2)+((Graph!$E$27-$Z831)^2))+(Graph!$D$32^2),3/2))</f>
        <v>28.912642107631921</v>
      </c>
      <c r="R831">
        <f>Graph!$D$31*((Graph!$E$27-Z831)/POWER((((Graph!$D$27-$Y831)^2)+((Graph!$E$27-$Z831)^2))+(Graph!$D$32^2),3/2))</f>
        <v>76.979235751201216</v>
      </c>
      <c r="S831">
        <f>Graph!$D$40*((Graph!$D$36-Y831)/POWER((((Graph!$D$36-$Y831)^2)+((Graph!$E$36-$Z831)^2))+(Graph!$D$41^2),3/2))</f>
        <v>273.58392620771656</v>
      </c>
      <c r="T831">
        <f>Graph!$D$40*((Graph!$E$36-Z831)/POWER((((Graph!$D$36-$Y831)^2)+((Graph!$E$36-$Z831)^2))+(Graph!$D$41^2),3/2))</f>
        <v>139.67949004553813</v>
      </c>
      <c r="U831">
        <f>O831+Q831+S831</f>
        <v>389.80384890645195</v>
      </c>
      <c r="V831">
        <f>P831+R831+T831</f>
        <v>290.71160971099408</v>
      </c>
      <c r="W831">
        <f>W830+(U830*Graph!$D$5)</f>
        <v>2333.1916045156231</v>
      </c>
      <c r="X831">
        <f>X830+(V830*Graph!$D$5)</f>
        <v>-2378.3605343305057</v>
      </c>
      <c r="Y831">
        <f>Y830+(W830*Graph!$D$5)+(U830*Graph!$D$5^2)</f>
        <v>-36362.621366749634</v>
      </c>
      <c r="Z831">
        <f>Z830+(X830*Graph!$D$5)+(V830*Graph!$D$5^2)</f>
        <v>-33565.098029079018</v>
      </c>
    </row>
    <row r="832" spans="14:26" x14ac:dyDescent="0.35">
      <c r="N832">
        <f>N831+1</f>
        <v>829</v>
      </c>
      <c r="O832">
        <f>Graph!$D$22*((Graph!$D$18-Y832)/POWER((((Graph!$D$18-$Y832)^2)+((Graph!$E$18-$Z832)^2))+(Graph!$D$23^2),(3/2)))</f>
        <v>85.997922045598912</v>
      </c>
      <c r="P832" s="84">
        <f>Graph!$D$22*((Graph!$E$18-Z832)/POWER((((Graph!$D$18-$Y832)^2)+((Graph!$E$18-$Z832)^2))+(Graph!$D$23^2),3/2))</f>
        <v>76.699283723060162</v>
      </c>
      <c r="Q832">
        <f>Graph!$D$31*((Graph!$D$27-Y832)/POWER((((Graph!$D$27-$Y832)^2)+((Graph!$E$27-$Z832)^2))+(Graph!$D$32^2),3/2))</f>
        <v>25.634688539138498</v>
      </c>
      <c r="R832">
        <f>Graph!$D$31*((Graph!$E$27-Z832)/POWER((((Graph!$D$27-$Y832)^2)+((Graph!$E$27-$Z832)^2))+(Graph!$D$32^2),3/2))</f>
        <v>75.861393522133724</v>
      </c>
      <c r="S832">
        <f>Graph!$D$40*((Graph!$D$36-Y832)/POWER((((Graph!$D$36-$Y832)^2)+((Graph!$E$36-$Z832)^2))+(Graph!$D$41^2),3/2))</f>
        <v>275.62987574498999</v>
      </c>
      <c r="T832">
        <f>Graph!$D$40*((Graph!$E$36-Z832)/POWER((((Graph!$D$36-$Y832)^2)+((Graph!$E$36-$Z832)^2))+(Graph!$D$41^2),3/2))</f>
        <v>154.56003933162813</v>
      </c>
      <c r="U832">
        <f>O832+Q832+S832</f>
        <v>387.26248632972738</v>
      </c>
      <c r="V832">
        <f>P832+R832+T832</f>
        <v>307.12071657682202</v>
      </c>
      <c r="W832">
        <f>W831+(U831*Graph!$D$5)</f>
        <v>2528.0935289688491</v>
      </c>
      <c r="X832">
        <f>X831+(V831*Graph!$D$5)</f>
        <v>-2233.0047294750088</v>
      </c>
      <c r="Y832">
        <f>Y831+(W831*Graph!$D$5)+(U831*Graph!$D$5^2)</f>
        <v>-35098.574602265209</v>
      </c>
      <c r="Z832">
        <f>Z831+(X831*Graph!$D$5)+(V831*Graph!$D$5^2)</f>
        <v>-34681.600393816523</v>
      </c>
    </row>
    <row r="833" spans="14:26" x14ac:dyDescent="0.35">
      <c r="N833">
        <f>N832+1</f>
        <v>830</v>
      </c>
      <c r="O833">
        <f>Graph!$D$22*((Graph!$D$18-Y833)/POWER((((Graph!$D$18-$Y833)^2)+((Graph!$E$18-$Z833)^2))+(Graph!$D$23^2),(3/2)))</f>
        <v>84.796440139860351</v>
      </c>
      <c r="P833" s="84">
        <f>Graph!$D$22*((Graph!$E$18-Z833)/POWER((((Graph!$D$18-$Y833)^2)+((Graph!$E$18-$Z833)^2))+(Graph!$D$23^2),3/2))</f>
        <v>79.548366489217742</v>
      </c>
      <c r="Q833">
        <f>Graph!$D$31*((Graph!$D$27-Y833)/POWER((((Graph!$D$27-$Y833)^2)+((Graph!$E$27-$Z833)^2))+(Graph!$D$32^2),3/2))</f>
        <v>22.493228337678779</v>
      </c>
      <c r="R833">
        <f>Graph!$D$31*((Graph!$E$27-Z833)/POWER((((Graph!$D$27-$Y833)^2)+((Graph!$E$27-$Z833)^2))+(Graph!$D$32^2),3/2))</f>
        <v>74.861092771088011</v>
      </c>
      <c r="S833">
        <f>Graph!$D$40*((Graph!$D$36-Y833)/POWER((((Graph!$D$36-$Y833)^2)+((Graph!$E$36-$Z833)^2))+(Graph!$D$41^2),3/2))</f>
        <v>277.94031948673057</v>
      </c>
      <c r="T833">
        <f>Graph!$D$40*((Graph!$E$36-Z833)/POWER((((Graph!$D$36-$Y833)^2)+((Graph!$E$36-$Z833)^2))+(Graph!$D$41^2),3/2))</f>
        <v>170.70781151377494</v>
      </c>
      <c r="U833">
        <f>O833+Q833+S833</f>
        <v>385.2299879642697</v>
      </c>
      <c r="V833">
        <f>P833+R833+T833</f>
        <v>325.11727077408068</v>
      </c>
      <c r="W833">
        <f>W832+(U832*Graph!$D$5)</f>
        <v>2721.7247721337126</v>
      </c>
      <c r="X833">
        <f>X832+(V832*Graph!$D$5)</f>
        <v>-2079.4443711865979</v>
      </c>
      <c r="Y833">
        <f>Y832+(W832*Graph!$D$5)+(U832*Graph!$D$5^2)</f>
        <v>-33737.71221619835</v>
      </c>
      <c r="Z833">
        <f>Z832+(X832*Graph!$D$5)+(V832*Graph!$D$5^2)</f>
        <v>-35721.322579409825</v>
      </c>
    </row>
    <row r="834" spans="14:26" x14ac:dyDescent="0.35">
      <c r="N834">
        <f>N833+1</f>
        <v>831</v>
      </c>
      <c r="O834">
        <f>Graph!$D$22*((Graph!$D$18-Y834)/POWER((((Graph!$D$18-$Y834)^2)+((Graph!$E$18-$Z834)^2))+(Graph!$D$23^2),(3/2)))</f>
        <v>83.692644539788006</v>
      </c>
      <c r="P834" s="84">
        <f>Graph!$D$22*((Graph!$E$18-Z834)/POWER((((Graph!$D$18-$Y834)^2)+((Graph!$E$18-$Z834)^2))+(Graph!$D$23^2),3/2))</f>
        <v>82.629192136909865</v>
      </c>
      <c r="Q834">
        <f>Graph!$D$31*((Graph!$D$27-Y834)/POWER((((Graph!$D$27-$Y834)^2)+((Graph!$E$27-$Z834)^2))+(Graph!$D$32^2),3/2))</f>
        <v>19.458647265912223</v>
      </c>
      <c r="R834">
        <f>Graph!$D$31*((Graph!$E$27-Z834)/POWER((((Graph!$D$27-$Y834)^2)+((Graph!$E$27-$Z834)^2))+(Graph!$D$32^2),3/2))</f>
        <v>73.964574662431417</v>
      </c>
      <c r="S834">
        <f>Graph!$D$40*((Graph!$D$36-Y834)/POWER((((Graph!$D$36-$Y834)^2)+((Graph!$E$36-$Z834)^2))+(Graph!$D$41^2),3/2))</f>
        <v>280.48477900469692</v>
      </c>
      <c r="T834">
        <f>Graph!$D$40*((Graph!$E$36-Z834)/POWER((((Graph!$D$36-$Y834)^2)+((Graph!$E$36-$Z834)^2))+(Graph!$D$41^2),3/2))</f>
        <v>188.37490887256482</v>
      </c>
      <c r="U834">
        <f>O834+Q834+S834</f>
        <v>383.63607081039714</v>
      </c>
      <c r="V834">
        <f>P834+R834+T834</f>
        <v>344.96867567190611</v>
      </c>
      <c r="W834">
        <f>W833+(U833*Graph!$D$5)</f>
        <v>2914.3397661158474</v>
      </c>
      <c r="X834">
        <f>X833+(V833*Graph!$D$5)</f>
        <v>-1916.8857357995576</v>
      </c>
      <c r="Y834">
        <f>Y833+(W833*Graph!$D$5)+(U833*Graph!$D$5^2)</f>
        <v>-32280.542333140427</v>
      </c>
      <c r="Z834">
        <f>Z833+(X833*Graph!$D$5)+(V833*Graph!$D$5^2)</f>
        <v>-36679.765447309604</v>
      </c>
    </row>
    <row r="835" spans="14:26" x14ac:dyDescent="0.35">
      <c r="N835">
        <f>N834+1</f>
        <v>832</v>
      </c>
      <c r="O835">
        <f>Graph!$D$22*((Graph!$D$18-Y835)/POWER((((Graph!$D$18-$Y835)^2)+((Graph!$E$18-$Z835)^2))+(Graph!$D$23^2),(3/2)))</f>
        <v>82.676594007252476</v>
      </c>
      <c r="P835" s="84">
        <f>Graph!$D$22*((Graph!$E$18-Z835)/POWER((((Graph!$D$18-$Y835)^2)+((Graph!$E$18-$Z835)^2))+(Graph!$D$23^2),3/2))</f>
        <v>85.975348384176414</v>
      </c>
      <c r="Q835">
        <f>Graph!$D$31*((Graph!$D$27-Y835)/POWER((((Graph!$D$27-$Y835)^2)+((Graph!$E$27-$Z835)^2))+(Graph!$D$32^2),3/2))</f>
        <v>16.504296584888937</v>
      </c>
      <c r="R835">
        <f>Graph!$D$31*((Graph!$E$27-Z835)/POWER((((Graph!$D$27-$Y835)^2)+((Graph!$E$27-$Z835)^2))+(Graph!$D$32^2),3/2))</f>
        <v>73.159117010280966</v>
      </c>
      <c r="S835">
        <f>Graph!$D$40*((Graph!$D$36-Y835)/POWER((((Graph!$D$36-$Y835)^2)+((Graph!$E$36-$Z835)^2))+(Graph!$D$41^2),3/2))</f>
        <v>283.21474731436757</v>
      </c>
      <c r="T835">
        <f>Graph!$D$40*((Graph!$E$36-Z835)/POWER((((Graph!$D$36-$Y835)^2)+((Graph!$E$36-$Z835)^2))+(Graph!$D$41^2),3/2))</f>
        <v>207.86126416258509</v>
      </c>
      <c r="U835">
        <f>O835+Q835+S835</f>
        <v>382.39563790650897</v>
      </c>
      <c r="V835">
        <f>P835+R835+T835</f>
        <v>366.99572955704247</v>
      </c>
      <c r="W835">
        <f>W834+(U834*Graph!$D$5)</f>
        <v>3106.1578015210462</v>
      </c>
      <c r="X835">
        <f>X834+(V834*Graph!$D$5)</f>
        <v>-1744.4013979636045</v>
      </c>
      <c r="Y835">
        <f>Y834+(W834*Graph!$D$5)+(U834*Graph!$D$5^2)</f>
        <v>-30727.463432379904</v>
      </c>
      <c r="Z835">
        <f>Z834+(X834*Graph!$D$5)+(V834*Graph!$D$5^2)</f>
        <v>-37551.966146291408</v>
      </c>
    </row>
    <row r="836" spans="14:26" x14ac:dyDescent="0.35">
      <c r="N836">
        <f>N835+1</f>
        <v>833</v>
      </c>
      <c r="O836">
        <f>Graph!$D$22*((Graph!$D$18-Y836)/POWER((((Graph!$D$18-$Y836)^2)+((Graph!$E$18-$Z836)^2))+(Graph!$D$23^2),(3/2)))</f>
        <v>81.738301061046229</v>
      </c>
      <c r="P836" s="84">
        <f>Graph!$D$22*((Graph!$E$18-Z836)/POWER((((Graph!$D$18-$Y836)^2)+((Graph!$E$18-$Z836)^2))+(Graph!$D$23^2),3/2))</f>
        <v>89.626101776883885</v>
      </c>
      <c r="Q836">
        <f>Graph!$D$31*((Graph!$D$27-Y836)/POWER((((Graph!$D$27-$Y836)^2)+((Graph!$E$27-$Z836)^2))+(Graph!$D$32^2),3/2))</f>
        <v>13.605805999541017</v>
      </c>
      <c r="R836">
        <f>Graph!$D$31*((Graph!$E$27-Z836)/POWER((((Graph!$D$27-$Y836)^2)+((Graph!$E$27-$Z836)^2))+(Graph!$D$32^2),3/2))</f>
        <v>72.432760170873465</v>
      </c>
      <c r="S836">
        <f>Graph!$D$40*((Graph!$D$36-Y836)/POWER((((Graph!$D$36-$Y836)^2)+((Graph!$E$36-$Z836)^2))+(Graph!$D$41^2),3/2))</f>
        <v>286.05568775296081</v>
      </c>
      <c r="T836">
        <f>Graph!$D$40*((Graph!$E$36-Z836)/POWER((((Graph!$D$36-$Y836)^2)+((Graph!$E$36-$Z836)^2))+(Graph!$D$41^2),3/2))</f>
        <v>229.5271521905357</v>
      </c>
      <c r="U836">
        <f>O836+Q836+S836</f>
        <v>381.39979481354806</v>
      </c>
      <c r="V836">
        <f>P836+R836+T836</f>
        <v>391.58601413829308</v>
      </c>
      <c r="W836">
        <f>W835+(U835*Graph!$D$5)</f>
        <v>3297.3556204743008</v>
      </c>
      <c r="X836">
        <f>X835+(V835*Graph!$D$5)</f>
        <v>-1560.9035331850832</v>
      </c>
      <c r="Y836">
        <f>Y835+(W835*Graph!$D$5)+(U835*Graph!$D$5^2)</f>
        <v>-29078.785622142754</v>
      </c>
      <c r="Z836">
        <f>Z835+(X835*Graph!$D$5)+(V835*Graph!$D$5^2)</f>
        <v>-38332.417912883953</v>
      </c>
    </row>
    <row r="837" spans="14:26" x14ac:dyDescent="0.35">
      <c r="N837">
        <f>N836+1</f>
        <v>834</v>
      </c>
      <c r="O837">
        <f>Graph!$D$22*((Graph!$D$18-Y837)/POWER((((Graph!$D$18-$Y837)^2)+((Graph!$E$18-$Z837)^2))+(Graph!$D$23^2),(3/2)))</f>
        <v>80.867393237165501</v>
      </c>
      <c r="P837" s="84">
        <f>Graph!$D$22*((Graph!$E$18-Z837)/POWER((((Graph!$D$18-$Y837)^2)+((Graph!$E$18-$Z837)^2))+(Graph!$D$23^2),3/2))</f>
        <v>93.627867747256261</v>
      </c>
      <c r="Q837">
        <f>Graph!$D$31*((Graph!$D$27-Y837)/POWER((((Graph!$D$27-$Y837)^2)+((Graph!$E$27-$Z837)^2))+(Graph!$D$32^2),3/2))</f>
        <v>10.740500834019807</v>
      </c>
      <c r="R837">
        <f>Graph!$D$31*((Graph!$E$27-Z837)/POWER((((Graph!$D$27-$Y837)^2)+((Graph!$E$27-$Z837)^2))+(Graph!$D$32^2),3/2))</f>
        <v>71.774061270214403</v>
      </c>
      <c r="S837">
        <f>Graph!$D$40*((Graph!$D$36-Y837)/POWER((((Graph!$D$36-$Y837)^2)+((Graph!$E$36-$Z837)^2))+(Graph!$D$41^2),3/2))</f>
        <v>288.89524558175134</v>
      </c>
      <c r="T837">
        <f>Graph!$D$40*((Graph!$E$36-Z837)/POWER((((Graph!$D$36-$Y837)^2)+((Graph!$E$36-$Z837)^2))+(Graph!$D$41^2),3/2))</f>
        <v>253.80914687532413</v>
      </c>
      <c r="U837">
        <f>O837+Q837+S837</f>
        <v>380.50313965293662</v>
      </c>
      <c r="V837">
        <f>P837+R837+T837</f>
        <v>419.21107589279478</v>
      </c>
      <c r="W837">
        <f>W836+(U836*Graph!$D$5)</f>
        <v>3488.055517881075</v>
      </c>
      <c r="X837">
        <f>X836+(V836*Graph!$D$5)</f>
        <v>-1365.1105261159366</v>
      </c>
      <c r="Y837">
        <f>Y836+(W836*Graph!$D$5)+(U836*Graph!$D$5^2)</f>
        <v>-27334.757863202216</v>
      </c>
      <c r="Z837">
        <f>Z836+(X836*Graph!$D$5)+(V836*Graph!$D$5^2)</f>
        <v>-39014.973175941923</v>
      </c>
    </row>
    <row r="838" spans="14:26" x14ac:dyDescent="0.35">
      <c r="N838">
        <f>N837+1</f>
        <v>835</v>
      </c>
      <c r="O838">
        <f>Graph!$D$22*((Graph!$D$18-Y838)/POWER((((Graph!$D$18-$Y838)^2)+((Graph!$E$18-$Z838)^2))+(Graph!$D$23^2),(3/2)))</f>
        <v>80.052705739954135</v>
      </c>
      <c r="P838" s="84">
        <f>Graph!$D$22*((Graph!$E$18-Z838)/POWER((((Graph!$D$18-$Y838)^2)+((Graph!$E$18-$Z838)^2))+(Graph!$D$23^2),3/2))</f>
        <v>98.036118774700441</v>
      </c>
      <c r="Q838">
        <f>Graph!$D$31*((Graph!$D$27-Y838)/POWER((((Graph!$D$27-$Y838)^2)+((Graph!$E$27-$Z838)^2))+(Graph!$D$32^2),3/2))</f>
        <v>7.8868912773118582</v>
      </c>
      <c r="R838">
        <f>Graph!$D$31*((Graph!$E$27-Z838)/POWER((((Graph!$D$27-$Y838)^2)+((Graph!$E$27-$Z838)^2))+(Graph!$D$32^2),3/2))</f>
        <v>71.171869875709305</v>
      </c>
      <c r="S838">
        <f>Graph!$D$40*((Graph!$D$36-Y838)/POWER((((Graph!$D$36-$Y838)^2)+((Graph!$E$36-$Z838)^2))+(Graph!$D$41^2),3/2))</f>
        <v>291.56576177894686</v>
      </c>
      <c r="T838">
        <f>Graph!$D$40*((Graph!$E$36-Z838)/POWER((((Graph!$D$36-$Y838)^2)+((Graph!$E$36-$Z838)^2))+(Graph!$D$41^2),3/2))</f>
        <v>281.24051128140655</v>
      </c>
      <c r="U838">
        <f>O838+Q838+S838</f>
        <v>379.50535879621287</v>
      </c>
      <c r="V838">
        <f>P838+R838+T838</f>
        <v>450.44849993181629</v>
      </c>
      <c r="W838">
        <f>W837+(U837*Graph!$D$5)</f>
        <v>3678.3070877075434</v>
      </c>
      <c r="X838">
        <f>X837+(V837*Graph!$D$5)</f>
        <v>-1155.5049881695393</v>
      </c>
      <c r="Y838">
        <f>Y837+(W837*Graph!$D$5)+(U837*Graph!$D$5^2)</f>
        <v>-25495.604319348444</v>
      </c>
      <c r="Z838">
        <f>Z837+(X837*Graph!$D$5)+(V837*Graph!$D$5^2)</f>
        <v>-39592.725670026695</v>
      </c>
    </row>
    <row r="839" spans="14:26" x14ac:dyDescent="0.35">
      <c r="N839">
        <f>N838+1</f>
        <v>836</v>
      </c>
      <c r="O839">
        <f>Graph!$D$22*((Graph!$D$18-Y839)/POWER((((Graph!$D$18-$Y839)^2)+((Graph!$E$18-$Z839)^2))+(Graph!$D$23^2),(3/2)))</f>
        <v>79.281771243924297</v>
      </c>
      <c r="P839" s="84">
        <f>Graph!$D$22*((Graph!$E$18-Z839)/POWER((((Graph!$D$18-$Y839)^2)+((Graph!$E$18-$Z839)^2))+(Graph!$D$23^2),3/2))</f>
        <v>102.9179005873055</v>
      </c>
      <c r="Q839">
        <f>Graph!$D$31*((Graph!$D$27-Y839)/POWER((((Graph!$D$27-$Y839)^2)+((Graph!$E$27-$Z839)^2))+(Graph!$D$32^2),3/2))</f>
        <v>5.0242055080013222</v>
      </c>
      <c r="R839">
        <f>Graph!$D$31*((Graph!$E$27-Z839)/POWER((((Graph!$D$27-$Y839)^2)+((Graph!$E$27-$Z839)^2))+(Graph!$D$32^2),3/2))</f>
        <v>70.615120028061185</v>
      </c>
      <c r="S839">
        <f>Graph!$D$40*((Graph!$D$36-Y839)/POWER((((Graph!$D$36-$Y839)^2)+((Graph!$E$36-$Z839)^2))+(Graph!$D$41^2),3/2))</f>
        <v>293.81811179722922</v>
      </c>
      <c r="T839">
        <f>Graph!$D$40*((Graph!$E$36-Z839)/POWER((((Graph!$D$36-$Y839)^2)+((Graph!$E$36-$Z839)^2))+(Graph!$D$41^2),3/2))</f>
        <v>312.4772033102908</v>
      </c>
      <c r="U839">
        <f>O839+Q839+S839</f>
        <v>378.12408854915486</v>
      </c>
      <c r="V839">
        <f>P839+R839+T839</f>
        <v>486.0102239256575</v>
      </c>
      <c r="W839">
        <f>W838+(U838*Graph!$D$5)</f>
        <v>3868.0597671056498</v>
      </c>
      <c r="X839">
        <f>X838+(V838*Graph!$D$5)</f>
        <v>-930.28073820363113</v>
      </c>
      <c r="Y839">
        <f>Y838+(W838*Graph!$D$5)+(U838*Graph!$D$5^2)</f>
        <v>-23561.574435795617</v>
      </c>
      <c r="Z839">
        <f>Z838+(X838*Graph!$D$5)+(V838*Graph!$D$5^2)</f>
        <v>-40057.866039128516</v>
      </c>
    </row>
    <row r="840" spans="14:26" x14ac:dyDescent="0.35">
      <c r="N840">
        <f>N839+1</f>
        <v>837</v>
      </c>
      <c r="O840">
        <f>Graph!$D$22*((Graph!$D$18-Y840)/POWER((((Graph!$D$18-$Y840)^2)+((Graph!$E$18-$Z840)^2))+(Graph!$D$23^2),(3/2)))</f>
        <v>78.540158777565267</v>
      </c>
      <c r="P840" s="84">
        <f>Graph!$D$22*((Graph!$E$18-Z840)/POWER((((Graph!$D$18-$Y840)^2)+((Graph!$E$18-$Z840)^2))+(Graph!$D$23^2),3/2))</f>
        <v>108.35520349071696</v>
      </c>
      <c r="Q840">
        <f>Graph!$D$31*((Graph!$D$27-Y840)/POWER((((Graph!$D$27-$Y840)^2)+((Graph!$E$27-$Z840)^2))+(Graph!$D$32^2),3/2))</f>
        <v>2.1319395295065959</v>
      </c>
      <c r="R840">
        <f>Graph!$D$31*((Graph!$E$27-Z840)/POWER((((Graph!$D$27-$Y840)^2)+((Graph!$E$27-$Z840)^2))+(Graph!$D$32^2),3/2))</f>
        <v>70.092635387108132</v>
      </c>
      <c r="S840">
        <f>Graph!$D$40*((Graph!$D$36-Y840)/POWER((((Graph!$D$36-$Y840)^2)+((Graph!$E$36-$Z840)^2))+(Graph!$D$41^2),3/2))</f>
        <v>295.28218173996618</v>
      </c>
      <c r="T840">
        <f>Graph!$D$40*((Graph!$E$36-Z840)/POWER((((Graph!$D$36-$Y840)^2)+((Graph!$E$36-$Z840)^2))+(Graph!$D$41^2),3/2))</f>
        <v>348.33078363516285</v>
      </c>
      <c r="U840">
        <f>O840+Q840+S840</f>
        <v>375.95428004703803</v>
      </c>
      <c r="V840">
        <f>P840+R840+T840</f>
        <v>526.77862251298791</v>
      </c>
      <c r="W840">
        <f>W839+(U839*Graph!$D$5)</f>
        <v>4057.1218113802274</v>
      </c>
      <c r="X840">
        <f>X839+(V839*Graph!$D$5)</f>
        <v>-687.27562624080235</v>
      </c>
      <c r="Y840">
        <f>Y839+(W839*Graph!$D$5)+(U839*Graph!$D$5^2)</f>
        <v>-21533.013530105502</v>
      </c>
      <c r="Z840">
        <f>Z839+(X839*Graph!$D$5)+(V839*Graph!$D$5^2)</f>
        <v>-40401.503852248912</v>
      </c>
    </row>
    <row r="841" spans="14:26" x14ac:dyDescent="0.35">
      <c r="N841">
        <f>N840+1</f>
        <v>838</v>
      </c>
      <c r="O841">
        <f>Graph!$D$22*((Graph!$D$18-Y841)/POWER((((Graph!$D$18-$Y841)^2)+((Graph!$E$18-$Z841)^2))+(Graph!$D$23^2),(3/2)))</f>
        <v>77.810592439318796</v>
      </c>
      <c r="P841" s="84">
        <f>Graph!$D$22*((Graph!$E$18-Z841)/POWER((((Graph!$D$18-$Y841)^2)+((Graph!$E$18-$Z841)^2))+(Graph!$D$23^2),3/2))</f>
        <v>114.44955496669702</v>
      </c>
      <c r="Q841">
        <f>Graph!$D$31*((Graph!$D$27-Y841)/POWER((((Graph!$D$27-$Y841)^2)+((Graph!$E$27-$Z841)^2))+(Graph!$D$32^2),3/2))</f>
        <v>-0.81060559722801673</v>
      </c>
      <c r="R841">
        <f>Graph!$D$31*((Graph!$E$27-Z841)/POWER((((Graph!$D$27-$Y841)^2)+((Graph!$E$27-$Z841)^2))+(Graph!$D$32^2),3/2))</f>
        <v>69.592946363256274</v>
      </c>
      <c r="S841">
        <f>Graph!$D$40*((Graph!$D$36-Y841)/POWER((((Graph!$D$36-$Y841)^2)+((Graph!$E$36-$Z841)^2))+(Graph!$D$41^2),3/2))</f>
        <v>295.40653119198123</v>
      </c>
      <c r="T841">
        <f>Graph!$D$40*((Graph!$E$36-Z841)/POWER((((Graph!$D$36-$Y841)^2)+((Graph!$E$36-$Z841)^2))+(Graph!$D$41^2),3/2))</f>
        <v>389.8093065580602</v>
      </c>
      <c r="U841">
        <f>O841+Q841+S841</f>
        <v>372.40651803407201</v>
      </c>
      <c r="V841">
        <f>P841+R841+T841</f>
        <v>573.85180788801347</v>
      </c>
      <c r="W841">
        <f>W840+(U840*Graph!$D$5)</f>
        <v>4245.0989514037465</v>
      </c>
      <c r="X841">
        <f>X840+(V840*Graph!$D$5)</f>
        <v>-423.8863149843084</v>
      </c>
      <c r="Y841">
        <f>Y840+(W840*Graph!$D$5)+(U840*Graph!$D$5^2)</f>
        <v>-19410.46405440363</v>
      </c>
      <c r="Z841">
        <f>Z840+(X840*Graph!$D$5)+(V840*Graph!$D$5^2)</f>
        <v>-40613.447009741067</v>
      </c>
    </row>
    <row r="842" spans="14:26" x14ac:dyDescent="0.35">
      <c r="N842">
        <f>N841+1</f>
        <v>839</v>
      </c>
      <c r="O842">
        <f>Graph!$D$22*((Graph!$D$18-Y842)/POWER((((Graph!$D$18-$Y842)^2)+((Graph!$E$18-$Z842)^2))+(Graph!$D$23^2),(3/2)))</f>
        <v>77.071748017675617</v>
      </c>
      <c r="P842" s="84">
        <f>Graph!$D$22*((Graph!$E$18-Z842)/POWER((((Graph!$D$18-$Y842)^2)+((Graph!$E$18-$Z842)^2))+(Graph!$D$23^2),3/2))</f>
        <v>121.32838695317447</v>
      </c>
      <c r="Q842">
        <f>Graph!$D$31*((Graph!$D$27-Y842)/POWER((((Graph!$D$27-$Y842)^2)+((Graph!$E$27-$Z842)^2))+(Graph!$D$32^2),3/2))</f>
        <v>-3.8248345239293595</v>
      </c>
      <c r="R842">
        <f>Graph!$D$31*((Graph!$E$27-Z842)/POWER((((Graph!$D$27-$Y842)^2)+((Graph!$E$27-$Z842)^2))+(Graph!$D$32^2),3/2))</f>
        <v>69.104120845152011</v>
      </c>
      <c r="S842">
        <f>Graph!$D$40*((Graph!$D$36-Y842)/POWER((((Graph!$D$36-$Y842)^2)+((Graph!$E$36-$Z842)^2))+(Graph!$D$41^2),3/2))</f>
        <v>293.36531137149734</v>
      </c>
      <c r="T842">
        <f>Graph!$D$40*((Graph!$E$36-Z842)/POWER((((Graph!$D$36-$Y842)^2)+((Graph!$E$36-$Z842)^2))+(Graph!$D$41^2),3/2))</f>
        <v>438.16624213284825</v>
      </c>
      <c r="U842">
        <f>O842+Q842+S842</f>
        <v>366.6122248652436</v>
      </c>
      <c r="V842">
        <f>P842+R842+T842</f>
        <v>628.59874993117478</v>
      </c>
      <c r="W842">
        <f>W841+(U841*Graph!$D$5)</f>
        <v>4431.3022104207821</v>
      </c>
      <c r="X842">
        <f>X841+(V841*Graph!$D$5)</f>
        <v>-136.96041104030166</v>
      </c>
      <c r="Y842">
        <f>Y841+(W841*Graph!$D$5)+(U841*Graph!$D$5^2)</f>
        <v>-17194.812949193238</v>
      </c>
      <c r="Z842">
        <f>Z841+(X841*Graph!$D$5)+(V841*Graph!$D$5^2)</f>
        <v>-40681.927215261217</v>
      </c>
    </row>
    <row r="843" spans="14:26" x14ac:dyDescent="0.35">
      <c r="N843">
        <f>N842+1</f>
        <v>840</v>
      </c>
      <c r="O843">
        <f>Graph!$D$22*((Graph!$D$18-Y843)/POWER((((Graph!$D$18-$Y843)^2)+((Graph!$E$18-$Z843)^2))+(Graph!$D$23^2),(3/2)))</f>
        <v>76.296574633890444</v>
      </c>
      <c r="P843" s="84">
        <f>Graph!$D$22*((Graph!$E$18-Z843)/POWER((((Graph!$D$18-$Y843)^2)+((Graph!$E$18-$Z843)^2))+(Graph!$D$23^2),3/2))</f>
        <v>129.15403194127276</v>
      </c>
      <c r="Q843">
        <f>Graph!$D$31*((Graph!$D$27-Y843)/POWER((((Graph!$D$27-$Y843)^2)+((Graph!$E$27-$Z843)^2))+(Graph!$D$32^2),3/2))</f>
        <v>-6.9334633551122655</v>
      </c>
      <c r="R843">
        <f>Graph!$D$31*((Graph!$E$27-Z843)/POWER((((Graph!$D$27-$Y843)^2)+((Graph!$E$27-$Z843)^2))+(Graph!$D$32^2),3/2))</f>
        <v>68.613613979461462</v>
      </c>
      <c r="S843">
        <f>Graph!$D$40*((Graph!$D$36-Y843)/POWER((((Graph!$D$36-$Y843)^2)+((Graph!$E$36-$Z843)^2))+(Graph!$D$41^2),3/2))</f>
        <v>287.91326796754174</v>
      </c>
      <c r="T843">
        <f>Graph!$D$40*((Graph!$E$36-Z843)/POWER((((Graph!$D$36-$Y843)^2)+((Graph!$E$36-$Z843)^2))+(Graph!$D$41^2),3/2))</f>
        <v>494.95443307375643</v>
      </c>
      <c r="U843">
        <f>O843+Q843+S843</f>
        <v>357.27637924631995</v>
      </c>
      <c r="V843">
        <f>P843+R843+T843</f>
        <v>692.72207899449063</v>
      </c>
      <c r="W843">
        <f>W842+(U842*Graph!$D$5)</f>
        <v>4614.6083228534035</v>
      </c>
      <c r="X843">
        <f>X842+(V842*Graph!$D$5)</f>
        <v>177.33896392528573</v>
      </c>
      <c r="Y843">
        <f>Y842+(W842*Graph!$D$5)+(U842*Graph!$D$5^2)</f>
        <v>-14887.508787766536</v>
      </c>
      <c r="Z843">
        <f>Z842+(X842*Graph!$D$5)+(V842*Graph!$D$5^2)</f>
        <v>-40593.257733298575</v>
      </c>
    </row>
    <row r="844" spans="14:26" x14ac:dyDescent="0.35">
      <c r="N844">
        <f>N843+1</f>
        <v>841</v>
      </c>
      <c r="O844">
        <f>Graph!$D$22*((Graph!$D$18-Y844)/POWER((((Graph!$D$18-$Y844)^2)+((Graph!$E$18-$Z844)^2))+(Graph!$D$23^2),(3/2)))</f>
        <v>75.449908125347548</v>
      </c>
      <c r="P844" s="84">
        <f>Graph!$D$22*((Graph!$E$18-Z844)/POWER((((Graph!$D$18-$Y844)^2)+((Graph!$E$18-$Z844)^2))+(Graph!$D$23^2),3/2))</f>
        <v>138.13669569910581</v>
      </c>
      <c r="Q844">
        <f>Graph!$D$31*((Graph!$D$27-Y844)/POWER((((Graph!$D$27-$Y844)^2)+((Graph!$E$27-$Z844)^2))+(Graph!$D$32^2),3/2))</f>
        <v>-10.161287025226613</v>
      </c>
      <c r="R844">
        <f>Graph!$D$31*((Graph!$E$27-Z844)/POWER((((Graph!$D$27-$Y844)^2)+((Graph!$E$27-$Z844)^2))+(Graph!$D$32^2),3/2))</f>
        <v>68.108148103441422</v>
      </c>
      <c r="S844">
        <f>Graph!$D$40*((Graph!$D$36-Y844)/POWER((((Graph!$D$36-$Y844)^2)+((Graph!$E$36-$Z844)^2))+(Graph!$D$41^2),3/2))</f>
        <v>277.1581625591345</v>
      </c>
      <c r="T844">
        <f>Graph!$D$40*((Graph!$E$36-Z844)/POWER((((Graph!$D$36-$Y844)^2)+((Graph!$E$36-$Z844)^2))+(Graph!$D$41^2),3/2))</f>
        <v>562.0743544724487</v>
      </c>
      <c r="U844">
        <f>O844+Q844+S844</f>
        <v>342.4467836592554</v>
      </c>
      <c r="V844">
        <f>P844+R844+T844</f>
        <v>768.31919827499587</v>
      </c>
      <c r="W844">
        <f>W843+(U843*Graph!$D$5)</f>
        <v>4793.2465124765631</v>
      </c>
      <c r="X844">
        <f>X843+(V843*Graph!$D$5)</f>
        <v>523.70000342253104</v>
      </c>
      <c r="Y844">
        <f>Y843+(W843*Graph!$D$5)+(U843*Graph!$D$5^2)</f>
        <v>-12490.885531528253</v>
      </c>
      <c r="Z844">
        <f>Z843+(X843*Graph!$D$5)+(V843*Graph!$D$5^2)</f>
        <v>-40331.407731587307</v>
      </c>
    </row>
    <row r="845" spans="14:26" x14ac:dyDescent="0.35">
      <c r="N845">
        <f>N844+1</f>
        <v>842</v>
      </c>
      <c r="O845">
        <f>Graph!$D$22*((Graph!$D$18-Y845)/POWER((((Graph!$D$18-$Y845)^2)+((Graph!$E$18-$Z845)^2))+(Graph!$D$23^2),(3/2)))</f>
        <v>74.485014555413017</v>
      </c>
      <c r="P845" s="84">
        <f>Graph!$D$22*((Graph!$E$18-Z845)/POWER((((Graph!$D$18-$Y845)^2)+((Graph!$E$18-$Z845)^2))+(Graph!$D$23^2),3/2))</f>
        <v>148.55358380232337</v>
      </c>
      <c r="Q845">
        <f>Graph!$D$31*((Graph!$D$27-Y845)/POWER((((Graph!$D$27-$Y845)^2)+((Graph!$E$27-$Z845)^2))+(Graph!$D$32^2),3/2))</f>
        <v>-13.536207119965923</v>
      </c>
      <c r="R845">
        <f>Graph!$D$31*((Graph!$E$27-Z845)/POWER((((Graph!$D$27-$Y845)^2)+((Graph!$E$27-$Z845)^2))+(Graph!$D$32^2),3/2))</f>
        <v>67.573642304259025</v>
      </c>
      <c r="S845">
        <f>Graph!$D$40*((Graph!$D$36-Y845)/POWER((((Graph!$D$36-$Y845)^2)+((Graph!$E$36-$Z845)^2))+(Graph!$D$41^2),3/2))</f>
        <v>258.20251410989096</v>
      </c>
      <c r="T845">
        <f>Graph!$D$40*((Graph!$E$36-Z845)/POWER((((Graph!$D$36-$Y845)^2)+((Graph!$E$36-$Z845)^2))+(Graph!$D$41^2),3/2))</f>
        <v>641.78755121648828</v>
      </c>
      <c r="U845">
        <f>O845+Q845+S845</f>
        <v>319.15132154533808</v>
      </c>
      <c r="V845">
        <f>P845+R845+T845</f>
        <v>857.91477732307067</v>
      </c>
      <c r="W845">
        <f>W844+(U844*Graph!$D$5)</f>
        <v>4964.469904306191</v>
      </c>
      <c r="X845">
        <f>X844+(V844*Graph!$D$5)</f>
        <v>907.85960256002897</v>
      </c>
      <c r="Y845">
        <f>Y844+(W844*Graph!$D$5)+(U844*Graph!$D$5^2)</f>
        <v>-10008.650579375158</v>
      </c>
      <c r="Z845">
        <f>Z844+(X844*Graph!$D$5)+(V844*Graph!$D$5^2)</f>
        <v>-39877.477930307294</v>
      </c>
    </row>
    <row r="846" spans="14:26" x14ac:dyDescent="0.35">
      <c r="N846">
        <f>N845+1</f>
        <v>843</v>
      </c>
      <c r="O846">
        <f>Graph!$D$22*((Graph!$D$18-Y846)/POWER((((Graph!$D$18-$Y846)^2)+((Graph!$E$18-$Z846)^2))+(Graph!$D$23^2),(3/2)))</f>
        <v>73.338495520703134</v>
      </c>
      <c r="P846" s="84">
        <f>Graph!$D$22*((Graph!$E$18-Z846)/POWER((((Graph!$D$18-$Y846)^2)+((Graph!$E$18-$Z846)^2))+(Graph!$D$23^2),3/2))</f>
        <v>160.77778590970371</v>
      </c>
      <c r="Q846">
        <f>Graph!$D$31*((Graph!$D$27-Y846)/POWER((((Graph!$D$27-$Y846)^2)+((Graph!$E$27-$Z846)^2))+(Graph!$D$32^2),3/2))</f>
        <v>-17.090670112298763</v>
      </c>
      <c r="R846">
        <f>Graph!$D$31*((Graph!$E$27-Z846)/POWER((((Graph!$D$27-$Y846)^2)+((Graph!$E$27-$Z846)^2))+(Graph!$D$32^2),3/2))</f>
        <v>66.995223166378437</v>
      </c>
      <c r="S846">
        <f>Graph!$D$40*((Graph!$D$36-Y846)/POWER((((Graph!$D$36-$Y846)^2)+((Graph!$E$36-$Z846)^2))+(Graph!$D$41^2),3/2))</f>
        <v>226.58306042806041</v>
      </c>
      <c r="T846">
        <f>Graph!$D$40*((Graph!$E$36-Z846)/POWER((((Graph!$D$36-$Y846)^2)+((Graph!$E$36-$Z846)^2))+(Graph!$D$41^2),3/2))</f>
        <v>736.62403873063579</v>
      </c>
      <c r="U846">
        <f>O846+Q846+S846</f>
        <v>282.83088583646474</v>
      </c>
      <c r="V846">
        <f>P846+R846+T846</f>
        <v>964.39704780671786</v>
      </c>
      <c r="W846">
        <f>W845+(U845*Graph!$D$5)</f>
        <v>5124.0455650788599</v>
      </c>
      <c r="X846">
        <f>X845+(V845*Graph!$D$5)</f>
        <v>1336.8169912215644</v>
      </c>
      <c r="Y846">
        <f>Y845+(W845*Graph!$D$5)+(U845*Graph!$D$5^2)</f>
        <v>-7446.6277968357281</v>
      </c>
      <c r="Z846">
        <f>Z845+(X845*Graph!$D$5)+(V845*Graph!$D$5^2)</f>
        <v>-39209.06943469651</v>
      </c>
    </row>
    <row r="847" spans="14:26" x14ac:dyDescent="0.35">
      <c r="N847">
        <f>N846+1</f>
        <v>844</v>
      </c>
      <c r="O847">
        <f>Graph!$D$22*((Graph!$D$18-Y847)/POWER((((Graph!$D$18-$Y847)^2)+((Graph!$E$18-$Z847)^2))+(Graph!$D$23^2),(3/2)))</f>
        <v>71.922652668195781</v>
      </c>
      <c r="P847" s="84">
        <f>Graph!$D$22*((Graph!$E$18-Z847)/POWER((((Graph!$D$18-$Y847)^2)+((Graph!$E$18-$Z847)^2))+(Graph!$D$23^2),3/2))</f>
        <v>175.32303449389633</v>
      </c>
      <c r="Q847">
        <f>Graph!$D$31*((Graph!$D$27-Y847)/POWER((((Graph!$D$27-$Y847)^2)+((Graph!$E$27-$Z847)^2))+(Graph!$D$32^2),3/2))</f>
        <v>-20.863745185246966</v>
      </c>
      <c r="R847">
        <f>Graph!$D$31*((Graph!$E$27-Z847)/POWER((((Graph!$D$27-$Y847)^2)+((Graph!$E$27-$Z847)^2))+(Graph!$D$32^2),3/2))</f>
        <v>66.357364152129605</v>
      </c>
      <c r="S847">
        <f>Graph!$D$40*((Graph!$D$36-Y847)/POWER((((Graph!$D$36-$Y847)^2)+((Graph!$E$36-$Z847)^2))+(Graph!$D$41^2),3/2))</f>
        <v>175.41495855341878</v>
      </c>
      <c r="T847">
        <f>Graph!$D$40*((Graph!$E$36-Z847)/POWER((((Graph!$D$36-$Y847)^2)+((Graph!$E$36-$Z847)^2))+(Graph!$D$41^2),3/2))</f>
        <v>849.01928671986104</v>
      </c>
      <c r="U847">
        <f>O847+Q847+S847</f>
        <v>226.47386603636761</v>
      </c>
      <c r="V847">
        <f>P847+R847+T847</f>
        <v>1090.699685365887</v>
      </c>
      <c r="W847">
        <f>W846+(U846*Graph!$D$5)</f>
        <v>5265.4610079970926</v>
      </c>
      <c r="X847">
        <f>X846+(V846*Graph!$D$5)</f>
        <v>1819.0155151249232</v>
      </c>
      <c r="Y847">
        <f>Y846+(W846*Graph!$D$5)+(U846*Graph!$D$5^2)</f>
        <v>-4813.8972928371813</v>
      </c>
      <c r="Z847">
        <f>Z846+(X846*Graph!$D$5)+(V846*Graph!$D$5^2)</f>
        <v>-38299.56167713405</v>
      </c>
    </row>
    <row r="848" spans="14:26" x14ac:dyDescent="0.35">
      <c r="N848">
        <f>N847+1</f>
        <v>845</v>
      </c>
      <c r="O848">
        <f>Graph!$D$22*((Graph!$D$18-Y848)/POWER((((Graph!$D$18-$Y848)^2)+((Graph!$E$18-$Z848)^2))+(Graph!$D$23^2),(3/2)))</f>
        <v>70.113871685399431</v>
      </c>
      <c r="P848" s="84">
        <f>Graph!$D$22*((Graph!$E$18-Z848)/POWER((((Graph!$D$18-$Y848)^2)+((Graph!$E$18-$Z848)^2))+(Graph!$D$23^2),3/2))</f>
        <v>192.91497813852041</v>
      </c>
      <c r="Q848">
        <f>Graph!$D$31*((Graph!$D$27-Y848)/POWER((((Graph!$D$27-$Y848)^2)+((Graph!$E$27-$Z848)^2))+(Graph!$D$32^2),3/2))</f>
        <v>-24.904187004577427</v>
      </c>
      <c r="R848">
        <f>Graph!$D$31*((Graph!$E$27-Z848)/POWER((((Graph!$D$27-$Y848)^2)+((Graph!$E$27-$Z848)^2))+(Graph!$D$32^2),3/2))</f>
        <v>65.644216375426041</v>
      </c>
      <c r="S848">
        <f>Graph!$D$40*((Graph!$D$36-Y848)/POWER((((Graph!$D$36-$Y848)^2)+((Graph!$E$36-$Z848)^2))+(Graph!$D$41^2),3/2))</f>
        <v>94.167428516149187</v>
      </c>
      <c r="T848">
        <f>Graph!$D$40*((Graph!$E$36-Z848)/POWER((((Graph!$D$36-$Y848)^2)+((Graph!$E$36-$Z848)^2))+(Graph!$D$41^2),3/2))</f>
        <v>980.3197620361567</v>
      </c>
      <c r="U848">
        <f>O848+Q848+S848</f>
        <v>139.37711319697121</v>
      </c>
      <c r="V848">
        <f>P848+R848+T848</f>
        <v>1238.8789565501031</v>
      </c>
      <c r="W848">
        <f>W847+(U847*Graph!$D$5)</f>
        <v>5378.6979410152762</v>
      </c>
      <c r="X848">
        <f>X847+(V847*Graph!$D$5)</f>
        <v>2364.3653578078665</v>
      </c>
      <c r="Y848">
        <f>Y847+(W847*Graph!$D$5)+(U847*Graph!$D$5^2)</f>
        <v>-2124.5483223295432</v>
      </c>
      <c r="Z848">
        <f>Z847+(X847*Graph!$D$5)+(V847*Graph!$D$5^2)</f>
        <v>-37117.378998230117</v>
      </c>
    </row>
    <row r="849" spans="14:26" x14ac:dyDescent="0.35">
      <c r="N849">
        <f>N848+1</f>
        <v>846</v>
      </c>
      <c r="O849">
        <f>Graph!$D$22*((Graph!$D$18-Y849)/POWER((((Graph!$D$18-$Y849)^2)+((Graph!$E$18-$Z849)^2))+(Graph!$D$23^2),(3/2)))</f>
        <v>67.734743972955769</v>
      </c>
      <c r="P849" s="84">
        <f>Graph!$D$22*((Graph!$E$18-Z849)/POWER((((Graph!$D$18-$Y849)^2)+((Graph!$E$18-$Z849)^2))+(Graph!$D$23^2),3/2))</f>
        <v>214.60790091804159</v>
      </c>
      <c r="Q849">
        <f>Graph!$D$31*((Graph!$D$27-Y849)/POWER((((Graph!$D$27-$Y849)^2)+((Graph!$E$27-$Z849)^2))+(Graph!$D$32^2),3/2))</f>
        <v>-29.274978566840495</v>
      </c>
      <c r="R849">
        <f>Graph!$D$31*((Graph!$E$27-Z849)/POWER((((Graph!$D$27-$Y849)^2)+((Graph!$E$27-$Z849)^2))+(Graph!$D$32^2),3/2))</f>
        <v>64.840187962177467</v>
      </c>
      <c r="S849">
        <f>Graph!$D$40*((Graph!$D$36-Y849)/POWER((((Graph!$D$36-$Y849)^2)+((Graph!$E$36-$Z849)^2))+(Graph!$D$41^2),3/2))</f>
        <v>-32.806544106006491</v>
      </c>
      <c r="T849">
        <f>Graph!$D$40*((Graph!$E$36-Z849)/POWER((((Graph!$D$36-$Y849)^2)+((Graph!$E$36-$Z849)^2))+(Graph!$D$41^2),3/2))</f>
        <v>1128.4187979549861</v>
      </c>
      <c r="U849">
        <f>O849+Q849+S849</f>
        <v>5.6532213001087825</v>
      </c>
      <c r="V849">
        <f>P849+R849+T849</f>
        <v>1407.8668868352052</v>
      </c>
      <c r="W849">
        <f>W848+(U848*Graph!$D$5)</f>
        <v>5448.386497613762</v>
      </c>
      <c r="X849">
        <f>X848+(V848*Graph!$D$5)</f>
        <v>2983.804836082918</v>
      </c>
      <c r="Y849">
        <f>Y848+(W848*Graph!$D$5)+(U848*Graph!$D$5^2)</f>
        <v>599.64492647733766</v>
      </c>
      <c r="Z849">
        <f>Z848+(X848*Graph!$D$5)+(V848*Graph!$D$5^2)</f>
        <v>-35625.476580188661</v>
      </c>
    </row>
    <row r="850" spans="14:26" x14ac:dyDescent="0.35">
      <c r="N850">
        <f>N849+1</f>
        <v>847</v>
      </c>
      <c r="O850">
        <f>Graph!$D$22*((Graph!$D$18-Y850)/POWER((((Graph!$D$18-$Y850)^2)+((Graph!$E$18-$Z850)^2))+(Graph!$D$23^2),(3/2)))</f>
        <v>64.526399510751844</v>
      </c>
      <c r="P850" s="84">
        <f>Graph!$D$22*((Graph!$E$18-Z850)/POWER((((Graph!$D$18-$Y850)^2)+((Graph!$E$18-$Z850)^2))+(Graph!$D$23^2),3/2))</f>
        <v>241.98118599577853</v>
      </c>
      <c r="Q850">
        <f>Graph!$D$31*((Graph!$D$27-Y850)/POWER((((Graph!$D$27-$Y850)^2)+((Graph!$E$27-$Z850)^2))+(Graph!$D$32^2),3/2))</f>
        <v>-34.059973889657329</v>
      </c>
      <c r="R850">
        <f>Graph!$D$31*((Graph!$E$27-Z850)/POWER((((Graph!$D$27-$Y850)^2)+((Graph!$E$27-$Z850)^2))+(Graph!$D$32^2),3/2))</f>
        <v>63.930732215608664</v>
      </c>
      <c r="S850">
        <f>Graph!$D$40*((Graph!$D$36-Y850)/POWER((((Graph!$D$36-$Y850)^2)+((Graph!$E$36-$Z850)^2))+(Graph!$D$41^2),3/2))</f>
        <v>-227.10335702431416</v>
      </c>
      <c r="T850">
        <f>Graph!$D$40*((Graph!$E$36-Z850)/POWER((((Graph!$D$36-$Y850)^2)+((Graph!$E$36-$Z850)^2))+(Graph!$D$41^2),3/2))</f>
        <v>1282.7198558994121</v>
      </c>
      <c r="U850">
        <f>O850+Q850+S850</f>
        <v>-196.63693140321965</v>
      </c>
      <c r="V850">
        <f>P850+R850+T850</f>
        <v>1588.6317741107994</v>
      </c>
      <c r="W850">
        <f>W849+(U849*Graph!$D$5)</f>
        <v>5451.2131082638161</v>
      </c>
      <c r="X850">
        <f>X849+(V849*Graph!$D$5)</f>
        <v>3687.7382795005205</v>
      </c>
      <c r="Y850">
        <f>Y849+(W849*Graph!$D$5)+(U849*Graph!$D$5^2)</f>
        <v>3325.2514806092458</v>
      </c>
      <c r="Z850">
        <f>Z849+(X849*Graph!$D$5)+(V849*Graph!$D$5^2)</f>
        <v>-33781.607440438405</v>
      </c>
    </row>
    <row r="851" spans="14:26" x14ac:dyDescent="0.35">
      <c r="N851">
        <f>N850+1</f>
        <v>848</v>
      </c>
      <c r="O851">
        <f>Graph!$D$22*((Graph!$D$18-Y851)/POWER((((Graph!$D$18-$Y851)^2)+((Graph!$E$18-$Z851)^2))+(Graph!$D$23^2),(3/2)))</f>
        <v>60.105888700884989</v>
      </c>
      <c r="P851" s="84">
        <f>Graph!$D$22*((Graph!$E$18-Z851)/POWER((((Graph!$D$18-$Y851)^2)+((Graph!$E$18-$Z851)^2))+(Graph!$D$23^2),3/2))</f>
        <v>277.47832002358246</v>
      </c>
      <c r="Q851">
        <f>Graph!$D$31*((Graph!$D$27-Y851)/POWER((((Graph!$D$27-$Y851)^2)+((Graph!$E$27-$Z851)^2))+(Graph!$D$32^2),3/2))</f>
        <v>-39.373122565809524</v>
      </c>
      <c r="R851">
        <f>Graph!$D$31*((Graph!$E$27-Z851)/POWER((((Graph!$D$27-$Y851)^2)+((Graph!$E$27-$Z851)^2))+(Graph!$D$32^2),3/2))</f>
        <v>62.902903934047167</v>
      </c>
      <c r="S851">
        <f>Graph!$D$40*((Graph!$D$36-Y851)/POWER((((Graph!$D$36-$Y851)^2)+((Graph!$E$36-$Z851)^2))+(Graph!$D$41^2),3/2))</f>
        <v>-513.40741137409623</v>
      </c>
      <c r="T851">
        <f>Graph!$D$40*((Graph!$E$36-Z851)/POWER((((Graph!$D$36-$Y851)^2)+((Graph!$E$36-$Z851)^2))+(Graph!$D$41^2),3/2))</f>
        <v>1414.9421395689226</v>
      </c>
      <c r="U851">
        <f>O851+Q851+S851</f>
        <v>-492.67464523902078</v>
      </c>
      <c r="V851">
        <f>P851+R851+T851</f>
        <v>1755.3233635265522</v>
      </c>
      <c r="W851">
        <f>W850+(U850*Graph!$D$5)</f>
        <v>5352.8946425622062</v>
      </c>
      <c r="X851">
        <f>X850+(V850*Graph!$D$5)</f>
        <v>4482.0541665559203</v>
      </c>
      <c r="Y851">
        <f>Y850+(W850*Graph!$D$5)+(U850*Graph!$D$5^2)</f>
        <v>6001.6988018903485</v>
      </c>
      <c r="Z851">
        <f>Z850+(X850*Graph!$D$5)+(V850*Graph!$D$5^2)</f>
        <v>-31540.580357160448</v>
      </c>
    </row>
    <row r="852" spans="14:26" x14ac:dyDescent="0.35">
      <c r="N852">
        <f>N851+1</f>
        <v>849</v>
      </c>
      <c r="O852">
        <f>Graph!$D$22*((Graph!$D$18-Y852)/POWER((((Graph!$D$18-$Y852)^2)+((Graph!$E$18-$Z852)^2))+(Graph!$D$23^2),(3/2)))</f>
        <v>53.901631921603453</v>
      </c>
      <c r="P852" s="84">
        <f>Graph!$D$22*((Graph!$E$18-Z852)/POWER((((Graph!$D$18-$Y852)^2)+((Graph!$E$18-$Z852)^2))+(Graph!$D$23^2),3/2))</f>
        <v>325.00372875286604</v>
      </c>
      <c r="Q852">
        <f>Graph!$D$31*((Graph!$D$27-Y852)/POWER((((Graph!$D$27-$Y852)^2)+((Graph!$E$27-$Z852)^2))+(Graph!$D$32^2),3/2))</f>
        <v>-45.369670635706299</v>
      </c>
      <c r="R852">
        <f>Graph!$D$31*((Graph!$E$27-Z852)/POWER((((Graph!$D$27-$Y852)^2)+((Graph!$E$27-$Z852)^2))+(Graph!$D$32^2),3/2))</f>
        <v>61.743987709521491</v>
      </c>
      <c r="S852">
        <f>Graph!$D$40*((Graph!$D$36-Y852)/POWER((((Graph!$D$36-$Y852)^2)+((Graph!$E$36-$Z852)^2))+(Graph!$D$41^2),3/2))</f>
        <v>-905.58794775577064</v>
      </c>
      <c r="T852">
        <f>Graph!$D$40*((Graph!$E$36-Z852)/POWER((((Graph!$D$36-$Y852)^2)+((Graph!$E$36-$Z852)^2))+(Graph!$D$41^2),3/2))</f>
        <v>1467.2280831213411</v>
      </c>
      <c r="U852">
        <f>O852+Q852+S852</f>
        <v>-897.05598646987346</v>
      </c>
      <c r="V852">
        <f>P852+R852+T852</f>
        <v>1853.9757995837285</v>
      </c>
      <c r="W852">
        <f>W851+(U851*Graph!$D$5)</f>
        <v>5106.5573199426954</v>
      </c>
      <c r="X852">
        <f>X851+(V851*Graph!$D$5)</f>
        <v>5359.7158483191961</v>
      </c>
      <c r="Y852">
        <f>Y851+(W851*Graph!$D$5)+(U851*Graph!$D$5^2)</f>
        <v>8554.9774618616957</v>
      </c>
      <c r="Z852">
        <f>Z851+(X851*Graph!$D$5)+(V851*Graph!$D$5^2)</f>
        <v>-28860.72243300085</v>
      </c>
    </row>
    <row r="853" spans="14:26" x14ac:dyDescent="0.35">
      <c r="N853">
        <f>N852+1</f>
        <v>850</v>
      </c>
      <c r="O853">
        <f>Graph!$D$22*((Graph!$D$18-Y853)/POWER((((Graph!$D$18-$Y853)^2)+((Graph!$E$18-$Z853)^2))+(Graph!$D$23^2),(3/2)))</f>
        <v>45.057158871401441</v>
      </c>
      <c r="P853" s="84">
        <f>Graph!$D$22*((Graph!$E$18-Z853)/POWER((((Graph!$D$18-$Y853)^2)+((Graph!$E$18-$Z853)^2))+(Graph!$D$23^2),3/2))</f>
        <v>390.99129270431814</v>
      </c>
      <c r="Q853">
        <f>Graph!$D$31*((Graph!$D$27-Y853)/POWER((((Graph!$D$27-$Y853)^2)+((Graph!$E$27-$Z853)^2))+(Graph!$D$32^2),3/2))</f>
        <v>-52.255310635505225</v>
      </c>
      <c r="R853">
        <f>Graph!$D$31*((Graph!$E$27-Z853)/POWER((((Graph!$D$27-$Y853)^2)+((Graph!$E$27-$Z853)^2))+(Graph!$D$32^2),3/2))</f>
        <v>60.433323712619242</v>
      </c>
      <c r="S853">
        <f>Graph!$D$40*((Graph!$D$36-Y853)/POWER((((Graph!$D$36-$Y853)^2)+((Graph!$E$36-$Z853)^2))+(Graph!$D$41^2),3/2))</f>
        <v>-1372.5918950277767</v>
      </c>
      <c r="T853">
        <f>Graph!$D$40*((Graph!$E$36-Z853)/POWER((((Graph!$D$36-$Y853)^2)+((Graph!$E$36-$Z853)^2))+(Graph!$D$41^2),3/2))</f>
        <v>1351.5790709859866</v>
      </c>
      <c r="U853">
        <f>O853+Q853+S853</f>
        <v>-1379.7900467918805</v>
      </c>
      <c r="V853">
        <f>P853+R853+T853</f>
        <v>1803.003687402924</v>
      </c>
      <c r="W853">
        <f>W852+(U852*Graph!$D$5)</f>
        <v>4658.0293267077586</v>
      </c>
      <c r="X853">
        <f>X852+(V852*Graph!$D$5)</f>
        <v>6286.7037481110601</v>
      </c>
      <c r="Y853">
        <f>Y852+(W852*Graph!$D$5)+(U852*Graph!$D$5^2)</f>
        <v>10883.992125215575</v>
      </c>
      <c r="Z853">
        <f>Z852+(X852*Graph!$D$5)+(V852*Graph!$D$5^2)</f>
        <v>-25717.37055894532</v>
      </c>
    </row>
    <row r="854" spans="14:26" x14ac:dyDescent="0.35">
      <c r="N854">
        <f>N853+1</f>
        <v>851</v>
      </c>
      <c r="O854">
        <f>Graph!$D$22*((Graph!$D$18-Y854)/POWER((((Graph!$D$18-$Y854)^2)+((Graph!$E$18-$Z854)^2))+(Graph!$D$23^2),(3/2)))</f>
        <v>32.279347004230154</v>
      </c>
      <c r="P854" s="84">
        <f>Graph!$D$22*((Graph!$E$18-Z854)/POWER((((Graph!$D$18-$Y854)^2)+((Graph!$E$18-$Z854)^2))+(Graph!$D$23^2),3/2))</f>
        <v>486.37286008182826</v>
      </c>
      <c r="Q854">
        <f>Graph!$D$31*((Graph!$D$27-Y854)/POWER((((Graph!$D$27-$Y854)^2)+((Graph!$E$27-$Z854)^2))+(Graph!$D$32^2),3/2))</f>
        <v>-60.282720896469421</v>
      </c>
      <c r="R854">
        <f>Graph!$D$31*((Graph!$E$27-Z854)/POWER((((Graph!$D$27-$Y854)^2)+((Graph!$E$27-$Z854)^2))+(Graph!$D$32^2),3/2))</f>
        <v>58.916712073855038</v>
      </c>
      <c r="S854">
        <f>Graph!$D$40*((Graph!$D$36-Y854)/POWER((((Graph!$D$36-$Y854)^2)+((Graph!$E$36-$Z854)^2))+(Graph!$D$41^2),3/2))</f>
        <v>-1797.2164825922814</v>
      </c>
      <c r="T854">
        <f>Graph!$D$40*((Graph!$E$36-Z854)/POWER((((Graph!$D$36-$Y854)^2)+((Graph!$E$36-$Z854)^2))+(Graph!$D$41^2),3/2))</f>
        <v>994.87062953322982</v>
      </c>
      <c r="U854">
        <f>O854+Q854+S854</f>
        <v>-1825.2198564845207</v>
      </c>
      <c r="V854">
        <f>P854+R854+T854</f>
        <v>1540.1602016889133</v>
      </c>
      <c r="W854">
        <f>W853+(U853*Graph!$D$5)</f>
        <v>3968.1343033118183</v>
      </c>
      <c r="X854">
        <f>X853+(V853*Graph!$D$5)</f>
        <v>7188.2055918125225</v>
      </c>
      <c r="Y854">
        <f>Y853+(W853*Graph!$D$5)+(U853*Graph!$D$5^2)</f>
        <v>12868.059276871483</v>
      </c>
      <c r="Z854">
        <f>Z853+(X853*Graph!$D$5)+(V853*Graph!$D$5^2)</f>
        <v>-22123.267763039061</v>
      </c>
    </row>
    <row r="855" spans="14:26" x14ac:dyDescent="0.35">
      <c r="N855">
        <f>N854+1</f>
        <v>852</v>
      </c>
      <c r="O855">
        <f>Graph!$D$22*((Graph!$D$18-Y855)/POWER((((Graph!$D$18-$Y855)^2)+((Graph!$E$18-$Z855)^2))+(Graph!$D$23^2),(3/2)))</f>
        <v>13.535263005165794</v>
      </c>
      <c r="P855" s="84">
        <f>Graph!$D$22*((Graph!$E$18-Z855)/POWER((((Graph!$D$18-$Y855)^2)+((Graph!$E$18-$Z855)^2))+(Graph!$D$23^2),3/2))</f>
        <v>630.50590240442978</v>
      </c>
      <c r="Q855">
        <f>Graph!$D$31*((Graph!$D$27-Y855)/POWER((((Graph!$D$27-$Y855)^2)+((Graph!$E$27-$Z855)^2))+(Graph!$D$32^2),3/2))</f>
        <v>-69.721353957890159</v>
      </c>
      <c r="R855">
        <f>Graph!$D$31*((Graph!$E$27-Z855)/POWER((((Graph!$D$27-$Y855)^2)+((Graph!$E$27-$Z855)^2))+(Graph!$D$32^2),3/2))</f>
        <v>57.048978963437179</v>
      </c>
      <c r="S855">
        <f>Graph!$D$40*((Graph!$D$36-Y855)/POWER((((Graph!$D$36-$Y855)^2)+((Graph!$E$36-$Z855)^2))+(Graph!$D$41^2),3/2))</f>
        <v>-2000.6683108604402</v>
      </c>
      <c r="T855">
        <f>Graph!$D$40*((Graph!$E$36-Z855)/POWER((((Graph!$D$36-$Y855)^2)+((Graph!$E$36-$Z855)^2))+(Graph!$D$41^2),3/2))</f>
        <v>436.95673093768795</v>
      </c>
      <c r="U855">
        <f>O855+Q855+S855</f>
        <v>-2056.8544018131647</v>
      </c>
      <c r="V855">
        <f>P855+R855+T855</f>
        <v>1124.511612305555</v>
      </c>
      <c r="W855">
        <f>W854+(U854*Graph!$D$5)</f>
        <v>3055.5243750695581</v>
      </c>
      <c r="X855">
        <f>X854+(V854*Graph!$D$5)</f>
        <v>7958.2856926569793</v>
      </c>
      <c r="Y855">
        <f>Y854+(W854*Graph!$D$5)+(U854*Graph!$D$5^2)</f>
        <v>14395.821464406261</v>
      </c>
      <c r="Z855">
        <f>Z854+(X854*Graph!$D$5)+(V854*Graph!$D$5^2)</f>
        <v>-18144.124916710571</v>
      </c>
    </row>
    <row r="856" spans="14:26" x14ac:dyDescent="0.35">
      <c r="N856">
        <f>N855+1</f>
        <v>853</v>
      </c>
      <c r="O856">
        <f>Graph!$D$22*((Graph!$D$18-Y856)/POWER((((Graph!$D$18-$Y856)^2)+((Graph!$E$18-$Z856)^2))+(Graph!$D$23^2),(3/2)))</f>
        <v>-14.746060558439209</v>
      </c>
      <c r="P856" s="84">
        <f>Graph!$D$22*((Graph!$E$18-Z856)/POWER((((Graph!$D$18-$Y856)^2)+((Graph!$E$18-$Z856)^2))+(Graph!$D$23^2),3/2))</f>
        <v>860.32859179626666</v>
      </c>
      <c r="Q856">
        <f>Graph!$D$31*((Graph!$D$27-Y856)/POWER((((Graph!$D$27-$Y856)^2)+((Graph!$E$27-$Z856)^2))+(Graph!$D$32^2),3/2))</f>
        <v>-80.801662273901655</v>
      </c>
      <c r="R856">
        <f>Graph!$D$31*((Graph!$E$27-Z856)/POWER((((Graph!$D$27-$Y856)^2)+((Graph!$E$27-$Z856)^2))+(Graph!$D$32^2),3/2))</f>
        <v>54.501255329298601</v>
      </c>
      <c r="S856">
        <f>Graph!$D$40*((Graph!$D$36-Y856)/POWER((((Graph!$D$36-$Y856)^2)+((Graph!$E$36-$Z856)^2))+(Graph!$D$41^2),3/2))</f>
        <v>-1884.2216144794456</v>
      </c>
      <c r="T856">
        <f>Graph!$D$40*((Graph!$E$36-Z856)/POWER((((Graph!$D$36-$Y856)^2)+((Graph!$E$36-$Z856)^2))+(Graph!$D$41^2),3/2))</f>
        <v>-136.47969357908485</v>
      </c>
      <c r="U856">
        <f>O856+Q856+S856</f>
        <v>-1979.7693373117866</v>
      </c>
      <c r="V856">
        <f>P856+R856+T856</f>
        <v>778.35015354648044</v>
      </c>
      <c r="W856">
        <f>W855+(U855*Graph!$D$5)</f>
        <v>2027.0971741629758</v>
      </c>
      <c r="X856">
        <f>X855+(V855*Graph!$D$5)</f>
        <v>8520.5414988097564</v>
      </c>
      <c r="Y856">
        <f>Y855+(W855*Graph!$D$5)+(U855*Graph!$D$5^2)</f>
        <v>15409.370051487749</v>
      </c>
      <c r="Z856">
        <f>Z855+(X855*Graph!$D$5)+(V855*Graph!$D$5^2)</f>
        <v>-13883.854167305692</v>
      </c>
    </row>
    <row r="857" spans="14:26" x14ac:dyDescent="0.35">
      <c r="N857">
        <f>N856+1</f>
        <v>854</v>
      </c>
      <c r="O857">
        <f>Graph!$D$22*((Graph!$D$18-Y857)/POWER((((Graph!$D$18-$Y857)^2)+((Graph!$E$18-$Z857)^2))+(Graph!$D$23^2),(3/2)))</f>
        <v>-59.981487060507135</v>
      </c>
      <c r="P857" s="84">
        <f>Graph!$D$22*((Graph!$E$18-Z857)/POWER((((Graph!$D$18-$Y857)^2)+((Graph!$E$18-$Z857)^2))+(Graph!$D$23^2),3/2))</f>
        <v>1255.8295504091957</v>
      </c>
      <c r="Q857">
        <f>Graph!$D$31*((Graph!$D$27-Y857)/POWER((((Graph!$D$27-$Y857)^2)+((Graph!$E$27-$Z857)^2))+(Graph!$D$32^2),3/2))</f>
        <v>-93.658298166282748</v>
      </c>
      <c r="R857">
        <f>Graph!$D$31*((Graph!$E$27-Z857)/POWER((((Graph!$D$27-$Y857)^2)+((Graph!$E$27-$Z857)^2))+(Graph!$D$32^2),3/2))</f>
        <v>50.648182178304481</v>
      </c>
      <c r="S857">
        <f>Graph!$D$40*((Graph!$D$36-Y857)/POWER((((Graph!$D$36-$Y857)^2)+((Graph!$E$36-$Z857)^2))+(Graph!$D$41^2),3/2))</f>
        <v>-1529.9266496923969</v>
      </c>
      <c r="T857">
        <f>Graph!$D$40*((Graph!$E$36-Z857)/POWER((((Graph!$D$36-$Y857)^2)+((Graph!$E$36-$Z857)^2))+(Graph!$D$41^2),3/2))</f>
        <v>-535.11051916920746</v>
      </c>
      <c r="U857">
        <f>O857+Q857+S857</f>
        <v>-1683.5664349191868</v>
      </c>
      <c r="V857">
        <f>P857+R857+T857</f>
        <v>771.36721341829275</v>
      </c>
      <c r="W857">
        <f>W856+(U856*Graph!$D$5)</f>
        <v>1037.2125055070824</v>
      </c>
      <c r="X857">
        <f>X856+(V856*Graph!$D$5)</f>
        <v>8909.7165755829974</v>
      </c>
      <c r="Y857">
        <f>Y856+(W856*Graph!$D$5)+(U856*Graph!$D$5^2)</f>
        <v>15927.976304241291</v>
      </c>
      <c r="Z857">
        <f>Z856+(X856*Graph!$D$5)+(V856*Graph!$D$5^2)</f>
        <v>-9428.995879514192</v>
      </c>
    </row>
    <row r="858" spans="14:26" x14ac:dyDescent="0.35">
      <c r="N858">
        <f>N857+1</f>
        <v>855</v>
      </c>
      <c r="O858">
        <f>Graph!$D$22*((Graph!$D$18-Y858)/POWER((((Graph!$D$18-$Y858)^2)+((Graph!$E$18-$Z858)^2))+(Graph!$D$23^2),(3/2)))</f>
        <v>-140.44090553290704</v>
      </c>
      <c r="P858" s="84">
        <f>Graph!$D$22*((Graph!$E$18-Z858)/POWER((((Graph!$D$18-$Y858)^2)+((Graph!$E$18-$Z858)^2))+(Graph!$D$23^2),3/2))</f>
        <v>2023.9025887666876</v>
      </c>
      <c r="Q858">
        <f>Graph!$D$31*((Graph!$D$27-Y858)/POWER((((Graph!$D$27-$Y858)^2)+((Graph!$E$27-$Z858)^2))+(Graph!$D$32^2),3/2))</f>
        <v>-108.26043564361335</v>
      </c>
      <c r="R858">
        <f>Graph!$D$31*((Graph!$E$27-Z858)/POWER((((Graph!$D$27-$Y858)^2)+((Graph!$E$27-$Z858)^2))+(Graph!$D$32^2),3/2))</f>
        <v>44.419120891362262</v>
      </c>
      <c r="S858">
        <f>Graph!$D$40*((Graph!$D$36-Y858)/POWER((((Graph!$D$36-$Y858)^2)+((Graph!$E$36-$Z858)^2))+(Graph!$D$41^2),3/2))</f>
        <v>-1105.4054697056654</v>
      </c>
      <c r="T858">
        <f>Graph!$D$40*((Graph!$E$36-Z858)/POWER((((Graph!$D$36-$Y858)^2)+((Graph!$E$36-$Z858)^2))+(Graph!$D$41^2),3/2))</f>
        <v>-704.85644365088058</v>
      </c>
      <c r="U858">
        <f>O858+Q858+S858</f>
        <v>-1354.1068108821858</v>
      </c>
      <c r="V858">
        <f>P858+R858+T858</f>
        <v>1363.4652660071692</v>
      </c>
      <c r="W858">
        <f>W857+(U857*Graph!$D$5)</f>
        <v>195.42928804748897</v>
      </c>
      <c r="X858">
        <f>X857+(V857*Graph!$D$5)</f>
        <v>9295.4001822921437</v>
      </c>
      <c r="Y858">
        <f>Y857+(W857*Graph!$D$5)+(U857*Graph!$D$5^2)</f>
        <v>16025.690948265035</v>
      </c>
      <c r="Z858">
        <f>Z857+(X857*Graph!$D$5)+(V857*Graph!$D$5^2)</f>
        <v>-4781.2957883681202</v>
      </c>
    </row>
    <row r="859" spans="14:26" x14ac:dyDescent="0.35">
      <c r="N859">
        <f>N858+1</f>
        <v>856</v>
      </c>
      <c r="O859">
        <f>Graph!$D$22*((Graph!$D$18-Y859)/POWER((((Graph!$D$18-$Y859)^2)+((Graph!$E$18-$Z859)^2))+(Graph!$D$23^2),(3/2)))</f>
        <v>-306.80612614557515</v>
      </c>
      <c r="P859" s="84">
        <f>Graph!$D$22*((Graph!$E$18-Z859)/POWER((((Graph!$D$18-$Y859)^2)+((Graph!$E$18-$Z859)^2))+(Graph!$D$23^2),3/2))</f>
        <v>3827.9400881115739</v>
      </c>
      <c r="Q859">
        <f>Graph!$D$31*((Graph!$D$27-Y859)/POWER((((Graph!$D$27-$Y859)^2)+((Graph!$E$27-$Z859)^2))+(Graph!$D$32^2),3/2))</f>
        <v>-124.18731733510209</v>
      </c>
      <c r="R859">
        <f>Graph!$D$31*((Graph!$E$27-Z859)/POWER((((Graph!$D$27-$Y859)^2)+((Graph!$E$27-$Z859)^2))+(Graph!$D$32^2),3/2))</f>
        <v>33.984544000645009</v>
      </c>
      <c r="S859">
        <f>Graph!$D$40*((Graph!$D$36-Y859)/POWER((((Graph!$D$36-$Y859)^2)+((Graph!$E$36-$Z859)^2))+(Graph!$D$41^2),3/2))</f>
        <v>-727.37229358844206</v>
      </c>
      <c r="T859">
        <f>Graph!$D$40*((Graph!$E$36-Z859)/POWER((((Graph!$D$36-$Y859)^2)+((Graph!$E$36-$Z859)^2))+(Graph!$D$41^2),3/2))</f>
        <v>-700.7559188101061</v>
      </c>
      <c r="U859">
        <f>O859+Q859+S859</f>
        <v>-1158.3657370691194</v>
      </c>
      <c r="V859">
        <f>P859+R859+T859</f>
        <v>3161.1687133021132</v>
      </c>
      <c r="W859">
        <f>W858+(U858*Graph!$D$5)</f>
        <v>-481.62411739360391</v>
      </c>
      <c r="X859">
        <f>X858+(V858*Graph!$D$5)</f>
        <v>9977.1328152957285</v>
      </c>
      <c r="Y859">
        <f>Y858+(W858*Graph!$D$5)+(U858*Graph!$D$5^2)</f>
        <v>15784.878889568234</v>
      </c>
      <c r="Z859">
        <f>Z858+(X858*Graph!$D$5)+(V858*Graph!$D$5^2)</f>
        <v>207.27061927974398</v>
      </c>
    </row>
    <row r="860" spans="14:26" x14ac:dyDescent="0.35">
      <c r="N860">
        <f>N859+1</f>
        <v>857</v>
      </c>
      <c r="O860">
        <f>Graph!$D$22*((Graph!$D$18-Y860)/POWER((((Graph!$D$18-$Y860)^2)+((Graph!$E$18-$Z860)^2))+(Graph!$D$23^2),(3/2)))</f>
        <v>-504.28901810118867</v>
      </c>
      <c r="P860" s="84">
        <f>Graph!$D$22*((Graph!$E$18-Z860)/POWER((((Graph!$D$18-$Y860)^2)+((Graph!$E$18-$Z860)^2))+(Graph!$D$23^2),3/2))</f>
        <v>7954.2108544842704</v>
      </c>
      <c r="Q860">
        <f>Graph!$D$31*((Graph!$D$27-Y860)/POWER((((Graph!$D$27-$Y860)^2)+((Graph!$E$27-$Z860)^2))+(Graph!$D$32^2),3/2))</f>
        <v>-139.69024767010384</v>
      </c>
      <c r="R860">
        <f>Graph!$D$31*((Graph!$E$27-Z860)/POWER((((Graph!$D$27-$Y860)^2)+((Graph!$E$27-$Z860)^2))+(Graph!$D$32^2),3/2))</f>
        <v>15.904324178030302</v>
      </c>
      <c r="S860">
        <f>Graph!$D$40*((Graph!$D$36-Y860)/POWER((((Graph!$D$36-$Y860)^2)+((Graph!$E$36-$Z860)^2))+(Graph!$D$41^2),3/2))</f>
        <v>-433.01597188731381</v>
      </c>
      <c r="T860">
        <f>Graph!$D$40*((Graph!$E$36-Z860)/POWER((((Graph!$D$36-$Y860)^2)+((Graph!$E$36-$Z860)^2))+(Graph!$D$41^2),3/2))</f>
        <v>-595.71561116997748</v>
      </c>
      <c r="U860">
        <f>O860+Q860+S860</f>
        <v>-1076.9952376586064</v>
      </c>
      <c r="V860">
        <f>P860+R860+T860</f>
        <v>7374.3995674923226</v>
      </c>
      <c r="W860">
        <f>W859+(U859*Graph!$D$5)</f>
        <v>-1060.8069859281636</v>
      </c>
      <c r="X860">
        <f>X859+(V859*Graph!$D$5)</f>
        <v>11557.717171946784</v>
      </c>
      <c r="Y860">
        <f>Y859+(W859*Graph!$D$5)+(U859*Graph!$D$5^2)</f>
        <v>15254.475396604152</v>
      </c>
      <c r="Z860">
        <f>Z859+(X859*Graph!$D$5)+(V859*Graph!$D$5^2)</f>
        <v>5986.1292052531371</v>
      </c>
    </row>
    <row r="861" spans="14:26" x14ac:dyDescent="0.35">
      <c r="N861">
        <f>N860+1</f>
        <v>858</v>
      </c>
      <c r="O861">
        <f>Graph!$D$22*((Graph!$D$18-Y861)/POWER((((Graph!$D$18-$Y861)^2)+((Graph!$E$18-$Z861)^2))+(Graph!$D$23^2),(3/2)))</f>
        <v>1203.4075520326792</v>
      </c>
      <c r="P861" s="84">
        <f>Graph!$D$22*((Graph!$E$18-Z861)/POWER((((Graph!$D$18-$Y861)^2)+((Graph!$E$18-$Z861)^2))+(Graph!$D$23^2),3/2))</f>
        <v>-7965.4908783127003</v>
      </c>
      <c r="Q861">
        <f>Graph!$D$31*((Graph!$D$27-Y861)/POWER((((Graph!$D$27-$Y861)^2)+((Graph!$E$27-$Z861)^2))+(Graph!$D$32^2),3/2))</f>
        <v>-146.5784935574905</v>
      </c>
      <c r="R861">
        <f>Graph!$D$31*((Graph!$E$27-Z861)/POWER((((Graph!$D$27-$Y861)^2)+((Graph!$E$27-$Z861)^2))+(Graph!$D$32^2),3/2))</f>
        <v>-15.351735953260651</v>
      </c>
      <c r="S861">
        <f>Graph!$D$40*((Graph!$D$36-Y861)/POWER((((Graph!$D$36-$Y861)^2)+((Graph!$E$36-$Z861)^2))+(Graph!$D$41^2),3/2))</f>
        <v>-221.68910671097939</v>
      </c>
      <c r="T861">
        <f>Graph!$D$40*((Graph!$E$36-Z861)/POWER((((Graph!$D$36-$Y861)^2)+((Graph!$E$36-$Z861)^2))+(Graph!$D$41^2),3/2))</f>
        <v>-438.76097316353463</v>
      </c>
      <c r="U861">
        <f>O861+Q861+S861</f>
        <v>835.1399517642094</v>
      </c>
      <c r="V861">
        <f>P861+R861+T861</f>
        <v>-8419.6035874294957</v>
      </c>
      <c r="W861">
        <f>W860+(U860*Graph!$D$5)</f>
        <v>-1599.3046047574667</v>
      </c>
      <c r="X861">
        <f>X860+(V860*Graph!$D$5)</f>
        <v>15244.916955692945</v>
      </c>
      <c r="Y861">
        <f>Y860+(W860*Graph!$D$5)+(U860*Graph!$D$5^2)</f>
        <v>14454.823094225418</v>
      </c>
      <c r="Z861">
        <f>Z860+(X860*Graph!$D$5)+(V860*Graph!$D$5^2)</f>
        <v>13608.587683099609</v>
      </c>
    </row>
    <row r="862" spans="14:26" x14ac:dyDescent="0.35">
      <c r="N862">
        <f>N861+1</f>
        <v>859</v>
      </c>
      <c r="O862">
        <f>Graph!$D$22*((Graph!$D$18-Y862)/POWER((((Graph!$D$18-$Y862)^2)+((Graph!$E$18-$Z862)^2))+(Graph!$D$23^2),(3/2)))</f>
        <v>518.57791026119946</v>
      </c>
      <c r="P862" s="84">
        <f>Graph!$D$22*((Graph!$E$18-Z862)/POWER((((Graph!$D$18-$Y862)^2)+((Graph!$E$18-$Z862)^2))+(Graph!$D$23^2),3/2))</f>
        <v>-4165.8742288279909</v>
      </c>
      <c r="Q862">
        <f>Graph!$D$31*((Graph!$D$27-Y862)/POWER((((Graph!$D$27-$Y862)^2)+((Graph!$E$27-$Z862)^2))+(Graph!$D$32^2),3/2))</f>
        <v>-138.89563270552205</v>
      </c>
      <c r="R862">
        <f>Graph!$D$31*((Graph!$E$27-Z862)/POWER((((Graph!$D$27-$Y862)^2)+((Graph!$E$27-$Z862)^2))+(Graph!$D$32^2),3/2))</f>
        <v>-37.431590357045124</v>
      </c>
      <c r="S862">
        <f>Graph!$D$40*((Graph!$D$36-Y862)/POWER((((Graph!$D$36-$Y862)^2)+((Graph!$E$36-$Z862)^2))+(Graph!$D$41^2),3/2))</f>
        <v>-141.32420837600156</v>
      </c>
      <c r="T862">
        <f>Graph!$D$40*((Graph!$E$36-Z862)/POWER((((Graph!$D$36-$Y862)^2)+((Graph!$E$36-$Z862)^2))+(Graph!$D$41^2),3/2))</f>
        <v>-347.86972354621957</v>
      </c>
      <c r="U862">
        <f>O862+Q862+S862</f>
        <v>238.35806917967582</v>
      </c>
      <c r="V862">
        <f>P862+R862+T862</f>
        <v>-4551.1755427312555</v>
      </c>
      <c r="W862">
        <f>W861+(U861*Graph!$D$5)</f>
        <v>-1181.734628875362</v>
      </c>
      <c r="X862">
        <f>X861+(V861*Graph!$D$5)</f>
        <v>11035.115161978196</v>
      </c>
      <c r="Y862">
        <f>Y861+(W861*Graph!$D$5)+(U861*Graph!$D$5^2)</f>
        <v>13863.955779787735</v>
      </c>
      <c r="Z862">
        <f>Z861+(X861*Graph!$D$5)+(V861*Graph!$D$5^2)</f>
        <v>19126.145264088711</v>
      </c>
    </row>
    <row r="863" spans="14:26" x14ac:dyDescent="0.35">
      <c r="N863">
        <f>N862+1</f>
        <v>860</v>
      </c>
      <c r="O863">
        <f>Graph!$D$22*((Graph!$D$18-Y863)/POWER((((Graph!$D$18-$Y863)^2)+((Graph!$E$18-$Z863)^2))+(Graph!$D$23^2),(3/2)))</f>
        <v>286.48471737279743</v>
      </c>
      <c r="P863" s="84">
        <f>Graph!$D$22*((Graph!$E$18-Z863)/POWER((((Graph!$D$18-$Y863)^2)+((Graph!$E$18-$Z863)^2))+(Graph!$D$23^2),3/2))</f>
        <v>-2320.6294110078447</v>
      </c>
      <c r="Q863">
        <f>Graph!$D$31*((Graph!$D$27-Y863)/POWER((((Graph!$D$27-$Y863)^2)+((Graph!$E$27-$Z863)^2))+(Graph!$D$32^2),3/2))</f>
        <v>-126.87742998033535</v>
      </c>
      <c r="R863">
        <f>Graph!$D$31*((Graph!$E$27-Z863)/POWER((((Graph!$D$27-$Y863)^2)+((Graph!$E$27-$Z863)^2))+(Graph!$D$32^2),3/2))</f>
        <v>-51.408861274471398</v>
      </c>
      <c r="S863">
        <f>Graph!$D$40*((Graph!$D$36-Y863)/POWER((((Graph!$D$36-$Y863)^2)+((Graph!$E$36-$Z863)^2))+(Graph!$D$41^2),3/2))</f>
        <v>-100.88724861012967</v>
      </c>
      <c r="T863">
        <f>Graph!$D$40*((Graph!$E$36-Z863)/POWER((((Graph!$D$36-$Y863)^2)+((Graph!$E$36-$Z863)^2))+(Graph!$D$41^2),3/2))</f>
        <v>-291.37096202295243</v>
      </c>
      <c r="U863">
        <f>O863+Q863+S863</f>
        <v>58.720038782332395</v>
      </c>
      <c r="V863">
        <f>P863+R863+T863</f>
        <v>-2663.4092343052685</v>
      </c>
      <c r="W863">
        <f>W862+(U862*Graph!$D$5)</f>
        <v>-1062.555594285524</v>
      </c>
      <c r="X863">
        <f>X862+(V862*Graph!$D$5)</f>
        <v>8759.5273906125676</v>
      </c>
      <c r="Y863">
        <f>Y862+(W862*Graph!$D$5)+(U862*Graph!$D$5^2)</f>
        <v>13332.677982644973</v>
      </c>
      <c r="Z863">
        <f>Z862+(X862*Graph!$D$5)+(V862*Graph!$D$5^2)</f>
        <v>23505.908959394994</v>
      </c>
    </row>
    <row r="864" spans="14:26" x14ac:dyDescent="0.35">
      <c r="N864">
        <f>N863+1</f>
        <v>861</v>
      </c>
      <c r="O864">
        <f>Graph!$D$22*((Graph!$D$18-Y864)/POWER((((Graph!$D$18-$Y864)^2)+((Graph!$E$18-$Z864)^2))+(Graph!$D$23^2),(3/2)))</f>
        <v>194.01094551387845</v>
      </c>
      <c r="P864" s="84">
        <f>Graph!$D$22*((Graph!$E$18-Z864)/POWER((((Graph!$D$18-$Y864)^2)+((Graph!$E$18-$Z864)^2))+(Graph!$D$23^2),3/2))</f>
        <v>-1529.7418978410694</v>
      </c>
      <c r="Q864">
        <f>Graph!$D$31*((Graph!$D$27-Y864)/POWER((((Graph!$D$27-$Y864)^2)+((Graph!$E$27-$Z864)^2))+(Graph!$D$32^2),3/2))</f>
        <v>-114.25914743331542</v>
      </c>
      <c r="R864">
        <f>Graph!$D$31*((Graph!$E$27-Z864)/POWER((((Graph!$D$27-$Y864)^2)+((Graph!$E$27-$Z864)^2))+(Graph!$D$32^2),3/2))</f>
        <v>-59.956033139845204</v>
      </c>
      <c r="S864">
        <f>Graph!$D$40*((Graph!$D$36-Y864)/POWER((((Graph!$D$36-$Y864)^2)+((Graph!$E$36-$Z864)^2))+(Graph!$D$41^2),3/2))</f>
        <v>-76.642746930913148</v>
      </c>
      <c r="T864">
        <f>Graph!$D$40*((Graph!$E$36-Z864)/POWER((((Graph!$D$36-$Y864)^2)+((Graph!$E$36-$Z864)^2))+(Graph!$D$41^2),3/2))</f>
        <v>-252.48304918294355</v>
      </c>
      <c r="U864">
        <f>O864+Q864+S864</f>
        <v>3.1090511496498863</v>
      </c>
      <c r="V864">
        <f>P864+R864+T864</f>
        <v>-1842.1809801638583</v>
      </c>
      <c r="W864">
        <f>W863+(U863*Graph!$D$5)</f>
        <v>-1033.1955748943578</v>
      </c>
      <c r="X864">
        <f>X863+(V863*Graph!$D$5)</f>
        <v>7427.8227734599332</v>
      </c>
      <c r="Y864">
        <f>Y863+(W863*Graph!$D$5)+(U863*Graph!$D$5^2)</f>
        <v>12816.080195197794</v>
      </c>
      <c r="Z864">
        <f>Z863+(X863*Graph!$D$5)+(V863*Graph!$D$5^2)</f>
        <v>27219.820346124961</v>
      </c>
    </row>
    <row r="865" spans="14:26" x14ac:dyDescent="0.35">
      <c r="N865">
        <f>N864+1</f>
        <v>862</v>
      </c>
      <c r="O865">
        <f>Graph!$D$22*((Graph!$D$18-Y865)/POWER((((Graph!$D$18-$Y865)^2)+((Graph!$E$18-$Z865)^2))+(Graph!$D$23^2),(3/2)))</f>
        <v>147.37391280617805</v>
      </c>
      <c r="P865" s="84">
        <f>Graph!$D$22*((Graph!$E$18-Z865)/POWER((((Graph!$D$18-$Y865)^2)+((Graph!$E$18-$Z865)^2))+(Graph!$D$23^2),3/2))</f>
        <v>-1117.5940024280089</v>
      </c>
      <c r="Q865">
        <f>Graph!$D$31*((Graph!$D$27-Y865)/POWER((((Graph!$D$27-$Y865)^2)+((Graph!$E$27-$Z865)^2))+(Graph!$D$32^2),3/2))</f>
        <v>-102.43294051000235</v>
      </c>
      <c r="R865">
        <f>Graph!$D$31*((Graph!$E$27-Z865)/POWER((((Graph!$D$27-$Y865)^2)+((Graph!$E$27-$Z865)^2))+(Graph!$D$32^2),3/2))</f>
        <v>-64.926062977421864</v>
      </c>
      <c r="S865">
        <f>Graph!$D$40*((Graph!$D$36-Y865)/POWER((((Graph!$D$36-$Y865)^2)+((Graph!$E$36-$Z865)^2))+(Graph!$D$41^2),3/2))</f>
        <v>-60.582548567228194</v>
      </c>
      <c r="T865">
        <f>Graph!$D$40*((Graph!$E$36-Z865)/POWER((((Graph!$D$36-$Y865)^2)+((Graph!$E$36-$Z865)^2))+(Graph!$D$41^2),3/2))</f>
        <v>-223.9693797280714</v>
      </c>
      <c r="U865">
        <f>O865+Q865+S865</f>
        <v>-15.641576271052493</v>
      </c>
      <c r="V865">
        <f>P865+R865+T865</f>
        <v>-1406.4894451335022</v>
      </c>
      <c r="W865">
        <f>W864+(U864*Graph!$D$5)</f>
        <v>-1031.6410493195328</v>
      </c>
      <c r="X865">
        <f>X864+(V864*Graph!$D$5)</f>
        <v>6506.7322833780036</v>
      </c>
      <c r="Y865">
        <f>Y864+(W864*Graph!$D$5)+(U864*Graph!$D$5^2)</f>
        <v>12300.259670538027</v>
      </c>
      <c r="Z865">
        <f>Z864+(X864*Graph!$D$5)+(V864*Graph!$D$5^2)</f>
        <v>30473.186487813964</v>
      </c>
    </row>
    <row r="866" spans="14:26" x14ac:dyDescent="0.35">
      <c r="N866">
        <f>N865+1</f>
        <v>863</v>
      </c>
      <c r="O866">
        <f>Graph!$D$22*((Graph!$D$18-Y866)/POWER((((Graph!$D$18-$Y866)^2)+((Graph!$E$18-$Z866)^2))+(Graph!$D$23^2),(3/2)))</f>
        <v>120.13676753649007</v>
      </c>
      <c r="P866" s="84">
        <f>Graph!$D$22*((Graph!$E$18-Z866)/POWER((((Graph!$D$18-$Y866)^2)+((Graph!$E$18-$Z866)^2))+(Graph!$D$23^2),3/2))</f>
        <v>-872.25148085853266</v>
      </c>
      <c r="Q866">
        <f>Graph!$D$31*((Graph!$D$27-Y866)/POWER((((Graph!$D$27-$Y866)^2)+((Graph!$E$27-$Z866)^2))+(Graph!$D$32^2),3/2))</f>
        <v>-91.869043248038281</v>
      </c>
      <c r="R866">
        <f>Graph!$D$31*((Graph!$E$27-Z866)/POWER((((Graph!$D$27-$Y866)^2)+((Graph!$E$27-$Z866)^2))+(Graph!$D$32^2),3/2))</f>
        <v>-67.570697029658703</v>
      </c>
      <c r="S866">
        <f>Graph!$D$40*((Graph!$D$36-Y866)/POWER((((Graph!$D$36-$Y866)^2)+((Graph!$E$36-$Z866)^2))+(Graph!$D$41^2),3/2))</f>
        <v>-49.230483575125433</v>
      </c>
      <c r="T866">
        <f>Graph!$D$40*((Graph!$E$36-Z866)/POWER((((Graph!$D$36-$Y866)^2)+((Graph!$E$36-$Z866)^2))+(Graph!$D$41^2),3/2))</f>
        <v>-202.15741247195012</v>
      </c>
      <c r="U866">
        <f>O866+Q866+S866</f>
        <v>-20.962759286673645</v>
      </c>
      <c r="V866">
        <f>P866+R866+T866</f>
        <v>-1141.9795903601416</v>
      </c>
      <c r="W866">
        <f>W865+(U865*Graph!$D$5)</f>
        <v>-1039.4618374550591</v>
      </c>
      <c r="X866">
        <f>X865+(V865*Graph!$D$5)</f>
        <v>5803.4875608112525</v>
      </c>
      <c r="Y866">
        <f>Y865+(W865*Graph!$D$5)+(U865*Graph!$D$5^2)</f>
        <v>11780.528751810498</v>
      </c>
      <c r="Z866">
        <f>Z865+(X865*Graph!$D$5)+(V865*Graph!$D$5^2)</f>
        <v>33374.930268219585</v>
      </c>
    </row>
    <row r="867" spans="14:26" x14ac:dyDescent="0.35">
      <c r="N867">
        <f>N866+1</f>
        <v>864</v>
      </c>
      <c r="O867">
        <f>Graph!$D$22*((Graph!$D$18-Y867)/POWER((((Graph!$D$18-$Y867)^2)+((Graph!$E$18-$Z867)^2))+(Graph!$D$23^2),(3/2)))</f>
        <v>102.642147517105</v>
      </c>
      <c r="P867" s="84">
        <f>Graph!$D$22*((Graph!$E$18-Z867)/POWER((((Graph!$D$18-$Y867)^2)+((Graph!$E$18-$Z867)^2))+(Graph!$D$23^2),3/2))</f>
        <v>-712.46659293062987</v>
      </c>
      <c r="Q867">
        <f>Graph!$D$31*((Graph!$D$27-Y867)/POWER((((Graph!$D$27-$Y867)^2)+((Graph!$E$27-$Z867)^2))+(Graph!$D$32^2),3/2))</f>
        <v>-82.644799473367357</v>
      </c>
      <c r="R867">
        <f>Graph!$D$31*((Graph!$E$27-Z867)/POWER((((Graph!$D$27-$Y867)^2)+((Graph!$E$27-$Z867)^2))+(Graph!$D$32^2),3/2))</f>
        <v>-68.724923992493459</v>
      </c>
      <c r="S867">
        <f>Graph!$D$40*((Graph!$D$36-Y867)/POWER((((Graph!$D$36-$Y867)^2)+((Graph!$E$36-$Z867)^2))+(Graph!$D$41^2),3/2))</f>
        <v>-40.826596848084399</v>
      </c>
      <c r="T867">
        <f>Graph!$D$40*((Graph!$E$36-Z867)/POWER((((Graph!$D$36-$Y867)^2)+((Graph!$E$36-$Z867)^2))+(Graph!$D$41^2),3/2))</f>
        <v>-184.95719825420909</v>
      </c>
      <c r="U867">
        <f>O867+Q867+S867</f>
        <v>-20.829248804346754</v>
      </c>
      <c r="V867">
        <f>P867+R867+T867</f>
        <v>-966.14871517733241</v>
      </c>
      <c r="W867">
        <f>W866+(U866*Graph!$D$5)</f>
        <v>-1049.943217098396</v>
      </c>
      <c r="X867">
        <f>X866+(V866*Graph!$D$5)</f>
        <v>5232.4977656311821</v>
      </c>
      <c r="Y867">
        <f>Y866+(W866*Graph!$D$5)+(U866*Graph!$D$5^2)</f>
        <v>11255.5571432613</v>
      </c>
      <c r="Z867">
        <f>Z866+(X866*Graph!$D$5)+(V866*Graph!$D$5^2)</f>
        <v>35991.179151035176</v>
      </c>
    </row>
    <row r="868" spans="14:26" x14ac:dyDescent="0.35">
      <c r="N868">
        <f>N867+1</f>
        <v>865</v>
      </c>
      <c r="O868">
        <f>Graph!$D$22*((Graph!$D$18-Y868)/POWER((((Graph!$D$18-$Y868)^2)+((Graph!$E$18-$Z868)^2))+(Graph!$D$23^2),(3/2)))</f>
        <v>90.65302846793422</v>
      </c>
      <c r="P868" s="84">
        <f>Graph!$D$22*((Graph!$E$18-Z868)/POWER((((Graph!$D$18-$Y868)^2)+((Graph!$E$18-$Z868)^2))+(Graph!$D$23^2),3/2))</f>
        <v>-601.56290896741746</v>
      </c>
      <c r="Q868">
        <f>Graph!$D$31*((Graph!$D$27-Y868)/POWER((((Graph!$D$27-$Y868)^2)+((Graph!$E$27-$Z868)^2))+(Graph!$D$32^2),3/2))</f>
        <v>-74.675745617829634</v>
      </c>
      <c r="R868">
        <f>Graph!$D$31*((Graph!$E$27-Z868)/POWER((((Graph!$D$27-$Y868)^2)+((Graph!$E$27-$Z868)^2))+(Graph!$D$32^2),3/2))</f>
        <v>-68.94118713120929</v>
      </c>
      <c r="S868">
        <f>Graph!$D$40*((Graph!$D$36-Y868)/POWER((((Graph!$D$36-$Y868)^2)+((Graph!$E$36-$Z868)^2))+(Graph!$D$41^2),3/2))</f>
        <v>-34.38355710615312</v>
      </c>
      <c r="T868">
        <f>Graph!$D$40*((Graph!$E$36-Z868)/POWER((((Graph!$D$36-$Y868)^2)+((Graph!$E$36-$Z868)^2))+(Graph!$D$41^2),3/2))</f>
        <v>-171.08106750812377</v>
      </c>
      <c r="U868">
        <f>O868+Q868+S868</f>
        <v>-18.406274256048533</v>
      </c>
      <c r="V868">
        <f>P868+R868+T868</f>
        <v>-841.58516360675048</v>
      </c>
      <c r="W868">
        <f>W867+(U867*Graph!$D$5)</f>
        <v>-1060.3578415005693</v>
      </c>
      <c r="X868">
        <f>X867+(V867*Graph!$D$5)</f>
        <v>4749.4234080425158</v>
      </c>
      <c r="Y868">
        <f>Y867+(W867*Graph!$D$5)+(U867*Graph!$D$5^2)</f>
        <v>10725.378222511015</v>
      </c>
      <c r="Z868">
        <f>Z867+(X867*Graph!$D$5)+(V867*Graph!$D$5^2)</f>
        <v>38365.890855056437</v>
      </c>
    </row>
    <row r="869" spans="14:26" x14ac:dyDescent="0.35">
      <c r="N869">
        <f>N868+1</f>
        <v>866</v>
      </c>
      <c r="O869">
        <f>Graph!$D$22*((Graph!$D$18-Y869)/POWER((((Graph!$D$18-$Y869)^2)+((Graph!$E$18-$Z869)^2))+(Graph!$D$23^2),(3/2)))</f>
        <v>82.054391959297476</v>
      </c>
      <c r="P869" s="84">
        <f>Graph!$D$22*((Graph!$E$18-Z869)/POWER((((Graph!$D$18-$Y869)^2)+((Graph!$E$18-$Z869)^2))+(Graph!$D$23^2),3/2))</f>
        <v>-520.88333908326479</v>
      </c>
      <c r="Q869">
        <f>Graph!$D$31*((Graph!$D$27-Y869)/POWER((((Graph!$D$27-$Y869)^2)+((Graph!$E$27-$Z869)^2))+(Graph!$D$32^2),3/2))</f>
        <v>-67.820688137232949</v>
      </c>
      <c r="R869">
        <f>Graph!$D$31*((Graph!$E$27-Z869)/POWER((((Graph!$D$27-$Y869)^2)+((Graph!$E$27-$Z869)^2))+(Graph!$D$32^2),3/2))</f>
        <v>-68.583590705215144</v>
      </c>
      <c r="S869">
        <f>Graph!$D$40*((Graph!$D$36-Y869)/POWER((((Graph!$D$36-$Y869)^2)+((Graph!$E$36-$Z869)^2))+(Graph!$D$41^2),3/2))</f>
        <v>-29.30510566235651</v>
      </c>
      <c r="T869">
        <f>Graph!$D$40*((Graph!$E$36-Z869)/POWER((((Graph!$D$36-$Y869)^2)+((Graph!$E$36-$Z869)^2))+(Graph!$D$41^2),3/2))</f>
        <v>-159.68823465970249</v>
      </c>
      <c r="U869">
        <f>O869+Q869+S869</f>
        <v>-15.071401840291983</v>
      </c>
      <c r="V869">
        <f>P869+R869+T869</f>
        <v>-749.1551644481824</v>
      </c>
      <c r="W869">
        <f>W868+(U868*Graph!$D$5)</f>
        <v>-1069.5609786285936</v>
      </c>
      <c r="X869">
        <f>X868+(V868*Graph!$D$5)</f>
        <v>4328.6308262391403</v>
      </c>
      <c r="Y869">
        <f>Y868+(W868*Graph!$D$5)+(U868*Graph!$D$5^2)</f>
        <v>10190.597733196719</v>
      </c>
      <c r="Z869">
        <f>Z868+(X868*Graph!$D$5)+(V868*Graph!$D$5^2)</f>
        <v>40530.206268176014</v>
      </c>
    </row>
    <row r="870" spans="14:26" x14ac:dyDescent="0.35">
      <c r="N870">
        <f>N869+1</f>
        <v>867</v>
      </c>
      <c r="O870">
        <f>Graph!$D$22*((Graph!$D$18-Y870)/POWER((((Graph!$D$18-$Y870)^2)+((Graph!$E$18-$Z870)^2))+(Graph!$D$23^2),(3/2)))</f>
        <v>75.685610134960712</v>
      </c>
      <c r="P870" s="84">
        <f>Graph!$D$22*((Graph!$E$18-Z870)/POWER((((Graph!$D$18-$Y870)^2)+((Graph!$E$18-$Z870)^2))+(Graph!$D$23^2),3/2))</f>
        <v>-460.05094962297301</v>
      </c>
      <c r="Q870">
        <f>Graph!$D$31*((Graph!$D$27-Y870)/POWER((((Graph!$D$27-$Y870)^2)+((Graph!$E$27-$Z870)^2))+(Graph!$D$32^2),3/2))</f>
        <v>-61.928761209680317</v>
      </c>
      <c r="R870">
        <f>Graph!$D$31*((Graph!$E$27-Z870)/POWER((((Graph!$D$27-$Y870)^2)+((Graph!$E$27-$Z870)^2))+(Graph!$D$32^2),3/2))</f>
        <v>-67.891855855676923</v>
      </c>
      <c r="S870">
        <f>Graph!$D$40*((Graph!$D$36-Y870)/POWER((((Graph!$D$36-$Y870)^2)+((Graph!$E$36-$Z870)^2))+(Graph!$D$41^2),3/2))</f>
        <v>-25.210467958154315</v>
      </c>
      <c r="T870">
        <f>Graph!$D$40*((Graph!$E$36-Z870)/POWER((((Graph!$D$36-$Y870)^2)+((Graph!$E$36-$Z870)^2))+(Graph!$D$41^2),3/2))</f>
        <v>-150.20481071388684</v>
      </c>
      <c r="U870">
        <f>O870+Q870+S870</f>
        <v>-11.45361903287392</v>
      </c>
      <c r="V870">
        <f>P870+R870+T870</f>
        <v>-678.14761619253682</v>
      </c>
      <c r="W870">
        <f>W869+(U869*Graph!$D$5)</f>
        <v>-1077.0966795487395</v>
      </c>
      <c r="X870">
        <f>X869+(V869*Graph!$D$5)</f>
        <v>3954.0532440150491</v>
      </c>
      <c r="Y870">
        <f>Y869+(W869*Graph!$D$5)+(U869*Graph!$D$5^2)</f>
        <v>9652.0493934223487</v>
      </c>
      <c r="Z870">
        <f>Z869+(X869*Graph!$D$5)+(V869*Graph!$D$5^2)</f>
        <v>42507.232890183535</v>
      </c>
    </row>
    <row r="871" spans="14:26" x14ac:dyDescent="0.35">
      <c r="N871">
        <f>N870+1</f>
        <v>868</v>
      </c>
      <c r="O871">
        <f>Graph!$D$22*((Graph!$D$18-Y871)/POWER((((Graph!$D$18-$Y871)^2)+((Graph!$E$18-$Z871)^2))+(Graph!$D$23^2),(3/2)))</f>
        <v>70.862267796057168</v>
      </c>
      <c r="P871" s="84">
        <f>Graph!$D$22*((Graph!$E$18-Z871)/POWER((((Graph!$D$18-$Y871)^2)+((Graph!$E$18-$Z871)^2))+(Graph!$D$23^2),3/2))</f>
        <v>-412.88324912581442</v>
      </c>
      <c r="Q871">
        <f>Graph!$D$31*((Graph!$D$27-Y871)/POWER((((Graph!$D$27-$Y871)^2)+((Graph!$E$27-$Z871)^2))+(Graph!$D$32^2),3/2))</f>
        <v>-56.859173572824439</v>
      </c>
      <c r="R871">
        <f>Graph!$D$31*((Graph!$E$27-Z871)/POWER((((Graph!$D$27-$Y871)^2)+((Graph!$E$27-$Z871)^2))+(Graph!$D$32^2),3/2))</f>
        <v>-67.023841676451013</v>
      </c>
      <c r="S871">
        <f>Graph!$D$40*((Graph!$D$36-Y871)/POWER((((Graph!$D$36-$Y871)^2)+((Graph!$E$36-$Z871)^2))+(Graph!$D$41^2),3/2))</f>
        <v>-21.845529391011212</v>
      </c>
      <c r="T871">
        <f>Graph!$D$40*((Graph!$E$36-Z871)/POWER((((Graph!$D$36-$Y871)^2)+((Graph!$E$36-$Z871)^2))+(Graph!$D$41^2),3/2))</f>
        <v>-142.22511815226977</v>
      </c>
      <c r="U871">
        <f>O871+Q871+S871</f>
        <v>-7.8424351677784827</v>
      </c>
      <c r="V871">
        <f>P871+R871+T871</f>
        <v>-622.13220895453514</v>
      </c>
      <c r="W871">
        <f>W870+(U870*Graph!$D$5)</f>
        <v>-1082.8234890651765</v>
      </c>
      <c r="X871">
        <f>X870+(V870*Graph!$D$5)</f>
        <v>3614.9794359187808</v>
      </c>
      <c r="Y871">
        <f>Y870+(W870*Graph!$D$5)+(U870*Graph!$D$5^2)</f>
        <v>9110.6376488897604</v>
      </c>
      <c r="Z871">
        <f>Z870+(X870*Graph!$D$5)+(V870*Graph!$D$5^2)</f>
        <v>44314.722608142925</v>
      </c>
    </row>
    <row r="872" spans="14:26" x14ac:dyDescent="0.35">
      <c r="N872">
        <f>N871+1</f>
        <v>869</v>
      </c>
      <c r="O872">
        <f>Graph!$D$22*((Graph!$D$18-Y872)/POWER((((Graph!$D$18-$Y872)^2)+((Graph!$E$18-$Z872)^2))+(Graph!$D$23^2),(3/2)))</f>
        <v>67.157493348291965</v>
      </c>
      <c r="P872" s="84">
        <f>Graph!$D$22*((Graph!$E$18-Z872)/POWER((((Graph!$D$18-$Y872)^2)+((Graph!$E$18-$Z872)^2))+(Graph!$D$23^2),3/2))</f>
        <v>-375.49069487187688</v>
      </c>
      <c r="Q872">
        <f>Graph!$D$31*((Graph!$D$27-Y872)/POWER((((Graph!$D$27-$Y872)^2)+((Graph!$E$27-$Z872)^2))+(Graph!$D$32^2),3/2))</f>
        <v>-52.488185172719902</v>
      </c>
      <c r="R872">
        <f>Graph!$D$31*((Graph!$E$27-Z872)/POWER((((Graph!$D$27-$Y872)^2)+((Graph!$E$27-$Z872)^2))+(Graph!$D$32^2),3/2))</f>
        <v>-66.083529600834737</v>
      </c>
      <c r="S872">
        <f>Graph!$D$40*((Graph!$D$36-Y872)/POWER((((Graph!$D$36-$Y872)^2)+((Graph!$E$36-$Z872)^2))+(Graph!$D$41^2),3/2))</f>
        <v>-19.034522692547799</v>
      </c>
      <c r="T872">
        <f>Graph!$D$40*((Graph!$E$36-Z872)/POWER((((Graph!$D$36-$Y872)^2)+((Graph!$E$36-$Z872)^2))+(Graph!$D$41^2),3/2))</f>
        <v>-135.45415019753736</v>
      </c>
      <c r="U872">
        <f>O872+Q872+S872</f>
        <v>-4.3652145169757368</v>
      </c>
      <c r="V872">
        <f>P872+R872+T872</f>
        <v>-577.02837467024904</v>
      </c>
      <c r="W872">
        <f>W871+(U871*Graph!$D$5)</f>
        <v>-1086.7447066490658</v>
      </c>
      <c r="X872">
        <f>X871+(V871*Graph!$D$5)</f>
        <v>3303.913331441513</v>
      </c>
      <c r="Y872">
        <f>Y871+(W871*Graph!$D$5)+(U871*Graph!$D$5^2)</f>
        <v>8567.2652955652284</v>
      </c>
      <c r="Z872">
        <f>Z871+(X871*Graph!$D$5)+(V871*Graph!$D$5^2)</f>
        <v>45966.67927386368</v>
      </c>
    </row>
    <row r="873" spans="14:26" x14ac:dyDescent="0.35">
      <c r="N873">
        <f>N872+1</f>
        <v>870</v>
      </c>
      <c r="O873">
        <f>Graph!$D$22*((Graph!$D$18-Y873)/POWER((((Graph!$D$18-$Y873)^2)+((Graph!$E$18-$Z873)^2))+(Graph!$D$23^2),(3/2)))</f>
        <v>64.292967588439822</v>
      </c>
      <c r="P873" s="84">
        <f>Graph!$D$22*((Graph!$E$18-Z873)/POWER((((Graph!$D$18-$Y873)^2)+((Graph!$E$18-$Z873)^2))+(Graph!$D$23^2),3/2))</f>
        <v>-345.31611396783626</v>
      </c>
      <c r="Q873">
        <f>Graph!$D$31*((Graph!$D$27-Y873)/POWER((((Graph!$D$27-$Y873)^2)+((Graph!$E$27-$Z873)^2))+(Graph!$D$32^2),3/2))</f>
        <v>-48.710297610636196</v>
      </c>
      <c r="R873">
        <f>Graph!$D$31*((Graph!$E$27-Z873)/POWER((((Graph!$D$27-$Y873)^2)+((Graph!$E$27-$Z873)^2))+(Graph!$D$32^2),3/2))</f>
        <v>-65.139387913420265</v>
      </c>
      <c r="S873">
        <f>Graph!$D$40*((Graph!$D$36-Y873)/POWER((((Graph!$D$36-$Y873)^2)+((Graph!$E$36-$Z873)^2))+(Graph!$D$41^2),3/2))</f>
        <v>-16.652192656635297</v>
      </c>
      <c r="T873">
        <f>Graph!$D$40*((Graph!$E$36-Z873)/POWER((((Graph!$D$36-$Y873)^2)+((Graph!$E$36-$Z873)^2))+(Graph!$D$41^2),3/2))</f>
        <v>-129.67233137598609</v>
      </c>
      <c r="U873">
        <f>O873+Q873+S873</f>
        <v>-1.069522678831671</v>
      </c>
      <c r="V873">
        <f>P873+R873+T873</f>
        <v>-540.12783325724263</v>
      </c>
      <c r="W873">
        <f>W872+(U872*Graph!$D$5)</f>
        <v>-1088.9273139075538</v>
      </c>
      <c r="X873">
        <f>X872+(V872*Graph!$D$5)</f>
        <v>3015.3991441063886</v>
      </c>
      <c r="Y873">
        <f>Y872+(W872*Graph!$D$5)+(U872*Graph!$D$5^2)</f>
        <v>8022.8016386114514</v>
      </c>
      <c r="Z873">
        <f>Z872+(X872*Graph!$D$5)+(V872*Graph!$D$5^2)</f>
        <v>47474.378845916872</v>
      </c>
    </row>
    <row r="874" spans="14:26" x14ac:dyDescent="0.35">
      <c r="N874">
        <f>N873+1</f>
        <v>871</v>
      </c>
      <c r="O874">
        <f>Graph!$D$22*((Graph!$D$18-Y874)/POWER((((Graph!$D$18-$Y874)^2)+((Graph!$E$18-$Z874)^2))+(Graph!$D$23^2),(3/2)))</f>
        <v>62.080719276476287</v>
      </c>
      <c r="P874" s="84">
        <f>Graph!$D$22*((Graph!$E$18-Z874)/POWER((((Graph!$D$18-$Y874)^2)+((Graph!$E$18-$Z874)^2))+(Graph!$D$23^2),3/2))</f>
        <v>-320.61622198938466</v>
      </c>
      <c r="Q874">
        <f>Graph!$D$31*((Graph!$D$27-Y874)/POWER((((Graph!$D$27-$Y874)^2)+((Graph!$E$27-$Z874)^2))+(Graph!$D$32^2),3/2))</f>
        <v>-45.437007701982822</v>
      </c>
      <c r="R874">
        <f>Graph!$D$31*((Graph!$E$27-Z874)/POWER((((Graph!$D$27-$Y874)^2)+((Graph!$E$27-$Z874)^2))+(Graph!$D$32^2),3/2))</f>
        <v>-64.236444211013833</v>
      </c>
      <c r="S874">
        <f>Graph!$D$40*((Graph!$D$36-Y874)/POWER((((Graph!$D$36-$Y874)^2)+((Graph!$E$36-$Z874)^2))+(Graph!$D$41^2),3/2))</f>
        <v>-14.606987421398868</v>
      </c>
      <c r="T874">
        <f>Graph!$D$40*((Graph!$E$36-Z874)/POWER((((Graph!$D$36-$Y874)^2)+((Graph!$E$36-$Z874)^2))+(Graph!$D$41^2),3/2))</f>
        <v>-124.7130515732826</v>
      </c>
      <c r="U874">
        <f>O874+Q874+S874</f>
        <v>2.0367241530945979</v>
      </c>
      <c r="V874">
        <f>P874+R874+T874</f>
        <v>-509.56571777368111</v>
      </c>
      <c r="W874">
        <f>W873+(U873*Graph!$D$5)</f>
        <v>-1089.4620752469696</v>
      </c>
      <c r="X874">
        <f>X873+(V873*Graph!$D$5)</f>
        <v>2745.3352274777671</v>
      </c>
      <c r="Y874">
        <f>Y873+(W873*Graph!$D$5)+(U873*Graph!$D$5^2)</f>
        <v>7478.0706009879668</v>
      </c>
      <c r="Z874">
        <f>Z873+(X873*Graph!$D$5)+(V873*Graph!$D$5^2)</f>
        <v>48847.04645965575</v>
      </c>
    </row>
    <row r="875" spans="14:26" x14ac:dyDescent="0.35">
      <c r="N875">
        <f>N874+1</f>
        <v>872</v>
      </c>
      <c r="O875">
        <f>Graph!$D$22*((Graph!$D$18-Y875)/POWER((((Graph!$D$18-$Y875)^2)+((Graph!$E$18-$Z875)^2))+(Graph!$D$23^2),(3/2)))</f>
        <v>60.390240796702699</v>
      </c>
      <c r="P875" s="84">
        <f>Graph!$D$22*((Graph!$E$18-Z875)/POWER((((Graph!$D$18-$Y875)^2)+((Graph!$E$18-$Z875)^2))+(Graph!$D$23^2),3/2))</f>
        <v>-300.16608192007402</v>
      </c>
      <c r="Q875">
        <f>Graph!$D$31*((Graph!$D$27-Y875)/POWER((((Graph!$D$27-$Y875)^2)+((Graph!$E$27-$Z875)^2))+(Graph!$D$32^2),3/2))</f>
        <v>-42.594706029944412</v>
      </c>
      <c r="R875">
        <f>Graph!$D$31*((Graph!$E$27-Z875)/POWER((((Graph!$D$27-$Y875)^2)+((Graph!$E$27-$Z875)^2))+(Graph!$D$32^2),3/2))</f>
        <v>-63.404258087388079</v>
      </c>
      <c r="S875">
        <f>Graph!$D$40*((Graph!$D$36-Y875)/POWER((((Graph!$D$36-$Y875)^2)+((Graph!$E$36-$Z875)^2))+(Graph!$D$41^2),3/2))</f>
        <v>-12.830502638737045</v>
      </c>
      <c r="T875">
        <f>Graph!$D$40*((Graph!$E$36-Z875)/POWER((((Graph!$D$36-$Y875)^2)+((Graph!$E$36-$Z875)^2))+(Graph!$D$41^2),3/2))</f>
        <v>-120.44785633936927</v>
      </c>
      <c r="U875">
        <f>O875+Q875+S875</f>
        <v>4.9650321280212424</v>
      </c>
      <c r="V875">
        <f>P875+R875+T875</f>
        <v>-484.01819634683136</v>
      </c>
      <c r="W875">
        <f>W874+(U874*Graph!$D$5)</f>
        <v>-1088.4437131704224</v>
      </c>
      <c r="X875">
        <f>X874+(V874*Graph!$D$5)</f>
        <v>2490.5523685909266</v>
      </c>
      <c r="Y875">
        <f>Y874+(W874*Graph!$D$5)+(U874*Graph!$D$5^2)</f>
        <v>6933.848744402756</v>
      </c>
      <c r="Z875">
        <f>Z874+(X874*Graph!$D$5)+(V874*Graph!$D$5^2)</f>
        <v>50092.322643951215</v>
      </c>
    </row>
    <row r="876" spans="14:26" x14ac:dyDescent="0.35">
      <c r="N876">
        <f>N875+1</f>
        <v>873</v>
      </c>
      <c r="O876">
        <f>Graph!$D$22*((Graph!$D$18-Y876)/POWER((((Graph!$D$18-$Y876)^2)+((Graph!$E$18-$Z876)^2))+(Graph!$D$23^2),(3/2)))</f>
        <v>59.129022427061301</v>
      </c>
      <c r="P876" s="84">
        <f>Graph!$D$22*((Graph!$E$18-Z876)/POWER((((Graph!$D$18-$Y876)^2)+((Graph!$E$18-$Z876)^2))+(Graph!$D$23^2),3/2))</f>
        <v>-283.08277405748129</v>
      </c>
      <c r="Q876">
        <f>Graph!$D$31*((Graph!$D$27-Y876)/POWER((((Graph!$D$27-$Y876)^2)+((Graph!$E$27-$Z876)^2))+(Graph!$D$32^2),3/2))</f>
        <v>-40.122441452934282</v>
      </c>
      <c r="R876">
        <f>Graph!$D$31*((Graph!$E$27-Z876)/POWER((((Graph!$D$27-$Y876)^2)+((Graph!$E$27-$Z876)^2))+(Graph!$D$32^2),3/2))</f>
        <v>-62.662220193579294</v>
      </c>
      <c r="S876">
        <f>Graph!$D$40*((Graph!$D$36-Y876)/POWER((((Graph!$D$36-$Y876)^2)+((Graph!$E$36-$Z876)^2))+(Graph!$D$41^2),3/2))</f>
        <v>-11.270628065468888</v>
      </c>
      <c r="T876">
        <f>Graph!$D$40*((Graph!$E$36-Z876)/POWER((((Graph!$D$36-$Y876)^2)+((Graph!$E$36-$Z876)^2))+(Graph!$D$41^2),3/2))</f>
        <v>-116.77640484057576</v>
      </c>
      <c r="U876">
        <f>O876+Q876+S876</f>
        <v>7.7359529086581311</v>
      </c>
      <c r="V876">
        <f>P876+R876+T876</f>
        <v>-462.52139909163634</v>
      </c>
      <c r="W876">
        <f>W875+(U875*Graph!$D$5)</f>
        <v>-1085.9611971064116</v>
      </c>
      <c r="X876">
        <f>X875+(V875*Graph!$D$5)</f>
        <v>2248.5432704175109</v>
      </c>
      <c r="Y876">
        <f>Y875+(W875*Graph!$D$5)+(U875*Graph!$D$5^2)</f>
        <v>6390.8681458495503</v>
      </c>
      <c r="Z876">
        <f>Z875+(X875*Graph!$D$5)+(V875*Graph!$D$5^2)</f>
        <v>51216.594279159974</v>
      </c>
    </row>
    <row r="877" spans="14:26" x14ac:dyDescent="0.35">
      <c r="N877">
        <f>N876+1</f>
        <v>874</v>
      </c>
      <c r="O877">
        <f>Graph!$D$22*((Graph!$D$18-Y877)/POWER((((Graph!$D$18-$Y877)^2)+((Graph!$E$18-$Z877)^2))+(Graph!$D$23^2),(3/2)))</f>
        <v>58.230573939178008</v>
      </c>
      <c r="P877" s="84">
        <f>Graph!$D$22*((Graph!$E$18-Z877)/POWER((((Graph!$D$18-$Y877)^2)+((Graph!$E$18-$Z877)^2))+(Graph!$D$23^2),3/2))</f>
        <v>-268.71603774605506</v>
      </c>
      <c r="Q877">
        <f>Graph!$D$31*((Graph!$D$27-Y877)/POWER((((Graph!$D$27-$Y877)^2)+((Graph!$E$27-$Z877)^2))+(Graph!$D$32^2),3/2))</f>
        <v>-37.969855965160811</v>
      </c>
      <c r="R877">
        <f>Graph!$D$31*((Graph!$E$27-Z877)/POWER((((Graph!$D$27-$Y877)^2)+((Graph!$E$27-$Z877)^2))+(Graph!$D$32^2),3/2))</f>
        <v>-62.023101795090184</v>
      </c>
      <c r="S877">
        <f>Graph!$D$40*((Graph!$D$36-Y877)/POWER((((Graph!$D$36-$Y877)^2)+((Graph!$E$36-$Z877)^2))+(Graph!$D$41^2),3/2))</f>
        <v>-9.8869682671941455</v>
      </c>
      <c r="T877">
        <f>Graph!$D$40*((Graph!$E$36-Z877)/POWER((((Graph!$D$36-$Y877)^2)+((Graph!$E$36-$Z877)^2))+(Graph!$D$41^2),3/2))</f>
        <v>-113.61949535479792</v>
      </c>
      <c r="U877">
        <f>O877+Q877+S877</f>
        <v>10.373749706823052</v>
      </c>
      <c r="V877">
        <f>P877+R877+T877</f>
        <v>-444.35863489594317</v>
      </c>
      <c r="W877">
        <f>W876+(U876*Graph!$D$5)</f>
        <v>-1082.0932206520827</v>
      </c>
      <c r="X877">
        <f>X876+(V876*Graph!$D$5)</f>
        <v>2017.2825708716928</v>
      </c>
      <c r="Y877">
        <f>Y876+(W876*Graph!$D$5)+(U876*Graph!$D$5^2)</f>
        <v>5849.8215355235088</v>
      </c>
      <c r="Z877">
        <f>Z876+(X876*Graph!$D$5)+(V876*Graph!$D$5^2)</f>
        <v>52225.235564595816</v>
      </c>
    </row>
    <row r="878" spans="14:26" x14ac:dyDescent="0.35">
      <c r="N878">
        <f>N877+1</f>
        <v>875</v>
      </c>
      <c r="O878">
        <f>Graph!$D$22*((Graph!$D$18-Y878)/POWER((((Graph!$D$18-$Y878)^2)+((Graph!$E$18-$Z878)^2))+(Graph!$D$23^2),(3/2)))</f>
        <v>57.646813434580373</v>
      </c>
      <c r="P878" s="84">
        <f>Graph!$D$22*((Graph!$E$18-Z878)/POWER((((Graph!$D$18-$Y878)^2)+((Graph!$E$18-$Z878)^2))+(Graph!$D$23^2),3/2))</f>
        <v>-256.5781589225258</v>
      </c>
      <c r="Q878">
        <f>Graph!$D$31*((Graph!$D$27-Y878)/POWER((((Graph!$D$27-$Y878)^2)+((Graph!$E$27-$Z878)^2))+(Graph!$D$32^2),3/2))</f>
        <v>-36.095396480523192</v>
      </c>
      <c r="R878">
        <f>Graph!$D$31*((Graph!$E$27-Z878)/POWER((((Graph!$D$27-$Y878)^2)+((Graph!$E$27-$Z878)^2))+(Graph!$D$32^2),3/2))</f>
        <v>-61.49545448178619</v>
      </c>
      <c r="S878">
        <f>Graph!$D$40*((Graph!$D$36-Y878)/POWER((((Graph!$D$36-$Y878)^2)+((Graph!$E$36-$Z878)^2))+(Graph!$D$41^2),3/2))</f>
        <v>-8.6477048315305804</v>
      </c>
      <c r="T878">
        <f>Graph!$D$40*((Graph!$E$36-Z878)/POWER((((Graph!$D$36-$Y878)^2)+((Graph!$E$36-$Z878)^2))+(Graph!$D$41^2),3/2))</f>
        <v>-110.91412150531831</v>
      </c>
      <c r="U878">
        <f>O878+Q878+S878</f>
        <v>12.903712122526601</v>
      </c>
      <c r="V878">
        <f>P878+R878+T878</f>
        <v>-428.98773490963026</v>
      </c>
      <c r="W878">
        <f>W877+(U877*Graph!$D$5)</f>
        <v>-1076.9063457986711</v>
      </c>
      <c r="X878">
        <f>X877+(V877*Graph!$D$5)</f>
        <v>1795.1032534237211</v>
      </c>
      <c r="Y878">
        <f>Y877+(W877*Graph!$D$5)+(U877*Graph!$D$5^2)</f>
        <v>5311.3683626241727</v>
      </c>
      <c r="Z878">
        <f>Z877+(X877*Graph!$D$5)+(V877*Graph!$D$5^2)</f>
        <v>53122.787191307681</v>
      </c>
    </row>
    <row r="879" spans="14:26" x14ac:dyDescent="0.35">
      <c r="N879">
        <f>N878+1</f>
        <v>876</v>
      </c>
      <c r="O879">
        <f>Graph!$D$22*((Graph!$D$18-Y879)/POWER((((Graph!$D$18-$Y879)^2)+((Graph!$E$18-$Z879)^2))+(Graph!$D$23^2),(3/2)))</f>
        <v>57.343105033917297</v>
      </c>
      <c r="P879" s="84">
        <f>Graph!$D$22*((Graph!$E$18-Z879)/POWER((((Graph!$D$18-$Y879)^2)+((Graph!$E$18-$Z879)^2))+(Graph!$D$23^2),3/2))</f>
        <v>-246.29771100011527</v>
      </c>
      <c r="Q879">
        <f>Graph!$D$31*((Graph!$D$27-Y879)/POWER((((Graph!$D$27-$Y879)^2)+((Graph!$E$27-$Z879)^2))+(Graph!$D$32^2),3/2))</f>
        <v>-34.46481983092422</v>
      </c>
      <c r="R879">
        <f>Graph!$D$31*((Graph!$E$27-Z879)/POWER((((Graph!$D$27-$Y879)^2)+((Graph!$E$27-$Z879)^2))+(Graph!$D$32^2),3/2))</f>
        <v>-61.085251041226577</v>
      </c>
      <c r="S879">
        <f>Graph!$D$40*((Graph!$D$36-Y879)/POWER((((Graph!$D$36-$Y879)^2)+((Graph!$E$36-$Z879)^2))+(Graph!$D$41^2),3/2))</f>
        <v>-7.5273976255837498</v>
      </c>
      <c r="T879">
        <f>Graph!$D$40*((Graph!$E$36-Z879)/POWER((((Graph!$D$36-$Y879)^2)+((Graph!$E$36-$Z879)^2))+(Graph!$D$41^2),3/2))</f>
        <v>-108.60990733565966</v>
      </c>
      <c r="U879">
        <f>O879+Q879+S879</f>
        <v>15.350887577409328</v>
      </c>
      <c r="V879">
        <f>P879+R879+T879</f>
        <v>-415.99286937700151</v>
      </c>
      <c r="W879">
        <f>W878+(U878*Graph!$D$5)</f>
        <v>-1070.4544897374078</v>
      </c>
      <c r="X879">
        <f>X878+(V878*Graph!$D$5)</f>
        <v>1580.6093859689058</v>
      </c>
      <c r="Y879">
        <f>Y878+(W878*Graph!$D$5)+(U878*Graph!$D$5^2)</f>
        <v>4776.1411177554692</v>
      </c>
      <c r="Z879">
        <f>Z878+(X878*Graph!$D$5)+(V878*Graph!$D$5^2)</f>
        <v>53913.091884292131</v>
      </c>
    </row>
    <row r="880" spans="14:26" x14ac:dyDescent="0.35">
      <c r="N880">
        <f>N879+1</f>
        <v>877</v>
      </c>
      <c r="O880">
        <f>Graph!$D$22*((Graph!$D$18-Y880)/POWER((((Graph!$D$18-$Y880)^2)+((Graph!$E$18-$Z880)^2))+(Graph!$D$23^2),(3/2)))</f>
        <v>57.294961294902848</v>
      </c>
      <c r="P880" s="84">
        <f>Graph!$D$22*((Graph!$E$18-Z880)/POWER((((Graph!$D$18-$Y880)^2)+((Graph!$E$18-$Z880)^2))+(Graph!$D$23^2),3/2))</f>
        <v>-237.58826449497266</v>
      </c>
      <c r="Q880">
        <f>Graph!$D$31*((Graph!$D$27-Y880)/POWER((((Graph!$D$27-$Y880)^2)+((Graph!$E$27-$Z880)^2))+(Graph!$D$32^2),3/2))</f>
        <v>-33.049969444016604</v>
      </c>
      <c r="R880">
        <f>Graph!$D$31*((Graph!$E$27-Z880)/POWER((((Graph!$D$27-$Y880)^2)+((Graph!$E$27-$Z880)^2))+(Graph!$D$32^2),3/2))</f>
        <v>-60.797024347924442</v>
      </c>
      <c r="S880">
        <f>Graph!$D$40*((Graph!$D$36-Y880)/POWER((((Graph!$D$36-$Y880)^2)+((Graph!$E$36-$Z880)^2))+(Graph!$D$41^2),3/2))</f>
        <v>-6.5054125227255222</v>
      </c>
      <c r="T880">
        <f>Graph!$D$40*((Graph!$E$36-Z880)/POWER((((Graph!$D$36-$Y880)^2)+((Graph!$E$36-$Z880)^2))+(Graph!$D$41^2),3/2))</f>
        <v>-106.66650039581722</v>
      </c>
      <c r="U880">
        <f>O880+Q880+S880</f>
        <v>17.739579328160723</v>
      </c>
      <c r="V880">
        <f>P880+R880+T880</f>
        <v>-405.05178923871438</v>
      </c>
      <c r="W880">
        <f>W879+(U879*Graph!$D$5)</f>
        <v>-1062.7790459487032</v>
      </c>
      <c r="X880">
        <f>X879+(V879*Graph!$D$5)</f>
        <v>1372.612951280405</v>
      </c>
      <c r="Y880">
        <f>Y879+(W879*Graph!$D$5)+(U879*Graph!$D$5^2)</f>
        <v>4244.751594781118</v>
      </c>
      <c r="Z880">
        <f>Z879+(X879*Graph!$D$5)+(V879*Graph!$D$5^2)</f>
        <v>54599.398359932333</v>
      </c>
    </row>
    <row r="881" spans="14:26" x14ac:dyDescent="0.35">
      <c r="N881">
        <f>N880+1</f>
        <v>878</v>
      </c>
      <c r="O881">
        <f>Graph!$D$22*((Graph!$D$18-Y881)/POWER((((Graph!$D$18-$Y881)^2)+((Graph!$E$18-$Z881)^2))+(Graph!$D$23^2),(3/2)))</f>
        <v>57.485827856269871</v>
      </c>
      <c r="P881" s="84">
        <f>Graph!$D$22*((Graph!$E$18-Z881)/POWER((((Graph!$D$18-$Y881)^2)+((Graph!$E$18-$Z881)^2))+(Graph!$D$23^2),3/2))</f>
        <v>-230.22675983490714</v>
      </c>
      <c r="Q881">
        <f>Graph!$D$31*((Graph!$D$27-Y881)/POWER((((Graph!$D$27-$Y881)^2)+((Graph!$E$27-$Z881)^2))+(Graph!$D$32^2),3/2))</f>
        <v>-31.827789436666343</v>
      </c>
      <c r="R881">
        <f>Graph!$D$31*((Graph!$E$27-Z881)/POWER((((Graph!$D$27-$Y881)^2)+((Graph!$E$27-$Z881)^2))+(Graph!$D$32^2),3/2))</f>
        <v>-60.634674639291411</v>
      </c>
      <c r="S881">
        <f>Graph!$D$40*((Graph!$D$36-Y881)/POWER((((Graph!$D$36-$Y881)^2)+((Graph!$E$36-$Z881)^2))+(Graph!$D$41^2),3/2))</f>
        <v>-5.5647758453810452</v>
      </c>
      <c r="T881">
        <f>Graph!$D$40*((Graph!$E$36-Z881)/POWER((((Graph!$D$36-$Y881)^2)+((Graph!$E$36-$Z881)^2))+(Graph!$D$41^2),3/2))</f>
        <v>-105.05164495156757</v>
      </c>
      <c r="U881">
        <f>O881+Q881+S881</f>
        <v>20.093262574222482</v>
      </c>
      <c r="V881">
        <f>P881+R881+T881</f>
        <v>-395.91307942576611</v>
      </c>
      <c r="W881">
        <f>W880+(U880*Graph!$D$5)</f>
        <v>-1053.9092562846229</v>
      </c>
      <c r="X881">
        <f>X880+(V880*Graph!$D$5)</f>
        <v>1170.0870566610479</v>
      </c>
      <c r="Y881">
        <f>Y880+(W880*Graph!$D$5)+(U880*Graph!$D$5^2)</f>
        <v>3717.7969666388067</v>
      </c>
      <c r="Z881">
        <f>Z880+(X880*Graph!$D$5)+(V880*Graph!$D$5^2)</f>
        <v>55184.441888262852</v>
      </c>
    </row>
    <row r="882" spans="14:26" x14ac:dyDescent="0.35">
      <c r="N882">
        <f>N881+1</f>
        <v>879</v>
      </c>
      <c r="O882">
        <f>Graph!$D$22*((Graph!$D$18-Y882)/POWER((((Graph!$D$18-$Y882)^2)+((Graph!$E$18-$Z882)^2))+(Graph!$D$23^2),(3/2)))</f>
        <v>57.905596175652995</v>
      </c>
      <c r="P882" s="84">
        <f>Graph!$D$22*((Graph!$E$18-Z882)/POWER((((Graph!$D$18-$Y882)^2)+((Graph!$E$18-$Z882)^2))+(Graph!$D$23^2),3/2))</f>
        <v>-224.03827900380961</v>
      </c>
      <c r="Q882">
        <f>Graph!$D$31*((Graph!$D$27-Y882)/POWER((((Graph!$D$27-$Y882)^2)+((Graph!$E$27-$Z882)^2))+(Graph!$D$32^2),3/2))</f>
        <v>-30.77954069489012</v>
      </c>
      <c r="R882">
        <f>Graph!$D$31*((Graph!$E$27-Z882)/POWER((((Graph!$D$27-$Y882)^2)+((Graph!$E$27-$Z882)^2))+(Graph!$D$32^2),3/2))</f>
        <v>-60.602059618687441</v>
      </c>
      <c r="S882">
        <f>Graph!$D$40*((Graph!$D$36-Y882)/POWER((((Graph!$D$36-$Y882)^2)+((Graph!$E$36-$Z882)^2))+(Graph!$D$41^2),3/2))</f>
        <v>-4.6913247390504216</v>
      </c>
      <c r="T882">
        <f>Graph!$D$40*((Graph!$E$36-Z882)/POWER((((Graph!$D$36-$Y882)^2)+((Graph!$E$36-$Z882)^2))+(Graph!$D$41^2),3/2))</f>
        <v>-103.73974828048192</v>
      </c>
      <c r="U882">
        <f>O882+Q882+S882</f>
        <v>22.434730741712453</v>
      </c>
      <c r="V882">
        <f>P882+R882+T882</f>
        <v>-388.38008690297897</v>
      </c>
      <c r="W882">
        <f>W881+(U881*Graph!$D$5)</f>
        <v>-1043.8626249975116</v>
      </c>
      <c r="X882">
        <f>X881+(V881*Graph!$D$5)</f>
        <v>972.13051694816477</v>
      </c>
      <c r="Y882">
        <f>Y881+(W881*Graph!$D$5)+(U881*Graph!$D$5^2)</f>
        <v>3195.865654140051</v>
      </c>
      <c r="Z882">
        <f>Z881+(X881*Graph!$D$5)+(V881*Graph!$D$5^2)</f>
        <v>55670.507146736934</v>
      </c>
    </row>
    <row r="883" spans="14:26" x14ac:dyDescent="0.35">
      <c r="N883">
        <f>N882+1</f>
        <v>880</v>
      </c>
      <c r="O883">
        <f>Graph!$D$22*((Graph!$D$18-Y883)/POWER((((Graph!$D$18-$Y883)^2)+((Graph!$E$18-$Z883)^2))+(Graph!$D$23^2),(3/2)))</f>
        <v>58.549624872569375</v>
      </c>
      <c r="P883" s="84">
        <f>Graph!$D$22*((Graph!$E$18-Z883)/POWER((((Graph!$D$18-$Y883)^2)+((Graph!$E$18-$Z883)^2))+(Graph!$D$23^2),3/2))</f>
        <v>-218.88515401290834</v>
      </c>
      <c r="Q883">
        <f>Graph!$D$31*((Graph!$D$27-Y883)/POWER((((Graph!$D$27-$Y883)^2)+((Graph!$E$27-$Z883)^2))+(Graph!$D$32^2),3/2))</f>
        <v>-29.890187296545562</v>
      </c>
      <c r="R883">
        <f>Graph!$D$31*((Graph!$E$27-Z883)/POWER((((Graph!$D$27-$Y883)^2)+((Graph!$E$27-$Z883)^2))+(Graph!$D$32^2),3/2))</f>
        <v>-60.703445580744877</v>
      </c>
      <c r="S883">
        <f>Graph!$D$40*((Graph!$D$36-Y883)/POWER((((Graph!$D$36-$Y883)^2)+((Graph!$E$36-$Z883)^2))+(Graph!$D$41^2),3/2))</f>
        <v>-3.8730659241303584</v>
      </c>
      <c r="T883">
        <f>Graph!$D$40*((Graph!$E$36-Z883)/POWER((((Graph!$D$36-$Y883)^2)+((Graph!$E$36-$Z883)^2))+(Graph!$D$41^2),3/2))</f>
        <v>-102.71081223248558</v>
      </c>
      <c r="U883">
        <f>O883+Q883+S883</f>
        <v>24.786371651893454</v>
      </c>
      <c r="V883">
        <f>P883+R883+T883</f>
        <v>-382.29941182613879</v>
      </c>
      <c r="W883">
        <f>W882+(U882*Graph!$D$5)</f>
        <v>-1032.6452596266554</v>
      </c>
      <c r="X883">
        <f>X882+(V882*Graph!$D$5)</f>
        <v>777.94047349667528</v>
      </c>
      <c r="Y883">
        <f>Y882+(W882*Graph!$D$5)+(U882*Graph!$D$5^2)</f>
        <v>2679.5430243267233</v>
      </c>
      <c r="Z883">
        <f>Z882+(X882*Graph!$D$5)+(V882*Graph!$D$5^2)</f>
        <v>56059.477383485275</v>
      </c>
    </row>
    <row r="884" spans="14:26" x14ac:dyDescent="0.35">
      <c r="N884">
        <f>N883+1</f>
        <v>881</v>
      </c>
      <c r="O884">
        <f>Graph!$D$22*((Graph!$D$18-Y884)/POWER((((Graph!$D$18-$Y884)^2)+((Graph!$E$18-$Z884)^2))+(Graph!$D$23^2),(3/2)))</f>
        <v>59.418132482974677</v>
      </c>
      <c r="P884" s="84">
        <f>Graph!$D$22*((Graph!$E$18-Z884)/POWER((((Graph!$D$18-$Y884)^2)+((Graph!$E$18-$Z884)^2))+(Graph!$D$23^2),3/2))</f>
        <v>-214.65907919799861</v>
      </c>
      <c r="Q884">
        <f>Graph!$D$31*((Graph!$D$27-Y884)/POWER((((Graph!$D$27-$Y884)^2)+((Graph!$E$27-$Z884)^2))+(Graph!$D$32^2),3/2))</f>
        <v>-29.147927234019757</v>
      </c>
      <c r="R884">
        <f>Graph!$D$31*((Graph!$E$27-Z884)/POWER((((Graph!$D$27-$Y884)^2)+((Graph!$E$27-$Z884)^2))+(Graph!$D$32^2),3/2))</f>
        <v>-60.943874314541254</v>
      </c>
      <c r="S884">
        <f>Graph!$D$40*((Graph!$D$36-Y884)/POWER((((Graph!$D$36-$Y884)^2)+((Graph!$E$36-$Z884)^2))+(Graph!$D$41^2),3/2))</f>
        <v>-3.0996829722504451</v>
      </c>
      <c r="T884">
        <f>Graph!$D$40*((Graph!$E$36-Z884)/POWER((((Graph!$D$36-$Y884)^2)+((Graph!$E$36-$Z884)^2))+(Graph!$D$41^2),3/2))</f>
        <v>-101.94964177922387</v>
      </c>
      <c r="U884">
        <f>O884+Q884+S884</f>
        <v>27.170522276704475</v>
      </c>
      <c r="V884">
        <f>P884+R884+T884</f>
        <v>-377.55259529176374</v>
      </c>
      <c r="W884">
        <f>W883+(U883*Graph!$D$5)</f>
        <v>-1020.2520738007087</v>
      </c>
      <c r="X884">
        <f>X883+(V883*Graph!$D$5)</f>
        <v>586.79076758360588</v>
      </c>
      <c r="Y884">
        <f>Y883+(W883*Graph!$D$5)+(U883*Graph!$D$5^2)</f>
        <v>2169.4169874263689</v>
      </c>
      <c r="Z884">
        <f>Z883+(X883*Graph!$D$5)+(V883*Graph!$D$5^2)</f>
        <v>56352.872767277084</v>
      </c>
    </row>
    <row r="885" spans="14:26" x14ac:dyDescent="0.35">
      <c r="N885">
        <f>N884+1</f>
        <v>882</v>
      </c>
      <c r="O885">
        <f>Graph!$D$22*((Graph!$D$18-Y885)/POWER((((Graph!$D$18-$Y885)^2)+((Graph!$E$18-$Z885)^2))+(Graph!$D$23^2),(3/2)))</f>
        <v>60.515876763781364</v>
      </c>
      <c r="P885" s="84">
        <f>Graph!$D$22*((Graph!$E$18-Z885)/POWER((((Graph!$D$18-$Y885)^2)+((Graph!$E$18-$Z885)^2))+(Graph!$D$23^2),3/2))</f>
        <v>-211.27534812983629</v>
      </c>
      <c r="Q885">
        <f>Graph!$D$31*((Graph!$D$27-Y885)/POWER((((Graph!$D$27-$Y885)^2)+((Graph!$E$27-$Z885)^2))+(Graph!$D$32^2),3/2))</f>
        <v>-28.543847422927143</v>
      </c>
      <c r="R885">
        <f>Graph!$D$31*((Graph!$E$27-Z885)/POWER((((Graph!$D$27-$Y885)^2)+((Graph!$E$27-$Z885)^2))+(Graph!$D$32^2),3/2))</f>
        <v>-61.329485555661009</v>
      </c>
      <c r="S885">
        <f>Graph!$D$40*((Graph!$D$36-Y885)/POWER((((Graph!$D$36-$Y885)^2)+((Graph!$E$36-$Z885)^2))+(Graph!$D$41^2),3/2))</f>
        <v>-2.362150339896127</v>
      </c>
      <c r="T885">
        <f>Graph!$D$40*((Graph!$E$36-Z885)/POWER((((Graph!$D$36-$Y885)^2)+((Graph!$E$36-$Z885)^2))+(Graph!$D$41^2),3/2))</f>
        <v>-101.44526936422378</v>
      </c>
      <c r="U885">
        <f>O885+Q885+S885</f>
        <v>29.609879000958095</v>
      </c>
      <c r="V885">
        <f>P885+R885+T885</f>
        <v>-374.05010304972109</v>
      </c>
      <c r="W885">
        <f>W884+(U884*Graph!$D$5)</f>
        <v>-1006.6668126623564</v>
      </c>
      <c r="X885">
        <f>X884+(V884*Graph!$D$5)</f>
        <v>398.01446993772402</v>
      </c>
      <c r="Y885">
        <f>Y884+(W884*Graph!$D$5)+(U884*Graph!$D$5^2)</f>
        <v>1666.0835810951905</v>
      </c>
      <c r="Z885">
        <f>Z884+(X884*Graph!$D$5)+(V884*Graph!$D$5^2)</f>
        <v>56551.880002245947</v>
      </c>
    </row>
    <row r="886" spans="14:26" x14ac:dyDescent="0.35">
      <c r="N886">
        <f>N885+1</f>
        <v>883</v>
      </c>
      <c r="O886">
        <f>Graph!$D$22*((Graph!$D$18-Y886)/POWER((((Graph!$D$18-$Y886)^2)+((Graph!$E$18-$Z886)^2))+(Graph!$D$23^2),(3/2)))</f>
        <v>61.852070637656517</v>
      </c>
      <c r="P886" s="84">
        <f>Graph!$D$22*((Graph!$E$18-Z886)/POWER((((Graph!$D$18-$Y886)^2)+((Graph!$E$18-$Z886)^2))+(Graph!$D$23^2),3/2))</f>
        <v>-208.66862534644375</v>
      </c>
      <c r="Q886">
        <f>Graph!$D$31*((Graph!$D$27-Y886)/POWER((((Graph!$D$27-$Y886)^2)+((Graph!$E$27-$Z886)^2))+(Graph!$D$32^2),3/2))</f>
        <v>-28.071688933880587</v>
      </c>
      <c r="R886">
        <f>Graph!$D$31*((Graph!$E$27-Z886)/POWER((((Graph!$D$27-$Y886)^2)+((Graph!$E$27-$Z886)^2))+(Graph!$D$32^2),3/2))</f>
        <v>-61.867825488296091</v>
      </c>
      <c r="S886">
        <f>Graph!$D$40*((Graph!$D$36-Y886)/POWER((((Graph!$D$36-$Y886)^2)+((Graph!$E$36-$Z886)^2))+(Graph!$D$41^2),3/2))</f>
        <v>-1.6524243823067362</v>
      </c>
      <c r="T886">
        <f>Graph!$D$40*((Graph!$E$36-Z886)/POWER((((Graph!$D$36-$Y886)^2)+((Graph!$E$36-$Z886)^2))+(Graph!$D$41^2),3/2))</f>
        <v>-101.19055295939373</v>
      </c>
      <c r="U886">
        <f>O886+Q886+S886</f>
        <v>32.127957321469196</v>
      </c>
      <c r="V886">
        <f>P886+R886+T886</f>
        <v>-371.72700379413357</v>
      </c>
      <c r="W886">
        <f>W885+(U885*Graph!$D$5)</f>
        <v>-991.86187316187738</v>
      </c>
      <c r="X886">
        <f>X885+(V885*Graph!$D$5)</f>
        <v>210.98941841286347</v>
      </c>
      <c r="Y886">
        <f>Y885+(W885*Graph!$D$5)+(U885*Graph!$D$5^2)</f>
        <v>1170.152644514252</v>
      </c>
      <c r="Z886">
        <f>Z885+(X885*Graph!$D$5)+(V885*Graph!$D$5^2)</f>
        <v>56657.374711452379</v>
      </c>
    </row>
    <row r="887" spans="14:26" x14ac:dyDescent="0.35">
      <c r="N887">
        <f>N886+1</f>
        <v>884</v>
      </c>
      <c r="O887">
        <f>Graph!$D$22*((Graph!$D$18-Y887)/POWER((((Graph!$D$18-$Y887)^2)+((Graph!$E$18-$Z887)^2))+(Graph!$D$23^2),(3/2)))</f>
        <v>63.440509823724739</v>
      </c>
      <c r="P887" s="84">
        <f>Graph!$D$22*((Graph!$E$18-Z887)/POWER((((Graph!$D$18-$Y887)^2)+((Graph!$E$18-$Z887)^2))+(Graph!$D$23^2),3/2))</f>
        <v>-206.78985202035835</v>
      </c>
      <c r="Q887">
        <f>Graph!$D$31*((Graph!$D$27-Y887)/POWER((((Graph!$D$27-$Y887)^2)+((Graph!$E$27-$Z887)^2))+(Graph!$D$32^2),3/2))</f>
        <v>-27.727714206821201</v>
      </c>
      <c r="R887">
        <f>Graph!$D$31*((Graph!$E$27-Z887)/POWER((((Graph!$D$27-$Y887)^2)+((Graph!$E$27-$Z887)^2))+(Graph!$D$32^2),3/2))</f>
        <v>-62.56816654014316</v>
      </c>
      <c r="S887">
        <f>Graph!$D$40*((Graph!$D$36-Y887)/POWER((((Graph!$D$36-$Y887)^2)+((Graph!$E$36-$Z887)^2))+(Graph!$D$41^2),3/2))</f>
        <v>-0.96318960282744703</v>
      </c>
      <c r="T887">
        <f>Graph!$D$40*((Graph!$E$36-Z887)/POWER((((Graph!$D$36-$Y887)^2)+((Graph!$E$36-$Z887)^2))+(Graph!$D$41^2),3/2))</f>
        <v>-101.18191968123028</v>
      </c>
      <c r="U887">
        <f>O887+Q887+S887</f>
        <v>34.749606014076086</v>
      </c>
      <c r="V887">
        <f>P887+R887+T887</f>
        <v>-370.53993824173182</v>
      </c>
      <c r="W887">
        <f>W886+(U886*Graph!$D$5)</f>
        <v>-975.79789450114276</v>
      </c>
      <c r="X887">
        <f>X886+(V886*Graph!$D$5)</f>
        <v>25.125916515796689</v>
      </c>
      <c r="Y887">
        <f>Y886+(W886*Graph!$D$5)+(U886*Graph!$D$5^2)</f>
        <v>682.25369726368058</v>
      </c>
      <c r="Z887">
        <f>Z886+(X886*Graph!$D$5)+(V886*Graph!$D$5^2)</f>
        <v>56669.937669710278</v>
      </c>
    </row>
    <row r="888" spans="14:26" x14ac:dyDescent="0.35">
      <c r="N888">
        <f>N887+1</f>
        <v>885</v>
      </c>
      <c r="O888">
        <f>Graph!$D$22*((Graph!$D$18-Y888)/POWER((((Graph!$D$18-$Y888)^2)+((Graph!$E$18-$Z888)^2))+(Graph!$D$23^2),(3/2)))</f>
        <v>65.299906742037223</v>
      </c>
      <c r="P888" s="84">
        <f>Graph!$D$22*((Graph!$E$18-Z888)/POWER((((Graph!$D$18-$Y888)^2)+((Graph!$E$18-$Z888)^2))+(Graph!$D$23^2),3/2))</f>
        <v>-205.60401082377854</v>
      </c>
      <c r="Q888">
        <f>Graph!$D$31*((Graph!$D$27-Y888)/POWER((((Graph!$D$27-$Y888)^2)+((Graph!$E$27-$Z888)^2))+(Graph!$D$32^2),3/2))</f>
        <v>-27.510673905008378</v>
      </c>
      <c r="R888">
        <f>Graph!$D$31*((Graph!$E$27-Z888)/POWER((((Graph!$D$27-$Y888)^2)+((Graph!$E$27-$Z888)^2))+(Graph!$D$32^2),3/2))</f>
        <v>-63.441861447471474</v>
      </c>
      <c r="S888">
        <f>Graph!$D$40*((Graph!$D$36-Y888)/POWER((((Graph!$D$36-$Y888)^2)+((Graph!$E$36-$Z888)^2))+(Graph!$D$41^2),3/2))</f>
        <v>-0.28764378873206176</v>
      </c>
      <c r="T888">
        <f>Graph!$D$40*((Graph!$E$36-Z888)/POWER((((Graph!$D$36-$Y888)^2)+((Graph!$E$36-$Z888)^2))+(Graph!$D$41^2),3/2))</f>
        <v>-101.41923750646744</v>
      </c>
      <c r="U888">
        <f>O888+Q888+S888</f>
        <v>37.501589048296786</v>
      </c>
      <c r="V888">
        <f>P888+R888+T888</f>
        <v>-370.46510977771743</v>
      </c>
      <c r="W888">
        <f>W887+(U887*Graph!$D$5)</f>
        <v>-958.42309149410471</v>
      </c>
      <c r="X888">
        <f>X887+(V887*Graph!$D$5)</f>
        <v>-160.14405260506922</v>
      </c>
      <c r="Y888">
        <f>Y887+(W887*Graph!$D$5)+(U887*Graph!$D$5^2)</f>
        <v>203.04215151662822</v>
      </c>
      <c r="Z888">
        <f>Z887+(X887*Graph!$D$5)+(V887*Graph!$D$5^2)</f>
        <v>56589.865643407742</v>
      </c>
    </row>
    <row r="889" spans="14:26" x14ac:dyDescent="0.35">
      <c r="N889">
        <f>N888+1</f>
        <v>886</v>
      </c>
      <c r="O889">
        <f>Graph!$D$22*((Graph!$D$18-Y889)/POWER((((Graph!$D$18-$Y889)^2)+((Graph!$E$18-$Z889)^2))+(Graph!$D$23^2),(3/2)))</f>
        <v>67.454442506272898</v>
      </c>
      <c r="P889" s="84">
        <f>Graph!$D$22*((Graph!$E$18-Z889)/POWER((((Graph!$D$18-$Y889)^2)+((Graph!$E$18-$Z889)^2))+(Graph!$D$23^2),3/2))</f>
        <v>-205.0885615397298</v>
      </c>
      <c r="Q889">
        <f>Graph!$D$31*((Graph!$D$27-Y889)/POWER((((Graph!$D$27-$Y889)^2)+((Graph!$E$27-$Z889)^2))+(Graph!$D$32^2),3/2))</f>
        <v>-27.421877420858152</v>
      </c>
      <c r="R889">
        <f>Graph!$D$31*((Graph!$E$27-Z889)/POWER((((Graph!$D$27-$Y889)^2)+((Graph!$E$27-$Z889)^2))+(Graph!$D$32^2),3/2))</f>
        <v>-64.502754749272</v>
      </c>
      <c r="S889">
        <f>Graph!$D$40*((Graph!$D$36-Y889)/POWER((((Graph!$D$36-$Y889)^2)+((Graph!$E$36-$Z889)^2))+(Graph!$D$41^2),3/2))</f>
        <v>0.38069073024803068</v>
      </c>
      <c r="T889">
        <f>Graph!$D$40*((Graph!$E$36-Z889)/POWER((((Graph!$D$36-$Y889)^2)+((Graph!$E$36-$Z889)^2))+(Graph!$D$41^2),3/2))</f>
        <v>-101.90580636232941</v>
      </c>
      <c r="U889">
        <f>O889+Q889+S889</f>
        <v>40.413255815662779</v>
      </c>
      <c r="V889">
        <f>P889+R889+T889</f>
        <v>-371.49712265133121</v>
      </c>
      <c r="W889">
        <f>W888+(U888*Graph!$D$5)</f>
        <v>-939.67229696995628</v>
      </c>
      <c r="X889">
        <f>X888+(V888*Graph!$D$5)</f>
        <v>-345.37660749392796</v>
      </c>
      <c r="Y889">
        <f>Y888+(W888*Graph!$D$5)+(U888*Graph!$D$5^2)</f>
        <v>-266.79399696834992</v>
      </c>
      <c r="Z889">
        <f>Z888+(X888*Graph!$D$5)+(V888*Graph!$D$5^2)</f>
        <v>56417.177339660775</v>
      </c>
    </row>
    <row r="890" spans="14:26" x14ac:dyDescent="0.35">
      <c r="N890">
        <f>N889+1</f>
        <v>887</v>
      </c>
      <c r="O890">
        <f>Graph!$D$22*((Graph!$D$18-Y890)/POWER((((Graph!$D$18-$Y890)^2)+((Graph!$E$18-$Z890)^2))+(Graph!$D$23^2),(3/2)))</f>
        <v>69.934566112492988</v>
      </c>
      <c r="P890" s="84">
        <f>Graph!$D$22*((Graph!$E$18-Z890)/POWER((((Graph!$D$18-$Y890)^2)+((Graph!$E$18-$Z890)^2))+(Graph!$D$23^2),3/2))</f>
        <v>-205.23241958514996</v>
      </c>
      <c r="Q890">
        <f>Graph!$D$31*((Graph!$D$27-Y890)/POWER((((Graph!$D$27-$Y890)^2)+((Graph!$E$27-$Z890)^2))+(Graph!$D$32^2),3/2))</f>
        <v>-27.465378418355559</v>
      </c>
      <c r="R890">
        <f>Graph!$D$31*((Graph!$E$27-Z890)/POWER((((Graph!$D$27-$Y890)^2)+((Graph!$E$27-$Z890)^2))+(Graph!$D$32^2),3/2))</f>
        <v>-65.767677303890068</v>
      </c>
      <c r="S890">
        <f>Graph!$D$40*((Graph!$D$36-Y890)/POWER((((Graph!$D$36-$Y890)^2)+((Graph!$E$36-$Z890)^2))+(Graph!$D$41^2),3/2))</f>
        <v>1.048140175099789</v>
      </c>
      <c r="T890">
        <f>Graph!$D$40*((Graph!$E$36-Z890)/POWER((((Graph!$D$36-$Y890)^2)+((Graph!$E$36-$Z890)^2))+(Graph!$D$41^2),3/2))</f>
        <v>-102.64846763372677</v>
      </c>
      <c r="U890">
        <f>O890+Q890+S890</f>
        <v>43.517327869237221</v>
      </c>
      <c r="V890">
        <f>P890+R890+T890</f>
        <v>-373.64856452276683</v>
      </c>
      <c r="W890">
        <f>W889+(U889*Graph!$D$5)</f>
        <v>-919.4656690621249</v>
      </c>
      <c r="X890">
        <f>X889+(V889*Graph!$D$5)</f>
        <v>-531.12516881959357</v>
      </c>
      <c r="Y890">
        <f>Y889+(W889*Graph!$D$5)+(U889*Graph!$D$5^2)</f>
        <v>-726.52683149941231</v>
      </c>
      <c r="Z890">
        <f>Z889+(X889*Graph!$D$5)+(V889*Graph!$D$5^2)</f>
        <v>56151.614755250972</v>
      </c>
    </row>
    <row r="891" spans="14:26" x14ac:dyDescent="0.35">
      <c r="N891">
        <f>N890+1</f>
        <v>888</v>
      </c>
      <c r="O891">
        <f>Graph!$D$22*((Graph!$D$18-Y891)/POWER((((Graph!$D$18-$Y891)^2)+((Graph!$E$18-$Z891)^2))+(Graph!$D$23^2),(3/2)))</f>
        <v>72.778089468226369</v>
      </c>
      <c r="P891" s="84">
        <f>Graph!$D$22*((Graph!$E$18-Z891)/POWER((((Graph!$D$18-$Y891)^2)+((Graph!$E$18-$Z891)^2))+(Graph!$D$23^2),3/2))</f>
        <v>-206.03539355735185</v>
      </c>
      <c r="Q891">
        <f>Graph!$D$31*((Graph!$D$27-Y891)/POWER((((Graph!$D$27-$Y891)^2)+((Graph!$E$27-$Z891)^2))+(Graph!$D$32^2),3/2))</f>
        <v>-27.648295982396824</v>
      </c>
      <c r="R891">
        <f>Graph!$D$31*((Graph!$E$27-Z891)/POWER((((Graph!$D$27-$Y891)^2)+((Graph!$E$27-$Z891)^2))+(Graph!$D$32^2),3/2))</f>
        <v>-67.257054210119122</v>
      </c>
      <c r="S891">
        <f>Graph!$D$40*((Graph!$D$36-Y891)/POWER((((Graph!$D$36-$Y891)^2)+((Graph!$E$36-$Z891)^2))+(Graph!$D$41^2),3/2))</f>
        <v>1.7210459320068565</v>
      </c>
      <c r="T891">
        <f>Graph!$D$40*((Graph!$E$36-Z891)/POWER((((Graph!$D$36-$Y891)^2)+((Graph!$E$36-$Z891)^2))+(Graph!$D$41^2),3/2))</f>
        <v>-103.65783875078124</v>
      </c>
      <c r="U891">
        <f>O891+Q891+S891</f>
        <v>46.850839417836404</v>
      </c>
      <c r="V891">
        <f>P891+R891+T891</f>
        <v>-376.95028651825226</v>
      </c>
      <c r="W891">
        <f>W890+(U890*Graph!$D$5)</f>
        <v>-897.70700512750625</v>
      </c>
      <c r="X891">
        <f>X890+(V890*Graph!$D$5)</f>
        <v>-717.94945108097704</v>
      </c>
      <c r="Y891">
        <f>Y890+(W890*Graph!$D$5)+(U890*Graph!$D$5^2)</f>
        <v>-1175.3803340631655</v>
      </c>
      <c r="Z891">
        <f>Z890+(X890*Graph!$D$5)+(V890*Graph!$D$5^2)</f>
        <v>55792.640029710485</v>
      </c>
    </row>
    <row r="892" spans="14:26" x14ac:dyDescent="0.35">
      <c r="N892">
        <f>N891+1</f>
        <v>889</v>
      </c>
      <c r="O892">
        <f>Graph!$D$22*((Graph!$D$18-Y892)/POWER((((Graph!$D$18-$Y892)^2)+((Graph!$E$18-$Z892)^2))+(Graph!$D$23^2),(3/2)))</f>
        <v>76.031651062347862</v>
      </c>
      <c r="P892" s="84">
        <f>Graph!$D$22*((Graph!$E$18-Z892)/POWER((((Graph!$D$18-$Y892)^2)+((Graph!$E$18-$Z892)^2))+(Graph!$D$23^2),3/2))</f>
        <v>-207.50803098582983</v>
      </c>
      <c r="Q892">
        <f>Graph!$D$31*((Graph!$D$27-Y892)/POWER((((Graph!$D$27-$Y892)^2)+((Graph!$E$27-$Z892)^2))+(Graph!$D$32^2),3/2))</f>
        <v>-27.981304096594585</v>
      </c>
      <c r="R892">
        <f>Graph!$D$31*((Graph!$E$27-Z892)/POWER((((Graph!$D$27-$Y892)^2)+((Graph!$E$27-$Z892)^2))+(Graph!$D$32^2),3/2))</f>
        <v>-68.995664043805988</v>
      </c>
      <c r="S892">
        <f>Graph!$D$40*((Graph!$D$36-Y892)/POWER((((Graph!$D$36-$Y892)^2)+((Graph!$E$36-$Z892)^2))+(Graph!$D$41^2),3/2))</f>
        <v>2.4059333682197463</v>
      </c>
      <c r="T892">
        <f>Graph!$D$40*((Graph!$E$36-Z892)/POWER((((Graph!$D$36-$Y892)^2)+((Graph!$E$36-$Z892)^2))+(Graph!$D$41^2),3/2))</f>
        <v>-104.94868778676198</v>
      </c>
      <c r="U892">
        <f>O892+Q892+S892</f>
        <v>50.456280333973027</v>
      </c>
      <c r="V892">
        <f>P892+R892+T892</f>
        <v>-381.4523828163978</v>
      </c>
      <c r="W892">
        <f>W891+(U891*Graph!$D$5)</f>
        <v>-874.28158541858807</v>
      </c>
      <c r="X892">
        <f>X891+(V891*Graph!$D$5)</f>
        <v>-906.42459434010311</v>
      </c>
      <c r="Y892">
        <f>Y891+(W891*Graph!$D$5)+(U891*Graph!$D$5^2)</f>
        <v>-1612.5211267724596</v>
      </c>
      <c r="Z892">
        <f>Z891+(X891*Graph!$D$5)+(V891*Graph!$D$5^2)</f>
        <v>55339.427732540433</v>
      </c>
    </row>
    <row r="893" spans="14:26" x14ac:dyDescent="0.35">
      <c r="N893">
        <f>N892+1</f>
        <v>890</v>
      </c>
      <c r="O893">
        <f>Graph!$D$22*((Graph!$D$18-Y893)/POWER((((Graph!$D$18-$Y893)^2)+((Graph!$E$18-$Z893)^2))+(Graph!$D$23^2),(3/2)))</f>
        <v>79.752652841160057</v>
      </c>
      <c r="P893" s="84">
        <f>Graph!$D$22*((Graph!$E$18-Z893)/POWER((((Graph!$D$18-$Y893)^2)+((Graph!$E$18-$Z893)^2))+(Graph!$D$23^2),3/2))</f>
        <v>-209.67184741640756</v>
      </c>
      <c r="Q893">
        <f>Graph!$D$31*((Graph!$D$27-Y893)/POWER((((Graph!$D$27-$Y893)^2)+((Graph!$E$27-$Z893)^2))+(Graph!$D$32^2),3/2))</f>
        <v>-28.47933900625301</v>
      </c>
      <c r="R893">
        <f>Graph!$D$31*((Graph!$E$27-Z893)/POWER((((Graph!$D$27-$Y893)^2)+((Graph!$E$27-$Z893)^2))+(Graph!$D$32^2),3/2))</f>
        <v>-71.013598291951411</v>
      </c>
      <c r="S893">
        <f>Graph!$D$40*((Graph!$D$36-Y893)/POWER((((Graph!$D$36-$Y893)^2)+((Graph!$E$36-$Z893)^2))+(Graph!$D$41^2),3/2))</f>
        <v>3.109691796254459</v>
      </c>
      <c r="T893">
        <f>Graph!$D$40*((Graph!$E$36-Z893)/POWER((((Graph!$D$36-$Y893)^2)+((Graph!$E$36-$Z893)^2))+(Graph!$D$41^2),3/2))</f>
        <v>-106.54047279172954</v>
      </c>
      <c r="U893">
        <f>O893+Q893+S893</f>
        <v>54.383005631161502</v>
      </c>
      <c r="V893">
        <f>P893+R893+T893</f>
        <v>-387.22591850008854</v>
      </c>
      <c r="W893">
        <f>W892+(U892*Graph!$D$5)</f>
        <v>-849.0534452516016</v>
      </c>
      <c r="X893">
        <f>X892+(V892*Graph!$D$5)</f>
        <v>-1097.150785748302</v>
      </c>
      <c r="Y893">
        <f>Y892+(W892*Graph!$D$5)+(U892*Graph!$D$5^2)</f>
        <v>-2037.0478493982603</v>
      </c>
      <c r="Z893">
        <f>Z892+(X892*Graph!$D$5)+(V892*Graph!$D$5^2)</f>
        <v>54790.852339666279</v>
      </c>
    </row>
    <row r="894" spans="14:26" x14ac:dyDescent="0.35">
      <c r="N894">
        <f>N893+1</f>
        <v>891</v>
      </c>
      <c r="O894">
        <f>Graph!$D$22*((Graph!$D$18-Y894)/POWER((((Graph!$D$18-$Y894)^2)+((Graph!$E$18-$Z894)^2))+(Graph!$D$23^2),(3/2)))</f>
        <v>84.011818345201661</v>
      </c>
      <c r="P894" s="84">
        <f>Graph!$D$22*((Graph!$E$18-Z894)/POWER((((Graph!$D$18-$Y894)^2)+((Graph!$E$18-$Z894)^2))+(Graph!$D$23^2),3/2))</f>
        <v>-212.55993509511336</v>
      </c>
      <c r="Q894">
        <f>Graph!$D$31*((Graph!$D$27-Y894)/POWER((((Graph!$D$27-$Y894)^2)+((Graph!$E$27-$Z894)^2))+(Graph!$D$32^2),3/2))</f>
        <v>-29.162598175409912</v>
      </c>
      <c r="R894">
        <f>Graph!$D$31*((Graph!$E$27-Z894)/POWER((((Graph!$D$27-$Y894)^2)+((Graph!$E$27-$Z894)^2))+(Graph!$D$32^2),3/2))</f>
        <v>-73.347485360294058</v>
      </c>
      <c r="S894">
        <f>Graph!$D$40*((Graph!$D$36-Y894)/POWER((((Graph!$D$36-$Y894)^2)+((Graph!$E$36-$Z894)^2))+(Graph!$D$41^2),3/2))</f>
        <v>3.8397755973640049</v>
      </c>
      <c r="T894">
        <f>Graph!$D$40*((Graph!$E$36-Z894)/POWER((((Graph!$D$36-$Y894)^2)+((Graph!$E$36-$Z894)^2))+(Graph!$D$41^2),3/2))</f>
        <v>-108.45808302428129</v>
      </c>
      <c r="U894">
        <f>O894+Q894+S894</f>
        <v>58.688995767155753</v>
      </c>
      <c r="V894">
        <f>P894+R894+T894</f>
        <v>-394.3655034796887</v>
      </c>
      <c r="W894">
        <f>W893+(U893*Graph!$D$5)</f>
        <v>-821.86194243602085</v>
      </c>
      <c r="X894">
        <f>X893+(V893*Graph!$D$5)</f>
        <v>-1290.7637449983463</v>
      </c>
      <c r="Y894">
        <f>Y893+(W893*Graph!$D$5)+(U893*Graph!$D$5^2)</f>
        <v>-2447.9788206162707</v>
      </c>
      <c r="Z894">
        <f>Z893+(X893*Graph!$D$5)+(V893*Graph!$D$5^2)</f>
        <v>54145.470467167099</v>
      </c>
    </row>
    <row r="895" spans="14:26" x14ac:dyDescent="0.35">
      <c r="N895">
        <f>N894+1</f>
        <v>892</v>
      </c>
      <c r="O895">
        <f>Graph!$D$22*((Graph!$D$18-Y895)/POWER((((Graph!$D$18-$Y895)^2)+((Graph!$E$18-$Z895)^2))+(Graph!$D$23^2),(3/2)))</f>
        <v>88.896581348522247</v>
      </c>
      <c r="P895" s="84">
        <f>Graph!$D$22*((Graph!$E$18-Z895)/POWER((((Graph!$D$18-$Y895)^2)+((Graph!$E$18-$Z895)^2))+(Graph!$D$23^2),3/2))</f>
        <v>-216.21796498081866</v>
      </c>
      <c r="Q895">
        <f>Graph!$D$31*((Graph!$D$27-Y895)/POWER((((Graph!$D$27-$Y895)^2)+((Graph!$E$27-$Z895)^2))+(Graph!$D$32^2),3/2))</f>
        <v>-30.057940146153225</v>
      </c>
      <c r="R895">
        <f>Graph!$D$31*((Graph!$E$27-Z895)/POWER((((Graph!$D$27-$Y895)^2)+((Graph!$E$27-$Z895)^2))+(Graph!$D$32^2),3/2))</f>
        <v>-76.042065103063763</v>
      </c>
      <c r="S895">
        <f>Graph!$D$40*((Graph!$D$36-Y895)/POWER((((Graph!$D$36-$Y895)^2)+((Graph!$E$36-$Z895)^2))+(Graph!$D$41^2),3/2))</f>
        <v>4.6044385250686366</v>
      </c>
      <c r="T895">
        <f>Graph!$D$40*((Graph!$E$36-Z895)/POWER((((Graph!$D$36-$Y895)^2)+((Graph!$E$36-$Z895)^2))+(Graph!$D$41^2),3/2))</f>
        <v>-110.73283585389807</v>
      </c>
      <c r="U895">
        <f>O895+Q895+S895</f>
        <v>63.443079727437656</v>
      </c>
      <c r="V895">
        <f>P895+R895+T895</f>
        <v>-402.99286593778049</v>
      </c>
      <c r="W895">
        <f>W894+(U894*Graph!$D$5)</f>
        <v>-792.51744455244295</v>
      </c>
      <c r="X895">
        <f>X894+(V894*Graph!$D$5)</f>
        <v>-1487.9464967381907</v>
      </c>
      <c r="Y895">
        <f>Y894+(W894*Graph!$D$5)+(U894*Graph!$D$5^2)</f>
        <v>-2844.2375428924925</v>
      </c>
      <c r="Z895">
        <f>Z894+(X894*Graph!$D$5)+(V894*Graph!$D$5^2)</f>
        <v>53401.497218798002</v>
      </c>
    </row>
    <row r="896" spans="14:26" x14ac:dyDescent="0.35">
      <c r="N896">
        <f>N895+1</f>
        <v>893</v>
      </c>
      <c r="O896">
        <f>Graph!$D$22*((Graph!$D$18-Y896)/POWER((((Graph!$D$18-$Y896)^2)+((Graph!$E$18-$Z896)^2))+(Graph!$D$23^2),(3/2)))</f>
        <v>94.515602073731259</v>
      </c>
      <c r="P896" s="84">
        <f>Graph!$D$22*((Graph!$E$18-Z896)/POWER((((Graph!$D$18-$Y896)^2)+((Graph!$E$18-$Z896)^2))+(Graph!$D$23^2),3/2))</f>
        <v>-220.70560937979155</v>
      </c>
      <c r="Q896">
        <f>Graph!$D$31*((Graph!$D$27-Y896)/POWER((((Graph!$D$27-$Y896)^2)+((Graph!$E$27-$Z896)^2))+(Graph!$D$32^2),3/2))</f>
        <v>-31.200848267635241</v>
      </c>
      <c r="R896">
        <f>Graph!$D$31*((Graph!$E$27-Z896)/POWER((((Graph!$D$27-$Y896)^2)+((Graph!$E$27-$Z896)^2))+(Graph!$D$32^2),3/2))</f>
        <v>-79.152229609173958</v>
      </c>
      <c r="S896">
        <f>Graph!$D$40*((Graph!$D$36-Y896)/POWER((((Graph!$D$36-$Y896)^2)+((Graph!$E$36-$Z896)^2))+(Graph!$D$41^2),3/2))</f>
        <v>5.4130164505529095</v>
      </c>
      <c r="T896">
        <f>Graph!$D$40*((Graph!$E$36-Z896)/POWER((((Graph!$D$36-$Y896)^2)+((Graph!$E$36-$Z896)^2))+(Graph!$D$41^2),3/2))</f>
        <v>-113.40380611779972</v>
      </c>
      <c r="U896">
        <f>O896+Q896+S896</f>
        <v>68.727770256648938</v>
      </c>
      <c r="V896">
        <f>P896+R896+T896</f>
        <v>-413.26164510676523</v>
      </c>
      <c r="W896">
        <f>W895+(U895*Graph!$D$5)</f>
        <v>-760.79590468872414</v>
      </c>
      <c r="X896">
        <f>X895+(V895*Graph!$D$5)</f>
        <v>-1689.442929707081</v>
      </c>
      <c r="Y896">
        <f>Y895+(W895*Graph!$D$5)+(U895*Graph!$D$5^2)</f>
        <v>-3224.6354952368542</v>
      </c>
      <c r="Z896">
        <f>Z895+(X895*Graph!$D$5)+(V895*Graph!$D$5^2)</f>
        <v>52556.775753944457</v>
      </c>
    </row>
    <row r="897" spans="14:26" x14ac:dyDescent="0.35">
      <c r="N897">
        <f>N896+1</f>
        <v>894</v>
      </c>
      <c r="O897">
        <f>Graph!$D$22*((Graph!$D$18-Y897)/POWER((((Graph!$D$18-$Y897)^2)+((Graph!$E$18-$Z897)^2))+(Graph!$D$23^2),(3/2)))</f>
        <v>101.00483620607052</v>
      </c>
      <c r="P897" s="84">
        <f>Graph!$D$22*((Graph!$E$18-Z897)/POWER((((Graph!$D$18-$Y897)^2)+((Graph!$E$18-$Z897)^2))+(Graph!$D$23^2),3/2))</f>
        <v>-226.09841992553237</v>
      </c>
      <c r="Q897">
        <f>Graph!$D$31*((Graph!$D$27-Y897)/POWER((((Graph!$D$27-$Y897)^2)+((Graph!$E$27-$Z897)^2))+(Graph!$D$32^2),3/2))</f>
        <v>-32.638203770811387</v>
      </c>
      <c r="R897">
        <f>Graph!$D$31*((Graph!$E$27-Z897)/POWER((((Graph!$D$27-$Y897)^2)+((Graph!$E$27-$Z897)^2))+(Graph!$D$32^2),3/2))</f>
        <v>-82.745686742702958</v>
      </c>
      <c r="S897">
        <f>Graph!$D$40*((Graph!$D$36-Y897)/POWER((((Graph!$D$36-$Y897)^2)+((Graph!$E$36-$Z897)^2))+(Graph!$D$41^2),3/2))</f>
        <v>6.2762787629046084</v>
      </c>
      <c r="T897">
        <f>Graph!$D$40*((Graph!$E$36-Z897)/POWER((((Graph!$D$36-$Y897)^2)+((Graph!$E$36-$Z897)^2))+(Graph!$D$41^2),3/2))</f>
        <v>-116.5195974967467</v>
      </c>
      <c r="U897">
        <f>O897+Q897+S897</f>
        <v>74.642911198163745</v>
      </c>
      <c r="V897">
        <f>P897+R897+T897</f>
        <v>-425.36370416498204</v>
      </c>
      <c r="W897">
        <f>W896+(U896*Graph!$D$5)</f>
        <v>-726.43201956039968</v>
      </c>
      <c r="X897">
        <f>X896+(V896*Graph!$D$5)</f>
        <v>-1896.0737522604636</v>
      </c>
      <c r="Y897">
        <f>Y896+(W896*Graph!$D$5)+(U896*Graph!$D$5^2)</f>
        <v>-3587.851505017054</v>
      </c>
      <c r="Z897">
        <f>Z896+(X896*Graph!$D$5)+(V896*Graph!$D$5^2)</f>
        <v>51608.738877814227</v>
      </c>
    </row>
    <row r="898" spans="14:26" x14ac:dyDescent="0.35">
      <c r="N898">
        <f>N897+1</f>
        <v>895</v>
      </c>
      <c r="O898">
        <f>Graph!$D$22*((Graph!$D$18-Y898)/POWER((((Graph!$D$18-$Y898)^2)+((Graph!$E$18-$Z898)^2))+(Graph!$D$23^2),(3/2)))</f>
        <v>108.53577161062368</v>
      </c>
      <c r="P898" s="84">
        <f>Graph!$D$22*((Graph!$E$18-Z898)/POWER((((Graph!$D$18-$Y898)^2)+((Graph!$E$18-$Z898)^2))+(Graph!$D$23^2),3/2))</f>
        <v>-232.49019108038777</v>
      </c>
      <c r="Q898">
        <f>Graph!$D$31*((Graph!$D$27-Y898)/POWER((((Graph!$D$27-$Y898)^2)+((Graph!$E$27-$Z898)^2))+(Graph!$D$32^2),3/2))</f>
        <v>-34.432242946741653</v>
      </c>
      <c r="R898">
        <f>Graph!$D$31*((Graph!$E$27-Z898)/POWER((((Graph!$D$27-$Y898)^2)+((Graph!$E$27-$Z898)^2))+(Graph!$D$32^2),3/2))</f>
        <v>-86.906457899147668</v>
      </c>
      <c r="S898">
        <f>Graph!$D$40*((Graph!$D$36-Y898)/POWER((((Graph!$D$36-$Y898)^2)+((Graph!$E$36-$Z898)^2))+(Graph!$D$41^2),3/2))</f>
        <v>7.2068760713325011</v>
      </c>
      <c r="T898">
        <f>Graph!$D$40*((Graph!$E$36-Z898)/POWER((((Graph!$D$36-$Y898)^2)+((Graph!$E$36-$Z898)^2))+(Graph!$D$41^2),3/2))</f>
        <v>-120.14071325724603</v>
      </c>
      <c r="U898">
        <f>O898+Q898+S898</f>
        <v>81.310404735214533</v>
      </c>
      <c r="V898">
        <f>P898+R898+T898</f>
        <v>-439.53736223678146</v>
      </c>
      <c r="W898">
        <f>W897+(U897*Graph!$D$5)</f>
        <v>-689.11056396131778</v>
      </c>
      <c r="X898">
        <f>X897+(V897*Graph!$D$5)</f>
        <v>-2108.7556043429545</v>
      </c>
      <c r="Y898">
        <f>Y897+(W897*Graph!$D$5)+(U897*Graph!$D$5^2)</f>
        <v>-3932.406786997713</v>
      </c>
      <c r="Z898">
        <f>Z897+(X897*Graph!$D$5)+(V897*Graph!$D$5^2)</f>
        <v>50554.361075642752</v>
      </c>
    </row>
    <row r="899" spans="14:26" x14ac:dyDescent="0.35">
      <c r="N899">
        <f>N898+1</f>
        <v>896</v>
      </c>
      <c r="O899">
        <f>Graph!$D$22*((Graph!$D$18-Y899)/POWER((((Graph!$D$18-$Y899)^2)+((Graph!$E$18-$Z899)^2))+(Graph!$D$23^2),(3/2)))</f>
        <v>117.32673215754508</v>
      </c>
      <c r="P899" s="84">
        <f>Graph!$D$22*((Graph!$E$18-Z899)/POWER((((Graph!$D$18-$Y899)^2)+((Graph!$E$18-$Z899)^2))+(Graph!$D$23^2),3/2))</f>
        <v>-239.99581000979927</v>
      </c>
      <c r="Q899">
        <f>Graph!$D$31*((Graph!$D$27-Y899)/POWER((((Graph!$D$27-$Y899)^2)+((Graph!$E$27-$Z899)^2))+(Graph!$D$32^2),3/2))</f>
        <v>-36.666279540888027</v>
      </c>
      <c r="R899">
        <f>Graph!$D$31*((Graph!$E$27-Z899)/POWER((((Graph!$D$27-$Y899)^2)+((Graph!$E$27-$Z899)^2))+(Graph!$D$32^2),3/2))</f>
        <v>-91.739493417902239</v>
      </c>
      <c r="S899">
        <f>Graph!$D$40*((Graph!$D$36-Y899)/POWER((((Graph!$D$36-$Y899)^2)+((Graph!$E$36-$Z899)^2))+(Graph!$D$41^2),3/2))</f>
        <v>8.2199230123584854</v>
      </c>
      <c r="T899">
        <f>Graph!$D$40*((Graph!$E$36-Z899)/POWER((((Graph!$D$36-$Y899)^2)+((Graph!$E$36-$Z899)^2))+(Graph!$D$41^2),3/2))</f>
        <v>-124.34275481984551</v>
      </c>
      <c r="U899">
        <f>O899+Q899+S899</f>
        <v>88.880375629015532</v>
      </c>
      <c r="V899">
        <f>P899+R899+T899</f>
        <v>-456.07805824754701</v>
      </c>
      <c r="W899">
        <f>W898+(U898*Graph!$D$5)</f>
        <v>-648.45536159371056</v>
      </c>
      <c r="X899">
        <f>X898+(V898*Graph!$D$5)</f>
        <v>-2328.5242854613452</v>
      </c>
      <c r="Y899">
        <f>Y898+(W898*Graph!$D$5)+(U898*Graph!$D$5^2)</f>
        <v>-4256.6344677945681</v>
      </c>
      <c r="Z899">
        <f>Z898+(X898*Graph!$D$5)+(V898*Graph!$D$5^2)</f>
        <v>49390.098932912078</v>
      </c>
    </row>
    <row r="900" spans="14:26" x14ac:dyDescent="0.35">
      <c r="N900">
        <f>N899+1</f>
        <v>897</v>
      </c>
      <c r="O900">
        <f>Graph!$D$22*((Graph!$D$18-Y900)/POWER((((Graph!$D$18-$Y900)^2)+((Graph!$E$18-$Z900)^2))+(Graph!$D$23^2),(3/2)))</f>
        <v>127.65858006459864</v>
      </c>
      <c r="P900" s="84">
        <f>Graph!$D$22*((Graph!$E$18-Z900)/POWER((((Graph!$D$18-$Y900)^2)+((Graph!$E$18-$Z900)^2))+(Graph!$D$23^2),3/2))</f>
        <v>-248.75451288919206</v>
      </c>
      <c r="Q900">
        <f>Graph!$D$31*((Graph!$D$27-Y900)/POWER((((Graph!$D$27-$Y900)^2)+((Graph!$E$27-$Z900)^2))+(Graph!$D$32^2),3/2))</f>
        <v>-39.453108989506369</v>
      </c>
      <c r="R900">
        <f>Graph!$D$31*((Graph!$E$27-Z900)/POWER((((Graph!$D$27-$Y900)^2)+((Graph!$E$27-$Z900)^2))+(Graph!$D$32^2),3/2))</f>
        <v>-97.376777747665528</v>
      </c>
      <c r="S900">
        <f>Graph!$D$40*((Graph!$D$36-Y900)/POWER((((Graph!$D$36-$Y900)^2)+((Graph!$E$36-$Z900)^2))+(Graph!$D$41^2),3/2))</f>
        <v>9.3337718423172245</v>
      </c>
      <c r="T900">
        <f>Graph!$D$40*((Graph!$E$36-Z900)/POWER((((Graph!$D$36-$Y900)^2)+((Graph!$E$36-$Z900)^2))+(Graph!$D$41^2),3/2))</f>
        <v>-129.22078459732435</v>
      </c>
      <c r="U900">
        <f>O900+Q900+S900</f>
        <v>97.539242917409496</v>
      </c>
      <c r="V900">
        <f>P900+R900+T900</f>
        <v>-475.35207523418194</v>
      </c>
      <c r="W900">
        <f>W899+(U899*Graph!$D$5)</f>
        <v>-604.01517377920277</v>
      </c>
      <c r="X900">
        <f>X899+(V899*Graph!$D$5)</f>
        <v>-2556.5633145851189</v>
      </c>
      <c r="Y900">
        <f>Y899+(W899*Graph!$D$5)+(U899*Graph!$D$5^2)</f>
        <v>-4558.64205468417</v>
      </c>
      <c r="Z900">
        <f>Z899+(X899*Graph!$D$5)+(V899*Graph!$D$5^2)</f>
        <v>48111.81727561952</v>
      </c>
    </row>
    <row r="901" spans="14:26" x14ac:dyDescent="0.35">
      <c r="N901">
        <f>N900+1</f>
        <v>898</v>
      </c>
      <c r="O901">
        <f>Graph!$D$22*((Graph!$D$18-Y901)/POWER((((Graph!$D$18-$Y901)^2)+((Graph!$E$18-$Z901)^2))+(Graph!$D$23^2),(3/2)))</f>
        <v>139.89681140569036</v>
      </c>
      <c r="P901" s="84">
        <f>Graph!$D$22*((Graph!$E$18-Z901)/POWER((((Graph!$D$18-$Y901)^2)+((Graph!$E$18-$Z901)^2))+(Graph!$D$23^2),3/2))</f>
        <v>-258.93328051912954</v>
      </c>
      <c r="Q901">
        <f>Graph!$D$31*((Graph!$D$27-Y901)/POWER((((Graph!$D$27-$Y901)^2)+((Graph!$E$27-$Z901)^2))+(Graph!$D$32^2),3/2))</f>
        <v>-42.947566723821659</v>
      </c>
      <c r="R901">
        <f>Graph!$D$31*((Graph!$E$27-Z901)/POWER((((Graph!$D$27-$Y901)^2)+((Graph!$E$27-$Z901)^2))+(Graph!$D$32^2),3/2))</f>
        <v>-103.98539062510281</v>
      </c>
      <c r="S901">
        <f>Graph!$D$40*((Graph!$D$36-Y901)/POWER((((Graph!$D$36-$Y901)^2)+((Graph!$E$36-$Z901)^2))+(Graph!$D$41^2),3/2))</f>
        <v>10.571058368859681</v>
      </c>
      <c r="T901">
        <f>Graph!$D$40*((Graph!$E$36-Z901)/POWER((((Graph!$D$36-$Y901)^2)+((Graph!$E$36-$Z901)^2))+(Graph!$D$41^2),3/2))</f>
        <v>-134.89535692509327</v>
      </c>
      <c r="U901">
        <f>O901+Q901+S901</f>
        <v>107.52030305072837</v>
      </c>
      <c r="V901">
        <f>P901+R901+T901</f>
        <v>-497.81402806932562</v>
      </c>
      <c r="W901">
        <f>W900+(U900*Graph!$D$5)</f>
        <v>-555.24555232049806</v>
      </c>
      <c r="X901">
        <f>X900+(V900*Graph!$D$5)</f>
        <v>-2794.2393522022098</v>
      </c>
      <c r="Y901">
        <f>Y900+(W900*Graph!$D$5)+(U900*Graph!$D$5^2)</f>
        <v>-4836.2648308444186</v>
      </c>
      <c r="Z901">
        <f>Z900+(X900*Graph!$D$5)+(V900*Graph!$D$5^2)</f>
        <v>46714.697599518418</v>
      </c>
    </row>
    <row r="902" spans="14:26" x14ac:dyDescent="0.35">
      <c r="N902">
        <f>N901+1</f>
        <v>899</v>
      </c>
      <c r="O902">
        <f>Graph!$D$22*((Graph!$D$18-Y902)/POWER((((Graph!$D$18-$Y902)^2)+((Graph!$E$18-$Z902)^2))+(Graph!$D$23^2),(3/2)))</f>
        <v>154.523066586033</v>
      </c>
      <c r="P902" s="84">
        <f>Graph!$D$22*((Graph!$E$18-Z902)/POWER((((Graph!$D$18-$Y902)^2)+((Graph!$E$18-$Z902)^2))+(Graph!$D$23^2),3/2))</f>
        <v>-270.72969924005776</v>
      </c>
      <c r="Q902">
        <f>Graph!$D$31*((Graph!$D$27-Y902)/POWER((((Graph!$D$27-$Y902)^2)+((Graph!$E$27-$Z902)^2))+(Graph!$D$32^2),3/2))</f>
        <v>-47.365649181762251</v>
      </c>
      <c r="R902">
        <f>Graph!$D$31*((Graph!$E$27-Z902)/POWER((((Graph!$D$27-$Y902)^2)+((Graph!$E$27-$Z902)^2))+(Graph!$D$32^2),3/2))</f>
        <v>-111.77804778011398</v>
      </c>
      <c r="S902">
        <f>Graph!$D$40*((Graph!$D$36-Y902)/POWER((((Graph!$D$36-$Y902)^2)+((Graph!$E$36-$Z902)^2))+(Graph!$D$41^2),3/2))</f>
        <v>11.960142103413874</v>
      </c>
      <c r="T902">
        <f>Graph!$D$40*((Graph!$E$36-Z902)/POWER((((Graph!$D$36-$Y902)^2)+((Graph!$E$36-$Z902)^2))+(Graph!$D$41^2),3/2))</f>
        <v>-141.52098601136692</v>
      </c>
      <c r="U902">
        <f>O902+Q902+S902</f>
        <v>119.11755950768462</v>
      </c>
      <c r="V902">
        <f>P902+R902+T902</f>
        <v>-524.02873303153865</v>
      </c>
      <c r="W902">
        <f>W901+(U901*Graph!$D$5)</f>
        <v>-501.4854007951339</v>
      </c>
      <c r="X902">
        <f>X901+(V901*Graph!$D$5)</f>
        <v>-3043.1463662368728</v>
      </c>
      <c r="Y902">
        <f>Y901+(W901*Graph!$D$5)+(U901*Graph!$D$5^2)</f>
        <v>-5087.0075312419858</v>
      </c>
      <c r="Z902">
        <f>Z901+(X901*Graph!$D$5)+(V901*Graph!$D$5^2)</f>
        <v>45193.124416399987</v>
      </c>
    </row>
    <row r="903" spans="14:26" x14ac:dyDescent="0.35">
      <c r="N903">
        <f>N902+1</f>
        <v>900</v>
      </c>
      <c r="O903">
        <f>Graph!$D$22*((Graph!$D$18-Y903)/POWER((((Graph!$D$18-$Y903)^2)+((Graph!$E$18-$Z903)^2))+(Graph!$D$23^2),(3/2)))</f>
        <v>172.18067539999217</v>
      </c>
      <c r="P903" s="84">
        <f>Graph!$D$22*((Graph!$E$18-Z903)/POWER((((Graph!$D$18-$Y903)^2)+((Graph!$E$18-$Z903)^2))+(Graph!$D$23^2),3/2))</f>
        <v>-284.37275062164798</v>
      </c>
      <c r="Q903">
        <f>Graph!$D$31*((Graph!$D$27-Y903)/POWER((((Graph!$D$27-$Y903)^2)+((Graph!$E$27-$Z903)^2))+(Graph!$D$32^2),3/2))</f>
        <v>-53.014209397608582</v>
      </c>
      <c r="R903">
        <f>Graph!$D$31*((Graph!$E$27-Z903)/POWER((((Graph!$D$27-$Y903)^2)+((Graph!$E$27-$Z903)^2))+(Graph!$D$32^2),3/2))</f>
        <v>-121.0265380245811</v>
      </c>
      <c r="S903">
        <f>Graph!$D$40*((Graph!$D$36-Y903)/POWER((((Graph!$D$36-$Y903)^2)+((Graph!$E$36-$Z903)^2))+(Graph!$D$41^2),3/2))</f>
        <v>13.537126586206107</v>
      </c>
      <c r="T903">
        <f>Graph!$D$40*((Graph!$E$36-Z903)/POWER((((Graph!$D$36-$Y903)^2)+((Graph!$E$36-$Z903)^2))+(Graph!$D$41^2),3/2))</f>
        <v>-149.29824952983111</v>
      </c>
      <c r="U903">
        <f>O903+Q903+S903</f>
        <v>132.70359258858969</v>
      </c>
      <c r="V903">
        <f>P903+R903+T903</f>
        <v>-554.69753817606022</v>
      </c>
      <c r="W903">
        <f>W902+(U902*Graph!$D$5)</f>
        <v>-441.92662104129158</v>
      </c>
      <c r="X903">
        <f>X902+(V902*Graph!$D$5)</f>
        <v>-3305.1607327526422</v>
      </c>
      <c r="Y903">
        <f>Y902+(W902*Graph!$D$5)+(U902*Graph!$D$5^2)</f>
        <v>-5307.9708417626316</v>
      </c>
      <c r="Z903">
        <f>Z902+(X902*Graph!$D$5)+(V902*Graph!$D$5^2)</f>
        <v>43540.544050023665</v>
      </c>
    </row>
    <row r="904" spans="14:26" x14ac:dyDescent="0.35">
      <c r="N904">
        <f>N903+1</f>
        <v>901</v>
      </c>
      <c r="O904">
        <f>Graph!$D$22*((Graph!$D$18-Y904)/POWER((((Graph!$D$18-$Y904)^2)+((Graph!$E$18-$Z904)^2))+(Graph!$D$23^2),(3/2)))</f>
        <v>193.7413324565793</v>
      </c>
      <c r="P904" s="84">
        <f>Graph!$D$22*((Graph!$E$18-Z904)/POWER((((Graph!$D$18-$Y904)^2)+((Graph!$E$18-$Z904)^2))+(Graph!$D$23^2),3/2))</f>
        <v>-300.11817748271727</v>
      </c>
      <c r="Q904">
        <f>Graph!$D$31*((Graph!$D$27-Y904)/POWER((((Graph!$D$27-$Y904)^2)+((Graph!$E$27-$Z904)^2))+(Graph!$D$32^2),3/2))</f>
        <v>-60.338015173858153</v>
      </c>
      <c r="R904">
        <f>Graph!$D$31*((Graph!$E$27-Z904)/POWER((((Graph!$D$27-$Y904)^2)+((Graph!$E$27-$Z904)^2))+(Graph!$D$32^2),3/2))</f>
        <v>-132.07785233135681</v>
      </c>
      <c r="S904">
        <f>Graph!$D$40*((Graph!$D$36-Y904)/POWER((((Graph!$D$36-$Y904)^2)+((Graph!$E$36-$Z904)^2))+(Graph!$D$41^2),3/2))</f>
        <v>15.348749790200985</v>
      </c>
      <c r="T904">
        <f>Graph!$D$40*((Graph!$E$36-Z904)/POWER((((Graph!$D$36-$Y904)^2)+((Graph!$E$36-$Z904)^2))+(Graph!$D$41^2),3/2))</f>
        <v>-158.49144047923252</v>
      </c>
      <c r="U904">
        <f>O904+Q904+S904</f>
        <v>148.75206707292216</v>
      </c>
      <c r="V904">
        <f>P904+R904+T904</f>
        <v>-590.68747029330666</v>
      </c>
      <c r="W904">
        <f>W903+(U903*Graph!$D$5)</f>
        <v>-375.57482474699674</v>
      </c>
      <c r="X904">
        <f>X903+(V903*Graph!$D$5)</f>
        <v>-3582.5095018406723</v>
      </c>
      <c r="Y904">
        <f>Y903+(W903*Graph!$D$5)+(U903*Graph!$D$5^2)</f>
        <v>-5495.7582541361298</v>
      </c>
      <c r="Z904">
        <f>Z903+(X903*Graph!$D$5)+(V903*Graph!$D$5^2)</f>
        <v>41749.28929910333</v>
      </c>
    </row>
    <row r="905" spans="14:26" x14ac:dyDescent="0.35">
      <c r="N905">
        <f>N904+1</f>
        <v>902</v>
      </c>
      <c r="O905">
        <f>Graph!$D$22*((Graph!$D$18-Y905)/POWER((((Graph!$D$18-$Y905)^2)+((Graph!$E$18-$Z905)^2))+(Graph!$D$23^2),(3/2)))</f>
        <v>220.40375843781712</v>
      </c>
      <c r="P905" s="84">
        <f>Graph!$D$22*((Graph!$E$18-Z905)/POWER((((Graph!$D$18-$Y905)^2)+((Graph!$E$18-$Z905)^2))+(Graph!$D$23^2),3/2))</f>
        <v>-318.23123897512772</v>
      </c>
      <c r="Q905">
        <f>Graph!$D$31*((Graph!$D$27-Y905)/POWER((((Graph!$D$27-$Y905)^2)+((Graph!$E$27-$Z905)^2))+(Graph!$D$32^2),3/2))</f>
        <v>-69.99577363811575</v>
      </c>
      <c r="R905">
        <f>Graph!$D$31*((Graph!$E$27-Z905)/POWER((((Graph!$D$27-$Y905)^2)+((Graph!$E$27-$Z905)^2))+(Graph!$D$32^2),3/2))</f>
        <v>-145.37072523786929</v>
      </c>
      <c r="S905">
        <f>Graph!$D$40*((Graph!$D$36-Y905)/POWER((((Graph!$D$36-$Y905)^2)+((Graph!$E$36-$Z905)^2))+(Graph!$D$41^2),3/2))</f>
        <v>17.456607042397323</v>
      </c>
      <c r="T905">
        <f>Graph!$D$40*((Graph!$E$36-Z905)/POWER((((Graph!$D$36-$Y905)^2)+((Graph!$E$36-$Z905)^2))+(Graph!$D$41^2),3/2))</f>
        <v>-169.45489863018213</v>
      </c>
      <c r="U905">
        <f>O905+Q905+S905</f>
        <v>167.86459184209866</v>
      </c>
      <c r="V905">
        <f>P905+R905+T905</f>
        <v>-633.05686284317915</v>
      </c>
      <c r="W905">
        <f>W904+(U904*Graph!$D$5)</f>
        <v>-301.19879121053566</v>
      </c>
      <c r="X905">
        <f>X904+(V904*Graph!$D$5)</f>
        <v>-3877.8532369873255</v>
      </c>
      <c r="Y905">
        <f>Y904+(W904*Graph!$D$5)+(U904*Graph!$D$5^2)</f>
        <v>-5646.3576497413978</v>
      </c>
      <c r="Z905">
        <f>Z904+(X904*Graph!$D$5)+(V904*Graph!$D$5^2)</f>
        <v>39810.362680609665</v>
      </c>
    </row>
    <row r="906" spans="14:26" x14ac:dyDescent="0.35">
      <c r="N906">
        <f>N905+1</f>
        <v>903</v>
      </c>
      <c r="O906">
        <f>Graph!$D$22*((Graph!$D$18-Y906)/POWER((((Graph!$D$18-$Y906)^2)+((Graph!$E$18-$Z906)^2))+(Graph!$D$23^2),(3/2)))</f>
        <v>253.84058721501063</v>
      </c>
      <c r="P906" s="84">
        <f>Graph!$D$22*((Graph!$E$18-Z906)/POWER((((Graph!$D$18-$Y906)^2)+((Graph!$E$18-$Z906)^2))+(Graph!$D$23^2),3/2))</f>
        <v>-338.94150326839906</v>
      </c>
      <c r="Q906">
        <f>Graph!$D$31*((Graph!$D$27-Y906)/POWER((((Graph!$D$27-$Y906)^2)+((Graph!$E$27-$Z906)^2))+(Graph!$D$32^2),3/2))</f>
        <v>-82.984919372253955</v>
      </c>
      <c r="R906">
        <f>Graph!$D$31*((Graph!$E$27-Z906)/POWER((((Graph!$D$27-$Y906)^2)+((Graph!$E$27-$Z906)^2))+(Graph!$D$32^2),3/2))</f>
        <v>-161.44428653270305</v>
      </c>
      <c r="S906">
        <f>Graph!$D$40*((Graph!$D$36-Y906)/POWER((((Graph!$D$36-$Y906)^2)+((Graph!$E$36-$Z906)^2))+(Graph!$D$41^2),3/2))</f>
        <v>19.943462088494723</v>
      </c>
      <c r="T906">
        <f>Graph!$D$40*((Graph!$E$36-Z906)/POWER((((Graph!$D$36-$Y906)^2)+((Graph!$E$36-$Z906)^2))+(Graph!$D$41^2),3/2))</f>
        <v>-182.67329402042526</v>
      </c>
      <c r="U906">
        <f>O906+Q906+S906</f>
        <v>190.7991299312514</v>
      </c>
      <c r="V906">
        <f>P906+R906+T906</f>
        <v>-683.05908382152734</v>
      </c>
      <c r="W906">
        <f>W905+(U905*Graph!$D$5)</f>
        <v>-217.26649528948633</v>
      </c>
      <c r="X906">
        <f>X905+(V905*Graph!$D$5)</f>
        <v>-4194.3816684089152</v>
      </c>
      <c r="Y906">
        <f>Y905+(W905*Graph!$D$5)+(U905*Graph!$D$5^2)</f>
        <v>-5754.9908973861411</v>
      </c>
      <c r="Z906">
        <f>Z905+(X905*Graph!$D$5)+(V905*Graph!$D$5^2)</f>
        <v>37713.17184640521</v>
      </c>
    </row>
    <row r="907" spans="14:26" x14ac:dyDescent="0.35">
      <c r="N907">
        <f>N906+1</f>
        <v>904</v>
      </c>
      <c r="O907">
        <f>Graph!$D$22*((Graph!$D$18-Y907)/POWER((((Graph!$D$18-$Y907)^2)+((Graph!$E$18-$Z907)^2))+(Graph!$D$23^2),(3/2)))</f>
        <v>296.41623516067671</v>
      </c>
      <c r="P907" s="84">
        <f>Graph!$D$22*((Graph!$E$18-Z907)/POWER((((Graph!$D$18-$Y907)^2)+((Graph!$E$18-$Z907)^2))+(Graph!$D$23^2),3/2))</f>
        <v>-362.3367893596631</v>
      </c>
      <c r="Q907">
        <f>Graph!$D$31*((Graph!$D$27-Y907)/POWER((((Graph!$D$27-$Y907)^2)+((Graph!$E$27-$Z907)^2))+(Graph!$D$32^2),3/2))</f>
        <v>-100.84792471633973</v>
      </c>
      <c r="R907">
        <f>Graph!$D$31*((Graph!$E$27-Z907)/POWER((((Graph!$D$27-$Y907)^2)+((Graph!$E$27-$Z907)^2))+(Graph!$D$32^2),3/2))</f>
        <v>-180.9139571360239</v>
      </c>
      <c r="S907">
        <f>Graph!$D$40*((Graph!$D$36-Y907)/POWER((((Graph!$D$36-$Y907)^2)+((Graph!$E$36-$Z907)^2))+(Graph!$D$41^2),3/2))</f>
        <v>22.922911883692603</v>
      </c>
      <c r="T907">
        <f>Graph!$D$40*((Graph!$E$36-Z907)/POWER((((Graph!$D$36-$Y907)^2)+((Graph!$E$36-$Z907)^2))+(Graph!$D$41^2),3/2))</f>
        <v>-198.82501469556021</v>
      </c>
      <c r="U907">
        <f>O907+Q907+S907</f>
        <v>218.49122232802958</v>
      </c>
      <c r="V907">
        <f>P907+R907+T907</f>
        <v>-742.07576119124724</v>
      </c>
      <c r="W907">
        <f>W906+(U906*Graph!$D$5)</f>
        <v>-121.86693032386063</v>
      </c>
      <c r="X907">
        <f>X906+(V906*Graph!$D$5)</f>
        <v>-4535.9112103196785</v>
      </c>
      <c r="Y907">
        <f>Y906+(W906*Graph!$D$5)+(U906*Graph!$D$5^2)</f>
        <v>-5815.9243625480713</v>
      </c>
      <c r="Z907">
        <f>Z906+(X906*Graph!$D$5)+(V906*Graph!$D$5^2)</f>
        <v>35445.216241245376</v>
      </c>
    </row>
    <row r="908" spans="14:26" x14ac:dyDescent="0.35">
      <c r="N908">
        <f>N907+1</f>
        <v>905</v>
      </c>
      <c r="O908">
        <f>Graph!$D$22*((Graph!$D$18-Y908)/POWER((((Graph!$D$18-$Y908)^2)+((Graph!$E$18-$Z908)^2))+(Graph!$D$23^2),(3/2)))</f>
        <v>351.50192749771679</v>
      </c>
      <c r="P908" s="84">
        <f>Graph!$D$22*((Graph!$E$18-Z908)/POWER((((Graph!$D$18-$Y908)^2)+((Graph!$E$18-$Z908)^2))+(Graph!$D$23^2),3/2))</f>
        <v>-388.12555491812333</v>
      </c>
      <c r="Q908">
        <f>Graph!$D$31*((Graph!$D$27-Y908)/POWER((((Graph!$D$27-$Y908)^2)+((Graph!$E$27-$Z908)^2))+(Graph!$D$32^2),3/2))</f>
        <v>-126.00875408867917</v>
      </c>
      <c r="R908">
        <f>Graph!$D$31*((Graph!$E$27-Z908)/POWER((((Graph!$D$27-$Y908)^2)+((Graph!$E$27-$Z908)^2))+(Graph!$D$32^2),3/2))</f>
        <v>-204.34537671746565</v>
      </c>
      <c r="S908">
        <f>Graph!$D$40*((Graph!$D$36-Y908)/POWER((((Graph!$D$36-$Y908)^2)+((Graph!$E$36-$Z908)^2))+(Graph!$D$41^2),3/2))</f>
        <v>26.554575641446856</v>
      </c>
      <c r="T908">
        <f>Graph!$D$40*((Graph!$E$36-Z908)/POWER((((Graph!$D$36-$Y908)^2)+((Graph!$E$36-$Z908)^2))+(Graph!$D$41^2),3/2))</f>
        <v>-218.88507251632518</v>
      </c>
      <c r="U908">
        <f>O908+Q908+S908</f>
        <v>252.0477490504845</v>
      </c>
      <c r="V908">
        <f>P908+R908+T908</f>
        <v>-811.35600415191414</v>
      </c>
      <c r="W908">
        <f>W907+(U907*Graph!$D$5)</f>
        <v>-12.621319159845839</v>
      </c>
      <c r="X908">
        <f>X907+(V907*Graph!$D$5)</f>
        <v>-4906.9490909153019</v>
      </c>
      <c r="Y908">
        <f>Y907+(W907*Graph!$D$5)+(U907*Graph!$D$5^2)</f>
        <v>-5822.2350221279939</v>
      </c>
      <c r="Z908">
        <f>Z907+(X907*Graph!$D$5)+(V907*Graph!$D$5^2)</f>
        <v>32991.741695787721</v>
      </c>
    </row>
    <row r="909" spans="14:26" x14ac:dyDescent="0.35">
      <c r="N909">
        <f>N908+1</f>
        <v>906</v>
      </c>
      <c r="O909">
        <f>Graph!$D$22*((Graph!$D$18-Y909)/POWER((((Graph!$D$18-$Y909)^2)+((Graph!$E$18-$Z909)^2))+(Graph!$D$23^2),(3/2)))</f>
        <v>423.89644991308955</v>
      </c>
      <c r="P909" s="84">
        <f>Graph!$D$22*((Graph!$E$18-Z909)/POWER((((Graph!$D$18-$Y909)^2)+((Graph!$E$18-$Z909)^2))+(Graph!$D$23^2),3/2))</f>
        <v>-415.11650536088325</v>
      </c>
      <c r="Q909">
        <f>Graph!$D$31*((Graph!$D$27-Y909)/POWER((((Graph!$D$27-$Y909)^2)+((Graph!$E$27-$Z909)^2))+(Graph!$D$32^2),3/2))</f>
        <v>-162.28560900025985</v>
      </c>
      <c r="R909">
        <f>Graph!$D$31*((Graph!$E$27-Z909)/POWER((((Graph!$D$27-$Y909)^2)+((Graph!$E$27-$Z909)^2))+(Graph!$D$32^2),3/2))</f>
        <v>-231.84201516520375</v>
      </c>
      <c r="S909">
        <f>Graph!$D$40*((Graph!$D$36-Y909)/POWER((((Graph!$D$36-$Y909)^2)+((Graph!$E$36-$Z909)^2))+(Graph!$D$41^2),3/2))</f>
        <v>31.068600160705202</v>
      </c>
      <c r="T909">
        <f>Graph!$D$40*((Graph!$E$36-Z909)/POWER((((Graph!$D$36-$Y909)^2)+((Graph!$E$36-$Z909)^2))+(Graph!$D$41^2),3/2))</f>
        <v>-244.29798743988601</v>
      </c>
      <c r="U909">
        <f>O909+Q909+S909</f>
        <v>292.67944107353492</v>
      </c>
      <c r="V909">
        <f>P909+R909+T909</f>
        <v>-891.25650796597301</v>
      </c>
      <c r="W909">
        <f>W908+(U908*Graph!$D$5)</f>
        <v>113.40255536539641</v>
      </c>
      <c r="X909">
        <f>X908+(V908*Graph!$D$5)</f>
        <v>-5312.6270929912589</v>
      </c>
      <c r="Y909">
        <f>Y908+(W908*Graph!$D$5)+(U908*Graph!$D$5^2)</f>
        <v>-5765.5337444452953</v>
      </c>
      <c r="Z909">
        <f>Z908+(X908*Graph!$D$5)+(V908*Graph!$D$5^2)</f>
        <v>30335.428149292093</v>
      </c>
    </row>
    <row r="910" spans="14:26" x14ac:dyDescent="0.35">
      <c r="N910">
        <f>N909+1</f>
        <v>907</v>
      </c>
      <c r="O910">
        <f>Graph!$D$22*((Graph!$D$18-Y910)/POWER((((Graph!$D$18-$Y910)^2)+((Graph!$E$18-$Z910)^2))+(Graph!$D$23^2),(3/2)))</f>
        <v>520.25904751002474</v>
      </c>
      <c r="P910" s="84">
        <f>Graph!$D$22*((Graph!$E$18-Z910)/POWER((((Graph!$D$18-$Y910)^2)+((Graph!$E$18-$Z910)^2))+(Graph!$D$23^2),3/2))</f>
        <v>-440.10209082081855</v>
      </c>
      <c r="Q910">
        <f>Graph!$D$31*((Graph!$D$27-Y910)/POWER((((Graph!$D$27-$Y910)^2)+((Graph!$E$27-$Z910)^2))+(Graph!$D$32^2),3/2))</f>
        <v>-215.49837656559848</v>
      </c>
      <c r="R910">
        <f>Graph!$D$31*((Graph!$E$27-Z910)/POWER((((Graph!$D$27-$Y910)^2)+((Graph!$E$27-$Z910)^2))+(Graph!$D$32^2),3/2))</f>
        <v>-261.88499408806655</v>
      </c>
      <c r="S910">
        <f>Graph!$D$40*((Graph!$D$36-Y910)/POWER((((Graph!$D$36-$Y910)^2)+((Graph!$E$36-$Z910)^2))+(Graph!$D$41^2),3/2))</f>
        <v>36.80612138077241</v>
      </c>
      <c r="T910">
        <f>Graph!$D$40*((Graph!$E$36-Z910)/POWER((((Graph!$D$36-$Y910)^2)+((Graph!$E$36-$Z910)^2))+(Graph!$D$41^2),3/2))</f>
        <v>-277.27915203623314</v>
      </c>
      <c r="U910">
        <f>O910+Q910+S910</f>
        <v>341.56679232519866</v>
      </c>
      <c r="V910">
        <f>P910+R910+T910</f>
        <v>-979.26623694511818</v>
      </c>
      <c r="W910">
        <f>W909+(U909*Graph!$D$5)</f>
        <v>259.7422759021639</v>
      </c>
      <c r="X910">
        <f>X909+(V909*Graph!$D$5)</f>
        <v>-5758.2553469742452</v>
      </c>
      <c r="Y910">
        <f>Y909+(W909*Graph!$D$5)+(U909*Graph!$D$5^2)</f>
        <v>-5635.6626064942138</v>
      </c>
      <c r="Z910">
        <f>Z909+(X909*Graph!$D$5)+(V909*Graph!$D$5^2)</f>
        <v>27456.300475804972</v>
      </c>
    </row>
    <row r="911" spans="14:26" x14ac:dyDescent="0.35">
      <c r="N911">
        <f>N910+1</f>
        <v>908</v>
      </c>
      <c r="O911">
        <f>Graph!$D$22*((Graph!$D$18-Y911)/POWER((((Graph!$D$18-$Y911)^2)+((Graph!$E$18-$Z911)^2))+(Graph!$D$23^2),(3/2)))</f>
        <v>649.07457901563623</v>
      </c>
      <c r="P911" s="84">
        <f>Graph!$D$22*((Graph!$E$18-Z911)/POWER((((Graph!$D$18-$Y911)^2)+((Graph!$E$18-$Z911)^2))+(Graph!$D$23^2),3/2))</f>
        <v>-455.56248650120835</v>
      </c>
      <c r="Q911">
        <f>Graph!$D$31*((Graph!$D$27-Y911)/POWER((((Graph!$D$27-$Y911)^2)+((Graph!$E$27-$Z911)^2))+(Graph!$D$32^2),3/2))</f>
        <v>-293.4171795998563</v>
      </c>
      <c r="R911">
        <f>Graph!$D$31*((Graph!$E$27-Z911)/POWER((((Graph!$D$27-$Y911)^2)+((Graph!$E$27-$Z911)^2))+(Graph!$D$32^2),3/2))</f>
        <v>-288.44134816161545</v>
      </c>
      <c r="S911">
        <f>Graph!$D$40*((Graph!$D$36-Y911)/POWER((((Graph!$D$36-$Y911)^2)+((Graph!$E$36-$Z911)^2))+(Graph!$D$41^2),3/2))</f>
        <v>44.286780530030931</v>
      </c>
      <c r="T911">
        <f>Graph!$D$40*((Graph!$E$36-Z911)/POWER((((Graph!$D$36-$Y911)^2)+((Graph!$E$36-$Z911)^2))+(Graph!$D$41^2),3/2))</f>
        <v>-321.36069338626129</v>
      </c>
      <c r="U911">
        <f>O911+Q911+S911</f>
        <v>399.94417994581084</v>
      </c>
      <c r="V911">
        <f>P911+R911+T911</f>
        <v>-1065.364528049085</v>
      </c>
      <c r="W911">
        <f>W910+(U910*Graph!$D$5)</f>
        <v>430.52567206476323</v>
      </c>
      <c r="X911">
        <f>X910+(V910*Graph!$D$5)</f>
        <v>-6247.8884654468038</v>
      </c>
      <c r="Y911">
        <f>Y910+(W910*Graph!$D$5)+(U910*Graph!$D$5^2)</f>
        <v>-5420.3997704618314</v>
      </c>
      <c r="Z911">
        <f>Z910+(X910*Graph!$D$5)+(V910*Graph!$D$5^2)</f>
        <v>24332.356243081573</v>
      </c>
    </row>
    <row r="912" spans="14:26" x14ac:dyDescent="0.35">
      <c r="N912">
        <f>N911+1</f>
        <v>909</v>
      </c>
      <c r="O912">
        <f>Graph!$D$22*((Graph!$D$18-Y912)/POWER((((Graph!$D$18-$Y912)^2)+((Graph!$E$18-$Z912)^2))+(Graph!$D$23^2),(3/2)))</f>
        <v>818.48648580708732</v>
      </c>
      <c r="P912" s="84">
        <f>Graph!$D$22*((Graph!$E$18-Z912)/POWER((((Graph!$D$18-$Y912)^2)+((Graph!$E$18-$Z912)^2))+(Graph!$D$23^2),3/2))</f>
        <v>-445.45485830559323</v>
      </c>
      <c r="Q912">
        <f>Graph!$D$31*((Graph!$D$27-Y912)/POWER((((Graph!$D$27-$Y912)^2)+((Graph!$E$27-$Z912)^2))+(Graph!$D$32^2),3/2))</f>
        <v>-401.9081811660306</v>
      </c>
      <c r="R912">
        <f>Graph!$D$31*((Graph!$E$27-Z912)/POWER((((Graph!$D$27-$Y912)^2)+((Graph!$E$27-$Z912)^2))+(Graph!$D$32^2),3/2))</f>
        <v>-295.25024203090669</v>
      </c>
      <c r="S912">
        <f>Graph!$D$40*((Graph!$D$36-Y912)/POWER((((Graph!$D$36-$Y912)^2)+((Graph!$E$36-$Z912)^2))+(Graph!$D$41^2),3/2))</f>
        <v>54.318042166011814</v>
      </c>
      <c r="T912">
        <f>Graph!$D$40*((Graph!$E$36-Z912)/POWER((((Graph!$D$36-$Y912)^2)+((Graph!$E$36-$Z912)^2))+(Graph!$D$41^2),3/2))</f>
        <v>-382.4182602596465</v>
      </c>
      <c r="U912">
        <f>O912+Q912+S912</f>
        <v>470.89634680706854</v>
      </c>
      <c r="V912">
        <f>P912+R912+T912</f>
        <v>-1123.1233605961465</v>
      </c>
      <c r="W912">
        <f>W911+(U911*Graph!$D$5)</f>
        <v>630.49776203766862</v>
      </c>
      <c r="X912">
        <f>X911+(V911*Graph!$D$5)</f>
        <v>-6780.5707294713466</v>
      </c>
      <c r="Y912">
        <f>Y911+(W911*Graph!$D$5)+(U911*Graph!$D$5^2)</f>
        <v>-5105.1508894429971</v>
      </c>
      <c r="Z912">
        <f>Z911+(X911*Graph!$D$5)+(V911*Graph!$D$5^2)</f>
        <v>20942.070878345898</v>
      </c>
    </row>
    <row r="913" spans="14:26" x14ac:dyDescent="0.35">
      <c r="N913">
        <f>N912+1</f>
        <v>910</v>
      </c>
      <c r="O913">
        <f>Graph!$D$22*((Graph!$D$18-Y913)/POWER((((Graph!$D$18-$Y913)^2)+((Graph!$E$18-$Z913)^2))+(Graph!$D$23^2),(3/2)))</f>
        <v>1027.696472592766</v>
      </c>
      <c r="P913" s="84">
        <f>Graph!$D$22*((Graph!$E$18-Z913)/POWER((((Graph!$D$18-$Y913)^2)+((Graph!$E$18-$Z913)^2))+(Graph!$D$23^2),3/2))</f>
        <v>-379.84537781505253</v>
      </c>
      <c r="Q913">
        <f>Graph!$D$31*((Graph!$D$27-Y913)/POWER((((Graph!$D$27-$Y913)^2)+((Graph!$E$27-$Z913)^2))+(Graph!$D$32^2),3/2))</f>
        <v>-529.61688190833161</v>
      </c>
      <c r="R913">
        <f>Graph!$D$31*((Graph!$E$27-Z913)/POWER((((Graph!$D$27-$Y913)^2)+((Graph!$E$27-$Z913)^2))+(Graph!$D$32^2),3/2))</f>
        <v>-251.23248455217856</v>
      </c>
      <c r="S913">
        <f>Graph!$D$40*((Graph!$D$36-Y913)/POWER((((Graph!$D$36-$Y913)^2)+((Graph!$E$36-$Z913)^2))+(Graph!$D$41^2),3/2))</f>
        <v>68.143868355082176</v>
      </c>
      <c r="T913">
        <f>Graph!$D$40*((Graph!$E$36-Z913)/POWER((((Graph!$D$36-$Y913)^2)+((Graph!$E$36-$Z913)^2))+(Graph!$D$41^2),3/2))</f>
        <v>-470.67366247557084</v>
      </c>
      <c r="U913">
        <f>O913+Q913+S913</f>
        <v>566.22345903951657</v>
      </c>
      <c r="V913">
        <f>P913+R913+T913</f>
        <v>-1101.7515248428019</v>
      </c>
      <c r="W913">
        <f>W912+(U912*Graph!$D$5)</f>
        <v>865.94593544120289</v>
      </c>
      <c r="X913">
        <f>X912+(V912*Graph!$D$5)</f>
        <v>-7342.1324097694196</v>
      </c>
      <c r="Y913">
        <f>Y912+(W912*Graph!$D$5)+(U912*Graph!$D$5^2)</f>
        <v>-4672.1779217223957</v>
      </c>
      <c r="Z913">
        <f>Z912+(X912*Graph!$D$5)+(V912*Graph!$D$5^2)</f>
        <v>17271.004673461186</v>
      </c>
    </row>
    <row r="914" spans="14:26" x14ac:dyDescent="0.35">
      <c r="N914">
        <f>N913+1</f>
        <v>911</v>
      </c>
      <c r="O914">
        <f>Graph!$D$22*((Graph!$D$18-Y914)/POWER((((Graph!$D$18-$Y914)^2)+((Graph!$E$18-$Z914)^2))+(Graph!$D$23^2),(3/2)))</f>
        <v>1246.3259938858212</v>
      </c>
      <c r="P914" s="84">
        <f>Graph!$D$22*((Graph!$E$18-Z914)/POWER((((Graph!$D$18-$Y914)^2)+((Graph!$E$18-$Z914)^2))+(Graph!$D$23^2),3/2))</f>
        <v>-216.95924348388579</v>
      </c>
      <c r="Q914">
        <f>Graph!$D$31*((Graph!$D$27-Y914)/POWER((((Graph!$D$27-$Y914)^2)+((Graph!$E$27-$Z914)^2))+(Graph!$D$32^2),3/2))</f>
        <v>-622.22730337178984</v>
      </c>
      <c r="R914">
        <f>Graph!$D$31*((Graph!$E$27-Z914)/POWER((((Graph!$D$27-$Y914)^2)+((Graph!$E$27-$Z914)^2))+(Graph!$D$32^2),3/2))</f>
        <v>-130.08108342868439</v>
      </c>
      <c r="S914">
        <f>Graph!$D$40*((Graph!$D$36-Y914)/POWER((((Graph!$D$36-$Y914)^2)+((Graph!$E$36-$Z914)^2))+(Graph!$D$41^2),3/2))</f>
        <v>87.491766468295026</v>
      </c>
      <c r="T914">
        <f>Graph!$D$40*((Graph!$E$36-Z914)/POWER((((Graph!$D$36-$Y914)^2)+((Graph!$E$36-$Z914)^2))+(Graph!$D$41^2),3/2))</f>
        <v>-604.77618672304698</v>
      </c>
      <c r="U914">
        <f>O914+Q914+S914</f>
        <v>711.59045698232637</v>
      </c>
      <c r="V914">
        <f>P914+R914+T914</f>
        <v>-951.81651363561718</v>
      </c>
      <c r="W914">
        <f>W913+(U913*Graph!$D$5)</f>
        <v>1149.0576649609611</v>
      </c>
      <c r="X914">
        <f>X913+(V913*Graph!$D$5)</f>
        <v>-7893.0081721908209</v>
      </c>
      <c r="Y914">
        <f>Y913+(W913*Graph!$D$5)+(U913*Graph!$D$5^2)</f>
        <v>-4097.6490892419151</v>
      </c>
      <c r="Z914">
        <f>Z913+(X913*Graph!$D$5)+(V913*Graph!$D$5^2)</f>
        <v>13324.500587365776</v>
      </c>
    </row>
    <row r="915" spans="14:26" x14ac:dyDescent="0.35">
      <c r="N915">
        <f>N914+1</f>
        <v>912</v>
      </c>
      <c r="O915">
        <f>Graph!$D$22*((Graph!$D$18-Y915)/POWER((((Graph!$D$18-$Y915)^2)+((Graph!$E$18-$Z915)^2))+(Graph!$D$23^2),(3/2)))</f>
        <v>1392.973919583221</v>
      </c>
      <c r="P915" s="84">
        <f>Graph!$D$22*((Graph!$E$18-Z915)/POWER((((Graph!$D$18-$Y915)^2)+((Graph!$E$18-$Z915)^2))+(Graph!$D$23^2),3/2))</f>
        <v>65.297574736131878</v>
      </c>
      <c r="Q915">
        <f>Graph!$D$31*((Graph!$D$27-Y915)/POWER((((Graph!$D$27-$Y915)^2)+((Graph!$E$27-$Z915)^2))+(Graph!$D$32^2),3/2))</f>
        <v>-604.50710323398289</v>
      </c>
      <c r="R915">
        <f>Graph!$D$31*((Graph!$E$27-Z915)/POWER((((Graph!$D$27-$Y915)^2)+((Graph!$E$27-$Z915)^2))+(Graph!$D$32^2),3/2))</f>
        <v>31.213295916674809</v>
      </c>
      <c r="S915">
        <f>Graph!$D$40*((Graph!$D$36-Y915)/POWER((((Graph!$D$36-$Y915)^2)+((Graph!$E$36-$Z915)^2))+(Graph!$D$41^2),3/2))</f>
        <v>113.75200899915369</v>
      </c>
      <c r="T915">
        <f>Graph!$D$40*((Graph!$E$36-Z915)/POWER((((Graph!$D$36-$Y915)^2)+((Graph!$E$36-$Z915)^2))+(Graph!$D$41^2),3/2))</f>
        <v>-820.86563756262012</v>
      </c>
      <c r="U915">
        <f>O915+Q915+S915</f>
        <v>902.21882534839176</v>
      </c>
      <c r="V915">
        <f>P915+R915+T915</f>
        <v>-724.35476690981341</v>
      </c>
      <c r="W915">
        <f>W914+(U914*Graph!$D$5)</f>
        <v>1504.8528934521244</v>
      </c>
      <c r="X915">
        <f>X914+(V914*Graph!$D$5)</f>
        <v>-8368.9164290086301</v>
      </c>
      <c r="Y915">
        <f>Y914+(W914*Graph!$D$5)+(U914*Graph!$D$5^2)</f>
        <v>-3345.2226425158528</v>
      </c>
      <c r="Z915">
        <f>Z914+(X914*Graph!$D$5)+(V914*Graph!$D$5^2)</f>
        <v>9140.0423728614605</v>
      </c>
    </row>
    <row r="916" spans="14:26" x14ac:dyDescent="0.35">
      <c r="N916">
        <f>N915+1</f>
        <v>913</v>
      </c>
      <c r="O916">
        <f>Graph!$D$22*((Graph!$D$18-Y916)/POWER((((Graph!$D$18-$Y916)^2)+((Graph!$E$18-$Z916)^2))+(Graph!$D$23^2),(3/2)))</f>
        <v>1365.7115109946856</v>
      </c>
      <c r="P916" s="84">
        <f>Graph!$D$22*((Graph!$E$18-Z916)/POWER((((Graph!$D$18-$Y916)^2)+((Graph!$E$18-$Z916)^2))+(Graph!$D$23^2),3/2))</f>
        <v>410.91912589070824</v>
      </c>
      <c r="Q916">
        <f>Graph!$D$31*((Graph!$D$27-Y916)/POWER((((Graph!$D$27-$Y916)^2)+((Graph!$E$27-$Z916)^2))+(Graph!$D$32^2),3/2))</f>
        <v>-482.65476538553463</v>
      </c>
      <c r="R916">
        <f>Graph!$D$31*((Graph!$E$27-Z916)/POWER((((Graph!$D$27-$Y916)^2)+((Graph!$E$27-$Z916)^2))+(Graph!$D$32^2),3/2))</f>
        <v>143.0357401575171</v>
      </c>
      <c r="S916">
        <f>Graph!$D$40*((Graph!$D$36-Y916)/POWER((((Graph!$D$36-$Y916)^2)+((Graph!$E$36-$Z916)^2))+(Graph!$D$41^2),3/2))</f>
        <v>143.16503766813733</v>
      </c>
      <c r="T916">
        <f>Graph!$D$40*((Graph!$E$36-Z916)/POWER((((Graph!$D$36-$Y916)^2)+((Graph!$E$36-$Z916)^2))+(Graph!$D$41^2),3/2))</f>
        <v>-1195.9136408186994</v>
      </c>
      <c r="U916">
        <f>O916+Q916+S916</f>
        <v>1026.2217832772883</v>
      </c>
      <c r="V916">
        <f>P916+R916+T916</f>
        <v>-641.95877477047407</v>
      </c>
      <c r="W916">
        <f>W915+(U915*Graph!$D$5)</f>
        <v>1955.9623061263203</v>
      </c>
      <c r="X916">
        <f>X915+(V915*Graph!$D$5)</f>
        <v>-8731.0938124635359</v>
      </c>
      <c r="Y916">
        <f>Y915+(W915*Graph!$D$5)+(U915*Graph!$D$5^2)</f>
        <v>-2367.2414894526928</v>
      </c>
      <c r="Z916">
        <f>Z915+(X915*Graph!$D$5)+(V915*Graph!$D$5^2)</f>
        <v>4774.4954666296926</v>
      </c>
    </row>
    <row r="917" spans="14:26" x14ac:dyDescent="0.35">
      <c r="N917">
        <f>N916+1</f>
        <v>914</v>
      </c>
      <c r="O917">
        <f>Graph!$D$22*((Graph!$D$18-Y917)/POWER((((Graph!$D$18-$Y917)^2)+((Graph!$E$18-$Z917)^2))+(Graph!$D$23^2),(3/2)))</f>
        <v>1138.7258214649746</v>
      </c>
      <c r="P917" s="84">
        <f>Graph!$D$22*((Graph!$E$18-Z917)/POWER((((Graph!$D$18-$Y917)^2)+((Graph!$E$18-$Z917)^2))+(Graph!$D$23^2),3/2))</f>
        <v>688.31183381102596</v>
      </c>
      <c r="Q917">
        <f>Graph!$D$31*((Graph!$D$27-Y917)/POWER((((Graph!$D$27-$Y917)^2)+((Graph!$E$27-$Z917)^2))+(Graph!$D$32^2),3/2))</f>
        <v>-339.7695837954879</v>
      </c>
      <c r="R917">
        <f>Graph!$D$31*((Graph!$E$27-Z917)/POWER((((Graph!$D$27-$Y917)^2)+((Graph!$E$27-$Z917)^2))+(Graph!$D$32^2),3/2))</f>
        <v>175.60954302178467</v>
      </c>
      <c r="S917">
        <f>Graph!$D$40*((Graph!$D$36-Y917)/POWER((((Graph!$D$36-$Y917)^2)+((Graph!$E$36-$Z917)^2))+(Graph!$D$41^2),3/2))</f>
        <v>142.45336743982489</v>
      </c>
      <c r="T917">
        <f>Graph!$D$40*((Graph!$E$36-Z917)/POWER((((Graph!$D$36-$Y917)^2)+((Graph!$E$36-$Z917)^2))+(Graph!$D$41^2),3/2))</f>
        <v>-1917.7054252289233</v>
      </c>
      <c r="U917">
        <f>O917+Q917+S917</f>
        <v>941.40960510931154</v>
      </c>
      <c r="V917">
        <f>P917+R917+T917</f>
        <v>-1053.7840483961127</v>
      </c>
      <c r="W917">
        <f>W916+(U916*Graph!$D$5)</f>
        <v>2469.0731977649643</v>
      </c>
      <c r="X917">
        <f>X916+(V916*Graph!$D$5)</f>
        <v>-9052.0731998487736</v>
      </c>
      <c r="Y917">
        <f>Y916+(W916*Graph!$D$5)+(U916*Graph!$D$5^2)</f>
        <v>-1132.7048905702106</v>
      </c>
      <c r="Z917">
        <f>Z916+(X916*Graph!$D$5)+(V916*Graph!$D$5^2)</f>
        <v>248.45886670530615</v>
      </c>
    </row>
    <row r="918" spans="14:26" x14ac:dyDescent="0.35">
      <c r="N918">
        <f>N917+1</f>
        <v>915</v>
      </c>
      <c r="O918">
        <f>Graph!$D$22*((Graph!$D$18-Y918)/POWER((((Graph!$D$18-$Y918)^2)+((Graph!$E$18-$Z918)^2))+(Graph!$D$23^2),(3/2)))</f>
        <v>800.41756339653284</v>
      </c>
      <c r="P918" s="84">
        <f>Graph!$D$22*((Graph!$E$18-Z918)/POWER((((Graph!$D$18-$Y918)^2)+((Graph!$E$18-$Z918)^2))+(Graph!$D$23^2),3/2))</f>
        <v>793.76914246946092</v>
      </c>
      <c r="Q918">
        <f>Graph!$D$31*((Graph!$D$27-Y918)/POWER((((Graph!$D$27-$Y918)^2)+((Graph!$E$27-$Z918)^2))+(Graph!$D$32^2),3/2))</f>
        <v>-227.02590932267171</v>
      </c>
      <c r="R918">
        <f>Graph!$D$31*((Graph!$E$27-Z918)/POWER((((Graph!$D$27-$Y918)^2)+((Graph!$E$27-$Z918)^2))+(Graph!$D$32^2),3/2))</f>
        <v>162.3228230847748</v>
      </c>
      <c r="S918">
        <f>Graph!$D$40*((Graph!$D$36-Y918)/POWER((((Graph!$D$36-$Y918)^2)+((Graph!$E$36-$Z918)^2))+(Graph!$D$41^2),3/2))</f>
        <v>-113.1783910198055</v>
      </c>
      <c r="T918">
        <f>Graph!$D$40*((Graph!$E$36-Z918)/POWER((((Graph!$D$36-$Y918)^2)+((Graph!$E$36-$Z918)^2))+(Graph!$D$41^2),3/2))</f>
        <v>-3510.6343109110758</v>
      </c>
      <c r="U918">
        <f>O918+Q918+S918</f>
        <v>460.21326305405557</v>
      </c>
      <c r="V918">
        <f>P918+R918+T918</f>
        <v>-2554.5423453568401</v>
      </c>
      <c r="W918">
        <f>W917+(U917*Graph!$D$5)</f>
        <v>2939.7780003196203</v>
      </c>
      <c r="X918">
        <f>X917+(V917*Graph!$D$5)</f>
        <v>-9578.9652240468295</v>
      </c>
      <c r="Y918">
        <f>Y917+(W917*Graph!$D$5)+(U917*Graph!$D$5^2)</f>
        <v>337.18410958959942</v>
      </c>
      <c r="Z918">
        <f>Z917+(X917*Graph!$D$5)+(V917*Graph!$D$5^2)</f>
        <v>-4541.0237453181089</v>
      </c>
    </row>
    <row r="919" spans="14:26" x14ac:dyDescent="0.35">
      <c r="N919">
        <f>N918+1</f>
        <v>916</v>
      </c>
      <c r="O919">
        <f>Graph!$D$22*((Graph!$D$18-Y919)/POWER((((Graph!$D$18-$Y919)^2)+((Graph!$E$18-$Z919)^2))+(Graph!$D$23^2),(3/2)))</f>
        <v>472.04364685074313</v>
      </c>
      <c r="P919" s="84">
        <f>Graph!$D$22*((Graph!$E$18-Z919)/POWER((((Graph!$D$18-$Y919)^2)+((Graph!$E$18-$Z919)^2))+(Graph!$D$23^2),3/2))</f>
        <v>720.78281946114453</v>
      </c>
      <c r="Q919">
        <f>Graph!$D$31*((Graph!$D$27-Y919)/POWER((((Graph!$D$27-$Y919)^2)+((Graph!$E$27-$Z919)^2))+(Graph!$D$32^2),3/2))</f>
        <v>-147.88463898251223</v>
      </c>
      <c r="R919">
        <f>Graph!$D$31*((Graph!$E$27-Z919)/POWER((((Graph!$D$27-$Y919)^2)+((Graph!$E$27-$Z919)^2))+(Graph!$D$32^2),3/2))</f>
        <v>134.70998614873974</v>
      </c>
      <c r="S919">
        <f>Graph!$D$40*((Graph!$D$36-Y919)/POWER((((Graph!$D$36-$Y919)^2)+((Graph!$E$36-$Z919)^2))+(Graph!$D$41^2),3/2))</f>
        <v>-2535.9485550469385</v>
      </c>
      <c r="T919">
        <f>Graph!$D$40*((Graph!$E$36-Z919)/POWER((((Graph!$D$36-$Y919)^2)+((Graph!$E$36-$Z919)^2))+(Graph!$D$41^2),3/2))</f>
        <v>-6637.4391659303028</v>
      </c>
      <c r="U919">
        <f>O919+Q919+S919</f>
        <v>-2211.7895471787078</v>
      </c>
      <c r="V919">
        <f>P919+R919+T919</f>
        <v>-5781.9463603204185</v>
      </c>
      <c r="W919">
        <f>W918+(U918*Graph!$D$5)</f>
        <v>3169.8846318466481</v>
      </c>
      <c r="X919">
        <f>X918+(V918*Graph!$D$5)</f>
        <v>-10856.23639672525</v>
      </c>
      <c r="Y919">
        <f>Y918+(W918*Graph!$D$5)+(U918*Graph!$D$5^2)</f>
        <v>1922.1264255129233</v>
      </c>
      <c r="Z919">
        <f>Z918+(X918*Graph!$D$5)+(V918*Graph!$D$5^2)</f>
        <v>-9969.1419436807337</v>
      </c>
    </row>
    <row r="920" spans="14:26" x14ac:dyDescent="0.35">
      <c r="N920">
        <f>N919+1</f>
        <v>917</v>
      </c>
      <c r="O920">
        <f>Graph!$D$22*((Graph!$D$18-Y920)/POWER((((Graph!$D$18-$Y920)^2)+((Graph!$E$18-$Z920)^2))+(Graph!$D$23^2),(3/2)))</f>
        <v>237.29389158174027</v>
      </c>
      <c r="P920" s="84">
        <f>Graph!$D$22*((Graph!$E$18-Z920)/POWER((((Graph!$D$18-$Y920)^2)+((Graph!$E$18-$Z920)^2))+(Graph!$D$23^2),3/2))</f>
        <v>528.7800101873836</v>
      </c>
      <c r="Q920">
        <f>Graph!$D$31*((Graph!$D$27-Y920)/POWER((((Graph!$D$27-$Y920)^2)+((Graph!$E$27-$Z920)^2))+(Graph!$D$32^2),3/2))</f>
        <v>-92.20740188401804</v>
      </c>
      <c r="R920">
        <f>Graph!$D$31*((Graph!$E$27-Z920)/POWER((((Graph!$D$27-$Y920)^2)+((Graph!$E$27-$Z920)^2))+(Graph!$D$32^2),3/2))</f>
        <v>107.82812800191665</v>
      </c>
      <c r="S920">
        <f>Graph!$D$40*((Graph!$D$36-Y920)/POWER((((Graph!$D$36-$Y920)^2)+((Graph!$E$36-$Z920)^2))+(Graph!$D$41^2),3/2))</f>
        <v>-6838.6484600910608</v>
      </c>
      <c r="T920">
        <f>Graph!$D$40*((Graph!$E$36-Z920)/POWER((((Graph!$D$36-$Y920)^2)+((Graph!$E$36-$Z920)^2))+(Graph!$D$41^2),3/2))</f>
        <v>4265.8698100447409</v>
      </c>
      <c r="U920">
        <f>O920+Q920+S920</f>
        <v>-6693.5619703933389</v>
      </c>
      <c r="V920">
        <f>P920+R920+T920</f>
        <v>4902.4779482340409</v>
      </c>
      <c r="W920">
        <f>W919+(U919*Graph!$D$5)</f>
        <v>2063.9898582572941</v>
      </c>
      <c r="X920">
        <f>X919+(V919*Graph!$D$5)</f>
        <v>-13747.20957688546</v>
      </c>
      <c r="Y920">
        <f>Y919+(W919*Graph!$D$5)+(U919*Graph!$D$5^2)</f>
        <v>2954.1213546415702</v>
      </c>
      <c r="Z920">
        <f>Z919+(X919*Graph!$D$5)+(V919*Graph!$D$5^2)</f>
        <v>-16842.746732123462</v>
      </c>
    </row>
    <row r="921" spans="14:26" x14ac:dyDescent="0.35">
      <c r="N921">
        <f>N920+1</f>
        <v>918</v>
      </c>
      <c r="O921">
        <f>Graph!$D$22*((Graph!$D$18-Y921)/POWER((((Graph!$D$18-$Y921)^2)+((Graph!$E$18-$Z921)^2))+(Graph!$D$23^2),(3/2)))</f>
        <v>151.8401888255755</v>
      </c>
      <c r="P921" s="84">
        <f>Graph!$D$22*((Graph!$E$18-Z921)/POWER((((Graph!$D$18-$Y921)^2)+((Graph!$E$18-$Z921)^2))+(Graph!$D$23^2),3/2))</f>
        <v>388.84624118994765</v>
      </c>
      <c r="Q921">
        <f>Graph!$D$31*((Graph!$D$27-Y921)/POWER((((Graph!$D$27-$Y921)^2)+((Graph!$E$27-$Z921)^2))+(Graph!$D$32^2),3/2))</f>
        <v>-64.678433560569673</v>
      </c>
      <c r="R921">
        <f>Graph!$D$31*((Graph!$E$27-Z921)/POWER((((Graph!$D$27-$Y921)^2)+((Graph!$E$27-$Z921)^2))+(Graph!$D$32^2),3/2))</f>
        <v>94.181664438100427</v>
      </c>
      <c r="S921">
        <f>Graph!$D$40*((Graph!$D$36-Y921)/POWER((((Graph!$D$36-$Y921)^2)+((Graph!$E$36-$Z921)^2))+(Graph!$D$41^2),3/2))</f>
        <v>-1506.2660057743169</v>
      </c>
      <c r="T921">
        <f>Graph!$D$40*((Graph!$E$36-Z921)/POWER((((Graph!$D$36-$Y921)^2)+((Graph!$E$36-$Z921)^2))+(Graph!$D$41^2),3/2))</f>
        <v>4878.6739281876162</v>
      </c>
      <c r="U921">
        <f>O921+Q921+S921</f>
        <v>-1419.104250509311</v>
      </c>
      <c r="V921">
        <f>P921+R921+T921</f>
        <v>5361.701833815664</v>
      </c>
      <c r="W921">
        <f>W920+(U920*Graph!$D$5)</f>
        <v>-1282.7911269393753</v>
      </c>
      <c r="X921">
        <f>X920+(V920*Graph!$D$5)</f>
        <v>-11295.970602768439</v>
      </c>
      <c r="Y921">
        <f>Y920+(W920*Graph!$D$5)+(U920*Graph!$D$5^2)</f>
        <v>2312.7257911718825</v>
      </c>
      <c r="Z921">
        <f>Z920+(X920*Graph!$D$5)+(V920*Graph!$D$5^2)</f>
        <v>-22490.73203350768</v>
      </c>
    </row>
    <row r="922" spans="14:26" x14ac:dyDescent="0.35">
      <c r="N922">
        <f>N921+1</f>
        <v>919</v>
      </c>
      <c r="O922">
        <f>Graph!$D$22*((Graph!$D$18-Y922)/POWER((((Graph!$D$18-$Y922)^2)+((Graph!$E$18-$Z922)^2))+(Graph!$D$23^2),(3/2)))</f>
        <v>115.57408853901171</v>
      </c>
      <c r="P922" s="84">
        <f>Graph!$D$22*((Graph!$E$18-Z922)/POWER((((Graph!$D$18-$Y922)^2)+((Graph!$E$18-$Z922)^2))+(Graph!$D$23^2),3/2))</f>
        <v>310.80833692905168</v>
      </c>
      <c r="Q922">
        <f>Graph!$D$31*((Graph!$D$27-Y922)/POWER((((Graph!$D$27-$Y922)^2)+((Graph!$E$27-$Z922)^2))+(Graph!$D$32^2),3/2))</f>
        <v>-49.27546963331546</v>
      </c>
      <c r="R922">
        <f>Graph!$D$31*((Graph!$E$27-Z922)/POWER((((Graph!$D$27-$Y922)^2)+((Graph!$E$27-$Z922)^2))+(Graph!$D$32^2),3/2))</f>
        <v>85.063143877453726</v>
      </c>
      <c r="S922">
        <f>Graph!$D$40*((Graph!$D$36-Y922)/POWER((((Graph!$D$36-$Y922)^2)+((Graph!$E$36-$Z922)^2))+(Graph!$D$41^2),3/2))</f>
        <v>-322.50628467617878</v>
      </c>
      <c r="T922">
        <f>Graph!$D$40*((Graph!$E$36-Z922)/POWER((((Graph!$D$36-$Y922)^2)+((Graph!$E$36-$Z922)^2))+(Graph!$D$41^2),3/2))</f>
        <v>2890.1380433358618</v>
      </c>
      <c r="U922">
        <f>O922+Q922+S922</f>
        <v>-256.20766577048255</v>
      </c>
      <c r="V922">
        <f>P922+R922+T922</f>
        <v>3286.0095241423674</v>
      </c>
      <c r="W922">
        <f>W921+(U921*Graph!$D$5)</f>
        <v>-1992.3432521940308</v>
      </c>
      <c r="X922">
        <f>X921+(V921*Graph!$D$5)</f>
        <v>-8615.1196858606072</v>
      </c>
      <c r="Y922">
        <f>Y921+(W921*Graph!$D$5)+(U921*Graph!$D$5^2)</f>
        <v>1316.5541650748671</v>
      </c>
      <c r="Z922">
        <f>Z921+(X921*Graph!$D$5)+(V921*Graph!$D$5^2)</f>
        <v>-26798.291876437983</v>
      </c>
    </row>
    <row r="923" spans="14:26" x14ac:dyDescent="0.35">
      <c r="N923">
        <f>N922+1</f>
        <v>920</v>
      </c>
      <c r="O923">
        <f>Graph!$D$22*((Graph!$D$18-Y923)/POWER((((Graph!$D$18-$Y923)^2)+((Graph!$E$18-$Z923)^2))+(Graph!$D$23^2),(3/2)))</f>
        <v>95.832869652623316</v>
      </c>
      <c r="P923" s="84">
        <f>Graph!$D$22*((Graph!$E$18-Z923)/POWER((((Graph!$D$18-$Y923)^2)+((Graph!$E$18-$Z923)^2))+(Graph!$D$23^2),3/2))</f>
        <v>261.84558947597742</v>
      </c>
      <c r="Q923">
        <f>Graph!$D$31*((Graph!$D$27-Y923)/POWER((((Graph!$D$27-$Y923)^2)+((Graph!$E$27-$Z923)^2))+(Graph!$D$32^2),3/2))</f>
        <v>-39.326641955873328</v>
      </c>
      <c r="R923">
        <f>Graph!$D$31*((Graph!$E$27-Z923)/POWER((((Graph!$D$27-$Y923)^2)+((Graph!$E$27-$Z923)^2))+(Graph!$D$32^2),3/2))</f>
        <v>78.210027885872435</v>
      </c>
      <c r="S923">
        <f>Graph!$D$40*((Graph!$D$36-Y923)/POWER((((Graph!$D$36-$Y923)^2)+((Graph!$E$36-$Z923)^2))+(Graph!$D$41^2),3/2))</f>
        <v>-32.259846030119583</v>
      </c>
      <c r="T923">
        <f>Graph!$D$40*((Graph!$E$36-Z923)/POWER((((Graph!$D$36-$Y923)^2)+((Graph!$E$36-$Z923)^2))+(Graph!$D$41^2),3/2))</f>
        <v>1923.5733579096784</v>
      </c>
      <c r="U923">
        <f>O923+Q923+S923</f>
        <v>24.246381666630406</v>
      </c>
      <c r="V923">
        <f>P923+R923+T923</f>
        <v>2263.6289752715284</v>
      </c>
      <c r="W923">
        <f>W922+(U922*Graph!$D$5)</f>
        <v>-2120.4470850792723</v>
      </c>
      <c r="X923">
        <f>X922+(V922*Graph!$D$5)</f>
        <v>-6972.1149237894233</v>
      </c>
      <c r="Y923">
        <f>Y922+(W922*Graph!$D$5)+(U922*Graph!$D$5^2)</f>
        <v>256.3306225352311</v>
      </c>
      <c r="Z923">
        <f>Z922+(X922*Graph!$D$5)+(V922*Graph!$D$5^2)</f>
        <v>-30284.349338332693</v>
      </c>
    </row>
    <row r="924" spans="14:26" x14ac:dyDescent="0.35">
      <c r="N924">
        <f>N923+1</f>
        <v>921</v>
      </c>
      <c r="O924">
        <f>Graph!$D$22*((Graph!$D$18-Y924)/POWER((((Graph!$D$18-$Y924)^2)+((Graph!$E$18-$Z924)^2))+(Graph!$D$23^2),(3/2)))</f>
        <v>83.485329332751931</v>
      </c>
      <c r="P924" s="84">
        <f>Graph!$D$22*((Graph!$E$18-Z924)/POWER((((Graph!$D$18-$Y924)^2)+((Graph!$E$18-$Z924)^2))+(Graph!$D$23^2),3/2))</f>
        <v>228.31879895500202</v>
      </c>
      <c r="Q924">
        <f>Graph!$D$31*((Graph!$D$27-Y924)/POWER((((Graph!$D$27-$Y924)^2)+((Graph!$E$27-$Z924)^2))+(Graph!$D$32^2),3/2))</f>
        <v>-32.364126451529124</v>
      </c>
      <c r="R924">
        <f>Graph!$D$31*((Graph!$E$27-Z924)/POWER((((Graph!$D$27-$Y924)^2)+((Graph!$E$27-$Z924)^2))+(Graph!$D$32^2),3/2))</f>
        <v>72.818644110189382</v>
      </c>
      <c r="S924">
        <f>Graph!$D$40*((Graph!$D$36-Y924)/POWER((((Graph!$D$36-$Y924)^2)+((Graph!$E$36-$Z924)^2))+(Graph!$D$41^2),3/2))</f>
        <v>61.920403371096967</v>
      </c>
      <c r="T924">
        <f>Graph!$D$40*((Graph!$E$36-Z924)/POWER((((Graph!$D$36-$Y924)^2)+((Graph!$E$36-$Z924)^2))+(Graph!$D$41^2),3/2))</f>
        <v>1412.8675084101162</v>
      </c>
      <c r="U924">
        <f>O924+Q924+S924</f>
        <v>113.04160625231978</v>
      </c>
      <c r="V924">
        <f>P924+R924+T924</f>
        <v>1714.0049514753077</v>
      </c>
      <c r="W924">
        <f>W923+(U923*Graph!$D$5)</f>
        <v>-2108.323894245957</v>
      </c>
      <c r="X924">
        <f>X923+(V923*Graph!$D$5)</f>
        <v>-5840.3004361536587</v>
      </c>
      <c r="Y924">
        <f>Y923+(W923*Graph!$D$5)+(U923*Graph!$D$5^2)</f>
        <v>-797.83132458774742</v>
      </c>
      <c r="Z924">
        <f>Z923+(X923*Graph!$D$5)+(V923*Graph!$D$5^2)</f>
        <v>-33204.499556409522</v>
      </c>
    </row>
    <row r="925" spans="14:26" x14ac:dyDescent="0.35">
      <c r="N925">
        <f>N924+1</f>
        <v>922</v>
      </c>
      <c r="O925">
        <f>Graph!$D$22*((Graph!$D$18-Y925)/POWER((((Graph!$D$18-$Y925)^2)+((Graph!$E$18-$Z925)^2))+(Graph!$D$23^2),(3/2)))</f>
        <v>75.100516016301768</v>
      </c>
      <c r="P925" s="84">
        <f>Graph!$D$22*((Graph!$E$18-Z925)/POWER((((Graph!$D$18-$Y925)^2)+((Graph!$E$18-$Z925)^2))+(Graph!$D$23^2),3/2))</f>
        <v>203.98590262610557</v>
      </c>
      <c r="Q925">
        <f>Graph!$D$31*((Graph!$D$27-Y925)/POWER((((Graph!$D$27-$Y925)^2)+((Graph!$E$27-$Z925)^2))+(Graph!$D$32^2),3/2))</f>
        <v>-27.238492230009442</v>
      </c>
      <c r="R925">
        <f>Graph!$D$31*((Graph!$E$27-Z925)/POWER((((Graph!$D$27-$Y925)^2)+((Graph!$E$27-$Z925)^2))+(Graph!$D$32^2),3/2))</f>
        <v>68.479087480605514</v>
      </c>
      <c r="S925">
        <f>Graph!$D$40*((Graph!$D$36-Y925)/POWER((((Graph!$D$36-$Y925)^2)+((Graph!$E$36-$Z925)^2))+(Graph!$D$41^2),3/2))</f>
        <v>97.853257672748327</v>
      </c>
      <c r="T925">
        <f>Graph!$D$40*((Graph!$E$36-Z925)/POWER((((Graph!$D$36-$Y925)^2)+((Graph!$E$36-$Z925)^2))+(Graph!$D$41^2),3/2))</f>
        <v>1110.4617286539078</v>
      </c>
      <c r="U925">
        <f>O925+Q925+S925</f>
        <v>145.71528145904065</v>
      </c>
      <c r="V925">
        <f>P925+R925+T925</f>
        <v>1382.9267187606188</v>
      </c>
      <c r="W925">
        <f>W924+(U924*Graph!$D$5)</f>
        <v>-2051.803091119797</v>
      </c>
      <c r="X925">
        <f>X924+(V924*Graph!$D$5)</f>
        <v>-4983.2979604160046</v>
      </c>
      <c r="Y925">
        <f>Y924+(W924*Graph!$D$5)+(U924*Graph!$D$5^2)</f>
        <v>-1823.7328701476458</v>
      </c>
      <c r="Z925">
        <f>Z924+(X924*Graph!$D$5)+(V924*Graph!$D$5^2)</f>
        <v>-35696.148536617526</v>
      </c>
    </row>
    <row r="926" spans="14:26" x14ac:dyDescent="0.35">
      <c r="N926">
        <f>N925+1</f>
        <v>923</v>
      </c>
      <c r="O926">
        <f>Graph!$D$22*((Graph!$D$18-Y926)/POWER((((Graph!$D$18-$Y926)^2)+((Graph!$E$18-$Z926)^2))+(Graph!$D$23^2),(3/2)))</f>
        <v>69.106111874163247</v>
      </c>
      <c r="P926" s="84">
        <f>Graph!$D$22*((Graph!$E$18-Z926)/POWER((((Graph!$D$18-$Y926)^2)+((Graph!$E$18-$Z926)^2))+(Graph!$D$23^2),3/2))</f>
        <v>185.60270560715657</v>
      </c>
      <c r="Q926">
        <f>Graph!$D$31*((Graph!$D$27-Y926)/POWER((((Graph!$D$27-$Y926)^2)+((Graph!$E$27-$Z926)^2))+(Graph!$D$32^2),3/2))</f>
        <v>-23.329495276792088</v>
      </c>
      <c r="R926">
        <f>Graph!$D$31*((Graph!$E$27-Z926)/POWER((((Graph!$D$27-$Y926)^2)+((Graph!$E$27-$Z926)^2))+(Graph!$D$32^2),3/2))</f>
        <v>64.941211415025734</v>
      </c>
      <c r="S926">
        <f>Graph!$D$40*((Graph!$D$36-Y926)/POWER((((Graph!$D$36-$Y926)^2)+((Graph!$E$36-$Z926)^2))+(Graph!$D$41^2),3/2))</f>
        <v>112.75693619480367</v>
      </c>
      <c r="T926">
        <f>Graph!$D$40*((Graph!$E$36-Z926)/POWER((((Graph!$D$36-$Y926)^2)+((Graph!$E$36-$Z926)^2))+(Graph!$D$41^2),3/2))</f>
        <v>915.5396834199546</v>
      </c>
      <c r="U926">
        <f>O926+Q926+S926</f>
        <v>158.53355279217482</v>
      </c>
      <c r="V926">
        <f>P926+R926+T926</f>
        <v>1166.0836004421369</v>
      </c>
      <c r="W926">
        <f>W925+(U925*Graph!$D$5)</f>
        <v>-1978.9454503902766</v>
      </c>
      <c r="X926">
        <f>X925+(V925*Graph!$D$5)</f>
        <v>-4291.8346010356954</v>
      </c>
      <c r="Y926">
        <f>Y925+(W925*Graph!$D$5)+(U925*Graph!$D$5^2)</f>
        <v>-2813.2055953427844</v>
      </c>
      <c r="Z926">
        <f>Z925+(X925*Graph!$D$5)+(V925*Graph!$D$5^2)</f>
        <v>-37842.065837135371</v>
      </c>
    </row>
    <row r="927" spans="14:26" x14ac:dyDescent="0.35">
      <c r="N927">
        <f>N926+1</f>
        <v>924</v>
      </c>
      <c r="O927">
        <f>Graph!$D$22*((Graph!$D$18-Y927)/POWER((((Graph!$D$18-$Y927)^2)+((Graph!$E$18-$Z927)^2))+(Graph!$D$23^2),(3/2)))</f>
        <v>64.679811345878818</v>
      </c>
      <c r="P927" s="84">
        <f>Graph!$D$22*((Graph!$E$18-Z927)/POWER((((Graph!$D$18-$Y927)^2)+((Graph!$E$18-$Z927)^2))+(Graph!$D$23^2),3/2))</f>
        <v>171.31322840577985</v>
      </c>
      <c r="Q927">
        <f>Graph!$D$31*((Graph!$D$27-Y927)/POWER((((Graph!$D$27-$Y927)^2)+((Graph!$E$27-$Z927)^2))+(Graph!$D$32^2),3/2))</f>
        <v>-20.269125394688821</v>
      </c>
      <c r="R927">
        <f>Graph!$D$31*((Graph!$E$27-Z927)/POWER((((Graph!$D$27-$Y927)^2)+((Graph!$E$27-$Z927)^2))+(Graph!$D$32^2),3/2))</f>
        <v>62.037729399859153</v>
      </c>
      <c r="S927">
        <f>Graph!$D$40*((Graph!$D$36-Y927)/POWER((((Graph!$D$36-$Y927)^2)+((Graph!$E$36-$Z927)^2))+(Graph!$D$41^2),3/2))</f>
        <v>119.1502468226321</v>
      </c>
      <c r="T927">
        <f>Graph!$D$40*((Graph!$E$36-Z927)/POWER((((Graph!$D$36-$Y927)^2)+((Graph!$E$36-$Z927)^2))+(Graph!$D$41^2),3/2))</f>
        <v>781.9703522432585</v>
      </c>
      <c r="U927">
        <f>O927+Q927+S927</f>
        <v>163.56093277382209</v>
      </c>
      <c r="V927">
        <f>P927+R927+T927</f>
        <v>1015.3213100488975</v>
      </c>
      <c r="W927">
        <f>W926+(U926*Graph!$D$5)</f>
        <v>-1899.6786739941892</v>
      </c>
      <c r="X927">
        <f>X926+(V926*Graph!$D$5)</f>
        <v>-3708.7928008146268</v>
      </c>
      <c r="Y927">
        <f>Y926+(W926*Graph!$D$5)+(U926*Graph!$D$5^2)</f>
        <v>-3763.0449323398789</v>
      </c>
      <c r="Z927">
        <f>Z926+(X926*Graph!$D$5)+(V926*Graph!$D$5^2)</f>
        <v>-39696.462237542684</v>
      </c>
    </row>
    <row r="928" spans="14:26" x14ac:dyDescent="0.35">
      <c r="N928">
        <f>N927+1</f>
        <v>925</v>
      </c>
      <c r="O928">
        <f>Graph!$D$22*((Graph!$D$18-Y928)/POWER((((Graph!$D$18-$Y928)^2)+((Graph!$E$18-$Z928)^2))+(Graph!$D$23^2),(3/2)))</f>
        <v>61.349968818578084</v>
      </c>
      <c r="P928" s="84">
        <f>Graph!$D$22*((Graph!$E$18-Z928)/POWER((((Graph!$D$18-$Y928)^2)+((Graph!$E$18-$Z928)^2))+(Graph!$D$23^2),3/2))</f>
        <v>159.97722861998307</v>
      </c>
      <c r="Q928">
        <f>Graph!$D$31*((Graph!$D$27-Y928)/POWER((((Graph!$D$27-$Y928)^2)+((Graph!$E$27-$Z928)^2))+(Graph!$D$32^2),3/2))</f>
        <v>-17.824210225711447</v>
      </c>
      <c r="R928">
        <f>Graph!$D$31*((Graph!$E$27-Z928)/POWER((((Graph!$D$27-$Y928)^2)+((Graph!$E$27-$Z928)^2))+(Graph!$D$32^2),3/2))</f>
        <v>59.650878184383998</v>
      </c>
      <c r="S928">
        <f>Graph!$D$40*((Graph!$D$36-Y928)/POWER((((Graph!$D$36-$Y928)^2)+((Graph!$E$36-$Z928)^2))+(Graph!$D$41^2),3/2))</f>
        <v>121.92635155415368</v>
      </c>
      <c r="T928">
        <f>Graph!$D$40*((Graph!$E$36-Z928)/POWER((((Graph!$D$36-$Y928)^2)+((Graph!$E$36-$Z928)^2))+(Graph!$D$41^2),3/2))</f>
        <v>686.28099560987425</v>
      </c>
      <c r="U928">
        <f>O928+Q928+S928</f>
        <v>165.45211014702033</v>
      </c>
      <c r="V928">
        <f>P928+R928+T928</f>
        <v>905.90910241424126</v>
      </c>
      <c r="W928">
        <f>W927+(U927*Graph!$D$5)</f>
        <v>-1817.8982076072782</v>
      </c>
      <c r="X928">
        <f>X927+(V927*Graph!$D$5)</f>
        <v>-3201.1321457901781</v>
      </c>
      <c r="Y928">
        <f>Y927+(W927*Graph!$D$5)+(U927*Graph!$D$5^2)</f>
        <v>-4671.9940361435174</v>
      </c>
      <c r="Z928">
        <f>Z927+(X927*Graph!$D$5)+(V927*Graph!$D$5^2)</f>
        <v>-41297.028310437774</v>
      </c>
    </row>
    <row r="929" spans="14:26" x14ac:dyDescent="0.35">
      <c r="N929">
        <f>N928+1</f>
        <v>926</v>
      </c>
      <c r="O929">
        <f>Graph!$D$22*((Graph!$D$18-Y929)/POWER((((Graph!$D$18-$Y929)^2)+((Graph!$E$18-$Z929)^2))+(Graph!$D$23^2),(3/2)))</f>
        <v>58.827397943799348</v>
      </c>
      <c r="P929" s="84">
        <f>Graph!$D$22*((Graph!$E$18-Z929)/POWER((((Graph!$D$18-$Y929)^2)+((Graph!$E$18-$Z929)^2))+(Graph!$D$23^2),3/2))</f>
        <v>150.85531200166426</v>
      </c>
      <c r="Q929">
        <f>Graph!$D$31*((Graph!$D$27-Y929)/POWER((((Graph!$D$27-$Y929)^2)+((Graph!$E$27-$Z929)^2))+(Graph!$D$32^2),3/2))</f>
        <v>-15.839732518709782</v>
      </c>
      <c r="R929">
        <f>Graph!$D$31*((Graph!$E$27-Z929)/POWER((((Graph!$D$27-$Y929)^2)+((Graph!$E$27-$Z929)^2))+(Graph!$D$32^2),3/2))</f>
        <v>57.695171574104236</v>
      </c>
      <c r="S929">
        <f>Graph!$D$40*((Graph!$D$36-Y929)/POWER((((Graph!$D$36-$Y929)^2)+((Graph!$E$36-$Z929)^2))+(Graph!$D$41^2),3/2))</f>
        <v>123.21430508277794</v>
      </c>
      <c r="T929">
        <f>Graph!$D$40*((Graph!$E$36-Z929)/POWER((((Graph!$D$36-$Y929)^2)+((Graph!$E$36-$Z929)^2))+(Graph!$D$41^2),3/2))</f>
        <v>615.47579349105035</v>
      </c>
      <c r="U929">
        <f>O929+Q929+S929</f>
        <v>166.20197050786751</v>
      </c>
      <c r="V929">
        <f>P929+R929+T929</f>
        <v>824.02627706681892</v>
      </c>
      <c r="W929">
        <f>W928+(U928*Graph!$D$5)</f>
        <v>-1735.172152533768</v>
      </c>
      <c r="X929">
        <f>X928+(V928*Graph!$D$5)</f>
        <v>-2748.1775945830577</v>
      </c>
      <c r="Y929">
        <f>Y928+(W928*Graph!$D$5)+(U928*Graph!$D$5^2)</f>
        <v>-5539.5801124104019</v>
      </c>
      <c r="Z929">
        <f>Z928+(X928*Graph!$D$5)+(V928*Graph!$D$5^2)</f>
        <v>-42671.117107729304</v>
      </c>
    </row>
    <row r="930" spans="14:26" x14ac:dyDescent="0.35">
      <c r="N930">
        <f>N929+1</f>
        <v>927</v>
      </c>
      <c r="O930">
        <f>Graph!$D$22*((Graph!$D$18-Y930)/POWER((((Graph!$D$18-$Y930)^2)+((Graph!$E$18-$Z930)^2))+(Graph!$D$23^2),(3/2)))</f>
        <v>56.925949496208247</v>
      </c>
      <c r="P930" s="84">
        <f>Graph!$D$22*((Graph!$E$18-Z930)/POWER((((Graph!$D$18-$Y930)^2)+((Graph!$E$18-$Z930)^2))+(Graph!$D$23^2),3/2))</f>
        <v>143.44765842015968</v>
      </c>
      <c r="Q930">
        <f>Graph!$D$31*((Graph!$D$27-Y930)/POWER((((Graph!$D$27-$Y930)^2)+((Graph!$E$27-$Z930)^2))+(Graph!$D$32^2),3/2))</f>
        <v>-14.208797063915098</v>
      </c>
      <c r="R930">
        <f>Graph!$D$31*((Graph!$E$27-Z930)/POWER((((Graph!$D$27-$Y930)^2)+((Graph!$E$27-$Z930)^2))+(Graph!$D$32^2),3/2))</f>
        <v>56.107429597961122</v>
      </c>
      <c r="S930">
        <f>Graph!$D$40*((Graph!$D$36-Y930)/POWER((((Graph!$D$36-$Y930)^2)+((Graph!$E$36-$Z930)^2))+(Graph!$D$41^2),3/2))</f>
        <v>124.01958385546963</v>
      </c>
      <c r="T930">
        <f>Graph!$D$40*((Graph!$E$36-Z930)/POWER((((Graph!$D$36-$Y930)^2)+((Graph!$E$36-$Z930)^2))+(Graph!$D$41^2),3/2))</f>
        <v>561.86638828422474</v>
      </c>
      <c r="U930">
        <f>O930+Q930+S930</f>
        <v>166.73673628776277</v>
      </c>
      <c r="V930">
        <f>P930+R930+T930</f>
        <v>761.42147630234558</v>
      </c>
      <c r="W930">
        <f>W929+(U929*Graph!$D$5)</f>
        <v>-1652.0711672798343</v>
      </c>
      <c r="X930">
        <f>X929+(V929*Graph!$D$5)</f>
        <v>-2336.1644560496484</v>
      </c>
      <c r="Y930">
        <f>Y929+(W929*Graph!$D$5)+(U929*Graph!$D$5^2)</f>
        <v>-6365.6156960503185</v>
      </c>
      <c r="Z930">
        <f>Z929+(X929*Graph!$D$5)+(V929*Graph!$D$5^2)</f>
        <v>-43839.199335754129</v>
      </c>
    </row>
    <row r="931" spans="14:26" x14ac:dyDescent="0.35">
      <c r="N931">
        <f>N930+1</f>
        <v>928</v>
      </c>
      <c r="O931">
        <f>Graph!$D$22*((Graph!$D$18-Y931)/POWER((((Graph!$D$18-$Y931)^2)+((Graph!$E$18-$Z931)^2))+(Graph!$D$23^2),(3/2)))</f>
        <v>55.521621698460223</v>
      </c>
      <c r="P931" s="84">
        <f>Graph!$D$22*((Graph!$E$18-Z931)/POWER((((Graph!$D$18-$Y931)^2)+((Graph!$E$18-$Z931)^2))+(Graph!$D$23^2),3/2))</f>
        <v>137.40537968820752</v>
      </c>
      <c r="Q931">
        <f>Graph!$D$31*((Graph!$D$27-Y931)/POWER((((Graph!$D$27-$Y931)^2)+((Graph!$E$27-$Z931)^2))+(Graph!$D$32^2),3/2))</f>
        <v>-12.855580803536336</v>
      </c>
      <c r="R931">
        <f>Graph!$D$31*((Graph!$E$27-Z931)/POWER((((Graph!$D$27-$Y931)^2)+((Graph!$E$27-$Z931)^2))+(Graph!$D$32^2),3/2))</f>
        <v>54.840592965112279</v>
      </c>
      <c r="S931">
        <f>Graph!$D$40*((Graph!$D$36-Y931)/POWER((((Graph!$D$36-$Y931)^2)+((Graph!$E$36-$Z931)^2))+(Graph!$D$41^2),3/2))</f>
        <v>124.85219723933889</v>
      </c>
      <c r="T931">
        <f>Graph!$D$40*((Graph!$E$36-Z931)/POWER((((Graph!$D$36-$Y931)^2)+((Graph!$E$36-$Z931)^2))+(Graph!$D$41^2),3/2))</f>
        <v>520.66096256768765</v>
      </c>
      <c r="U931">
        <f>O931+Q931+S931</f>
        <v>167.51823813426279</v>
      </c>
      <c r="V931">
        <f>P931+R931+T931</f>
        <v>712.90693522100742</v>
      </c>
      <c r="W931">
        <f>W930+(U930*Graph!$D$5)</f>
        <v>-1568.702799135953</v>
      </c>
      <c r="X931">
        <f>X930+(V930*Graph!$D$5)</f>
        <v>-1955.4537178984756</v>
      </c>
      <c r="Y931">
        <f>Y930+(W930*Graph!$D$5)+(U930*Graph!$D$5^2)</f>
        <v>-7149.9670956182945</v>
      </c>
      <c r="Z931">
        <f>Z930+(X930*Graph!$D$5)+(V930*Graph!$D$5^2)</f>
        <v>-44816.926194703366</v>
      </c>
    </row>
    <row r="932" spans="14:26" x14ac:dyDescent="0.35">
      <c r="N932">
        <f>N931+1</f>
        <v>929</v>
      </c>
      <c r="O932">
        <f>Graph!$D$22*((Graph!$D$18-Y932)/POWER((((Graph!$D$18-$Y932)^2)+((Graph!$E$18-$Z932)^2))+(Graph!$D$23^2),(3/2)))</f>
        <v>54.530056141950396</v>
      </c>
      <c r="P932" s="84">
        <f>Graph!$D$22*((Graph!$E$18-Z932)/POWER((((Graph!$D$18-$Y932)^2)+((Graph!$E$18-$Z932)^2))+(Graph!$D$23^2),3/2))</f>
        <v>132.47897518305442</v>
      </c>
      <c r="Q932">
        <f>Graph!$D$31*((Graph!$D$27-Y932)/POWER((((Graph!$D$27-$Y932)^2)+((Graph!$E$27-$Z932)^2))+(Graph!$D$32^2),3/2))</f>
        <v>-11.725128559115872</v>
      </c>
      <c r="R932">
        <f>Graph!$D$31*((Graph!$E$27-Z932)/POWER((((Graph!$D$27-$Y932)^2)+((Graph!$E$27-$Z932)^2))+(Graph!$D$32^2),3/2))</f>
        <v>53.859711723366836</v>
      </c>
      <c r="S932">
        <f>Graph!$D$40*((Graph!$D$36-Y932)/POWER((((Graph!$D$36-$Y932)^2)+((Graph!$E$36-$Z932)^2))+(Graph!$D$41^2),3/2))</f>
        <v>125.9918997087518</v>
      </c>
      <c r="T932">
        <f>Graph!$D$40*((Graph!$E$36-Z932)/POWER((((Graph!$D$36-$Y932)^2)+((Graph!$E$36-$Z932)^2))+(Graph!$D$41^2),3/2))</f>
        <v>488.74900975227968</v>
      </c>
      <c r="U932">
        <f>O932+Q932+S932</f>
        <v>168.79682729158634</v>
      </c>
      <c r="V932">
        <f>P932+R932+T932</f>
        <v>675.08769665870091</v>
      </c>
      <c r="W932">
        <f>W931+(U931*Graph!$D$5)</f>
        <v>-1484.9436800688215</v>
      </c>
      <c r="X932">
        <f>X931+(V931*Graph!$D$5)</f>
        <v>-1599.000250287972</v>
      </c>
      <c r="Y932">
        <f>Y931+(W931*Graph!$D$5)+(U931*Graph!$D$5^2)</f>
        <v>-7892.4389356527054</v>
      </c>
      <c r="Z932">
        <f>Z931+(X931*Graph!$D$5)+(V931*Graph!$D$5^2)</f>
        <v>-45616.426319847349</v>
      </c>
    </row>
    <row r="933" spans="14:26" x14ac:dyDescent="0.35">
      <c r="N933">
        <f>N932+1</f>
        <v>930</v>
      </c>
      <c r="O933">
        <f>Graph!$D$22*((Graph!$D$18-Y933)/POWER((((Graph!$D$18-$Y933)^2)+((Graph!$E$18-$Z933)^2))+(Graph!$D$23^2),(3/2)))</f>
        <v>53.893501580155814</v>
      </c>
      <c r="P933" s="84">
        <f>Graph!$D$22*((Graph!$E$18-Z933)/POWER((((Graph!$D$18-$Y933)^2)+((Graph!$E$18-$Z933)^2))+(Graph!$D$23^2),3/2))</f>
        <v>128.4869737079303</v>
      </c>
      <c r="Q933">
        <f>Graph!$D$31*((Graph!$D$27-Y933)/POWER((((Graph!$D$27-$Y933)^2)+((Graph!$E$27-$Z933)^2))+(Graph!$D$32^2),3/2))</f>
        <v>-10.776990935756018</v>
      </c>
      <c r="R933">
        <f>Graph!$D$31*((Graph!$E$27-Z933)/POWER((((Graph!$D$27-$Y933)^2)+((Graph!$E$27-$Z933)^2))+(Graph!$D$32^2),3/2))</f>
        <v>53.139278286194994</v>
      </c>
      <c r="S933">
        <f>Graph!$D$40*((Graph!$D$36-Y933)/POWER((((Graph!$D$36-$Y933)^2)+((Graph!$E$36-$Z933)^2))+(Graph!$D$41^2),3/2))</f>
        <v>127.60956977339953</v>
      </c>
      <c r="T933">
        <f>Graph!$D$40*((Graph!$E$36-Z933)/POWER((((Graph!$D$36-$Y933)^2)+((Graph!$E$36-$Z933)^2))+(Graph!$D$41^2),3/2))</f>
        <v>464.04861993670795</v>
      </c>
      <c r="U933">
        <f>O933+Q933+S933</f>
        <v>170.72608041779932</v>
      </c>
      <c r="V933">
        <f>P933+R933+T933</f>
        <v>645.67487193083321</v>
      </c>
      <c r="W933">
        <f>W932+(U932*Graph!$D$5)</f>
        <v>-1400.5452664230284</v>
      </c>
      <c r="X933">
        <f>X932+(V932*Graph!$D$5)</f>
        <v>-1261.4564019586214</v>
      </c>
      <c r="Y933">
        <f>Y932+(W932*Graph!$D$5)+(U932*Graph!$D$5^2)</f>
        <v>-8592.7115688642189</v>
      </c>
      <c r="Z933">
        <f>Z932+(X932*Graph!$D$5)+(V932*Graph!$D$5^2)</f>
        <v>-46247.154520826654</v>
      </c>
    </row>
    <row r="934" spans="14:26" x14ac:dyDescent="0.35">
      <c r="N934">
        <f>N933+1</f>
        <v>931</v>
      </c>
      <c r="O934">
        <f>Graph!$D$22*((Graph!$D$18-Y934)/POWER((((Graph!$D$18-$Y934)^2)+((Graph!$E$18-$Z934)^2))+(Graph!$D$23^2),(3/2)))</f>
        <v>53.572977028578393</v>
      </c>
      <c r="P934" s="84">
        <f>Graph!$D$22*((Graph!$E$18-Z934)/POWER((((Graph!$D$18-$Y934)^2)+((Graph!$E$18-$Z934)^2))+(Graph!$D$23^2),3/2))</f>
        <v>125.2961607558798</v>
      </c>
      <c r="Q934">
        <f>Graph!$D$31*((Graph!$D$27-Y934)/POWER((((Graph!$D$27-$Y934)^2)+((Graph!$E$27-$Z934)^2))+(Graph!$D$32^2),3/2))</f>
        <v>-9.9811332133255615</v>
      </c>
      <c r="R934">
        <f>Graph!$D$31*((Graph!$E$27-Z934)/POWER((((Graph!$D$27-$Y934)^2)+((Graph!$E$27-$Z934)^2))+(Graph!$D$32^2),3/2))</f>
        <v>52.661443933079461</v>
      </c>
      <c r="S934">
        <f>Graph!$D$40*((Graph!$D$36-Y934)/POWER((((Graph!$D$36-$Y934)^2)+((Graph!$E$36-$Z934)^2))+(Graph!$D$41^2),3/2))</f>
        <v>129.82705267074127</v>
      </c>
      <c r="T934">
        <f>Graph!$D$40*((Graph!$E$36-Z934)/POWER((((Graph!$D$36-$Y934)^2)+((Graph!$E$36-$Z934)^2))+(Graph!$D$41^2),3/2))</f>
        <v>445.13733056317028</v>
      </c>
      <c r="U934">
        <f>O934+Q934+S934</f>
        <v>173.41889648599408</v>
      </c>
      <c r="V934">
        <f>P934+R934+T934</f>
        <v>623.09493525212952</v>
      </c>
      <c r="W934">
        <f>W933+(U933*Graph!$D$5)</f>
        <v>-1315.1822262141286</v>
      </c>
      <c r="X934">
        <f>X933+(V933*Graph!$D$5)</f>
        <v>-938.61896599320482</v>
      </c>
      <c r="Y934">
        <f>Y933+(W933*Graph!$D$5)+(U933*Graph!$D$5^2)</f>
        <v>-9250.3026819712832</v>
      </c>
      <c r="Z934">
        <f>Z933+(X933*Graph!$D$5)+(V933*Graph!$D$5^2)</f>
        <v>-46716.464003823261</v>
      </c>
    </row>
    <row r="935" spans="14:26" x14ac:dyDescent="0.35">
      <c r="N935">
        <f>N934+1</f>
        <v>932</v>
      </c>
      <c r="O935">
        <f>Graph!$D$22*((Graph!$D$18-Y935)/POWER((((Graph!$D$18-$Y935)^2)+((Graph!$E$18-$Z935)^2))+(Graph!$D$23^2),(3/2)))</f>
        <v>53.543460167803779</v>
      </c>
      <c r="P935" s="84">
        <f>Graph!$D$22*((Graph!$E$18-Z935)/POWER((((Graph!$D$18-$Y935)^2)+((Graph!$E$18-$Z935)^2))+(Graph!$D$23^2),3/2))</f>
        <v>122.80877242207696</v>
      </c>
      <c r="Q935">
        <f>Graph!$D$31*((Graph!$D$27-Y935)/POWER((((Graph!$D$27-$Y935)^2)+((Graph!$E$27-$Z935)^2))+(Graph!$D$32^2),3/2))</f>
        <v>-9.315249394345539</v>
      </c>
      <c r="R935">
        <f>Graph!$D$31*((Graph!$E$27-Z935)/POWER((((Graph!$D$27-$Y935)^2)+((Graph!$E$27-$Z935)^2))+(Graph!$D$32^2),3/2))</f>
        <v>52.414850629676906</v>
      </c>
      <c r="S935">
        <f>Graph!$D$40*((Graph!$D$36-Y935)/POWER((((Graph!$D$36-$Y935)^2)+((Graph!$E$36-$Z935)^2))+(Graph!$D$41^2),3/2))</f>
        <v>132.74925014659155</v>
      </c>
      <c r="T935">
        <f>Graph!$D$40*((Graph!$E$36-Z935)/POWER((((Graph!$D$36-$Y935)^2)+((Graph!$E$36-$Z935)^2))+(Graph!$D$41^2),3/2))</f>
        <v>431.03468077142844</v>
      </c>
      <c r="U935">
        <f>O935+Q935+S935</f>
        <v>176.97746092004979</v>
      </c>
      <c r="V935">
        <f>P935+R935+T935</f>
        <v>606.25830382318236</v>
      </c>
      <c r="W935">
        <f>W934+(U934*Graph!$D$5)</f>
        <v>-1228.4727779711316</v>
      </c>
      <c r="X935">
        <f>X934+(V934*Graph!$D$5)</f>
        <v>-627.07149836714007</v>
      </c>
      <c r="Y935">
        <f>Y934+(W934*Graph!$D$5)+(U934*Graph!$D$5^2)</f>
        <v>-9864.5390709568492</v>
      </c>
      <c r="Z935">
        <f>Z934+(X934*Graph!$D$5)+(V934*Graph!$D$5^2)</f>
        <v>-47029.999753006829</v>
      </c>
    </row>
    <row r="936" spans="14:26" x14ac:dyDescent="0.35">
      <c r="N936">
        <f>N935+1</f>
        <v>933</v>
      </c>
      <c r="O936">
        <f>Graph!$D$22*((Graph!$D$18-Y936)/POWER((((Graph!$D$18-$Y936)^2)+((Graph!$E$18-$Z936)^2))+(Graph!$D$23^2),(3/2)))</f>
        <v>53.790940479695124</v>
      </c>
      <c r="P936" s="84">
        <f>Graph!$D$22*((Graph!$E$18-Z936)/POWER((((Graph!$D$18-$Y936)^2)+((Graph!$E$18-$Z936)^2))+(Graph!$D$23^2),3/2))</f>
        <v>120.95406408530549</v>
      </c>
      <c r="Q936">
        <f>Graph!$D$31*((Graph!$D$27-Y936)/POWER((((Graph!$D$27-$Y936)^2)+((Graph!$E$27-$Z936)^2))+(Graph!$D$32^2),3/2))</f>
        <v>-8.7629854763457171</v>
      </c>
      <c r="R936">
        <f>Graph!$D$31*((Graph!$E$27-Z936)/POWER((((Graph!$D$27-$Y936)^2)+((Graph!$E$27-$Z936)^2))+(Graph!$D$32^2),3/2))</f>
        <v>52.39391979133844</v>
      </c>
      <c r="S936">
        <f>Graph!$D$40*((Graph!$D$36-Y936)/POWER((((Graph!$D$36-$Y936)^2)+((Graph!$E$36-$Z936)^2))+(Graph!$D$41^2),3/2))</f>
        <v>136.48347318964798</v>
      </c>
      <c r="T936">
        <f>Graph!$D$40*((Graph!$E$36-Z936)/POWER((((Graph!$D$36-$Y936)^2)+((Graph!$E$36-$Z936)^2))+(Graph!$D$41^2),3/2))</f>
        <v>421.07038265084265</v>
      </c>
      <c r="U936">
        <f>O936+Q936+S936</f>
        <v>181.51142819299739</v>
      </c>
      <c r="V936">
        <f>P936+R936+T936</f>
        <v>594.41836652748657</v>
      </c>
      <c r="W936">
        <f>W935+(U935*Graph!$D$5)</f>
        <v>-1139.9840475111066</v>
      </c>
      <c r="X936">
        <f>X935+(V935*Graph!$D$5)</f>
        <v>-323.94234645554889</v>
      </c>
      <c r="Y936">
        <f>Y935+(W935*Graph!$D$5)+(U935*Graph!$D$5^2)</f>
        <v>-10434.531094712404</v>
      </c>
      <c r="Z936">
        <f>Z935+(X935*Graph!$D$5)+(V935*Graph!$D$5^2)</f>
        <v>-47191.9709262346</v>
      </c>
    </row>
    <row r="937" spans="14:26" x14ac:dyDescent="0.35">
      <c r="N937">
        <f>N936+1</f>
        <v>934</v>
      </c>
      <c r="O937">
        <f>Graph!$D$22*((Graph!$D$18-Y937)/POWER((((Graph!$D$18-$Y937)^2)+((Graph!$E$18-$Z937)^2))+(Graph!$D$23^2),(3/2)))</f>
        <v>54.310699564305011</v>
      </c>
      <c r="P937" s="84">
        <f>Graph!$D$22*((Graph!$E$18-Z937)/POWER((((Graph!$D$18-$Y937)^2)+((Graph!$E$18-$Z937)^2))+(Graph!$D$23^2),3/2))</f>
        <v>119.68275024370108</v>
      </c>
      <c r="Q937">
        <f>Graph!$D$31*((Graph!$D$27-Y937)/POWER((((Graph!$D$27-$Y937)^2)+((Graph!$E$27-$Z937)^2))+(Graph!$D$32^2),3/2))</f>
        <v>-8.3127814435382827</v>
      </c>
      <c r="R937">
        <f>Graph!$D$31*((Graph!$E$27-Z937)/POWER((((Graph!$D$27-$Y937)^2)+((Graph!$E$27-$Z937)^2))+(Graph!$D$32^2),3/2))</f>
        <v>52.598507758030003</v>
      </c>
      <c r="S937">
        <f>Graph!$D$40*((Graph!$D$36-Y937)/POWER((((Graph!$D$36-$Y937)^2)+((Graph!$E$36-$Z937)^2))+(Graph!$D$41^2),3/2))</f>
        <v>141.15333346796396</v>
      </c>
      <c r="T937">
        <f>Graph!$D$40*((Graph!$E$36-Z937)/POWER((((Graph!$D$36-$Y937)^2)+((Graph!$E$36-$Z937)^2))+(Graph!$D$41^2),3/2))</f>
        <v>414.80340266082277</v>
      </c>
      <c r="U937">
        <f>O937+Q937+S937</f>
        <v>187.1512515887307</v>
      </c>
      <c r="V937">
        <f>P937+R937+T937</f>
        <v>587.08466066255392</v>
      </c>
      <c r="W937">
        <f>W936+(U936*Graph!$D$5)</f>
        <v>-1049.228333414608</v>
      </c>
      <c r="X937">
        <f>X936+(V936*Graph!$D$5)</f>
        <v>-26.733163191805602</v>
      </c>
      <c r="Y937">
        <f>Y936+(W936*Graph!$D$5)+(U936*Graph!$D$5^2)</f>
        <v>-10959.145261419706</v>
      </c>
      <c r="Z937">
        <f>Z936+(X936*Graph!$D$5)+(V936*Graph!$D$5^2)</f>
        <v>-47205.337507830503</v>
      </c>
    </row>
    <row r="938" spans="14:26" x14ac:dyDescent="0.35">
      <c r="N938">
        <f>N937+1</f>
        <v>935</v>
      </c>
      <c r="O938">
        <f>Graph!$D$22*((Graph!$D$18-Y938)/POWER((((Graph!$D$18-$Y938)^2)+((Graph!$E$18-$Z938)^2))+(Graph!$D$23^2),(3/2)))</f>
        <v>55.106469592763041</v>
      </c>
      <c r="P938" s="84">
        <f>Graph!$D$22*((Graph!$E$18-Z938)/POWER((((Graph!$D$18-$Y938)^2)+((Graph!$E$18-$Z938)^2))+(Graph!$D$23^2),3/2))</f>
        <v>118.96342675192022</v>
      </c>
      <c r="Q938">
        <f>Graph!$D$31*((Graph!$D$27-Y938)/POWER((((Graph!$D$27-$Y938)^2)+((Graph!$E$27-$Z938)^2))+(Graph!$D$32^2),3/2))</f>
        <v>-7.9571627665042755</v>
      </c>
      <c r="R938">
        <f>Graph!$D$31*((Graph!$E$27-Z938)/POWER((((Graph!$D$27-$Y938)^2)+((Graph!$E$27-$Z938)^2))+(Graph!$D$32^2),3/2))</f>
        <v>53.033884657565103</v>
      </c>
      <c r="S938">
        <f>Graph!$D$40*((Graph!$D$36-Y938)/POWER((((Graph!$D$36-$Y938)^2)+((Graph!$E$36-$Z938)^2))+(Graph!$D$41^2),3/2))</f>
        <v>146.91116632848778</v>
      </c>
      <c r="T938">
        <f>Graph!$D$40*((Graph!$E$36-Z938)/POWER((((Graph!$D$36-$Y938)^2)+((Graph!$E$36-$Z938)^2))+(Graph!$D$41^2),3/2))</f>
        <v>411.97313684313929</v>
      </c>
      <c r="U938">
        <f>O938+Q938+S938</f>
        <v>194.06047315474655</v>
      </c>
      <c r="V938">
        <f>P938+R938+T938</f>
        <v>583.97044825262458</v>
      </c>
      <c r="W938">
        <f>W937+(U937*Graph!$D$5)</f>
        <v>-955.65270762024261</v>
      </c>
      <c r="X938">
        <f>X937+(V937*Graph!$D$5)</f>
        <v>266.80916713947136</v>
      </c>
      <c r="Y938">
        <f>Y937+(W937*Graph!$D$5)+(U937*Graph!$D$5^2)</f>
        <v>-11436.971615229828</v>
      </c>
      <c r="Z938">
        <f>Z937+(X937*Graph!$D$5)+(V937*Graph!$D$5^2)</f>
        <v>-47071.932924260771</v>
      </c>
    </row>
    <row r="939" spans="14:26" x14ac:dyDescent="0.35">
      <c r="N939">
        <f>N938+1</f>
        <v>936</v>
      </c>
      <c r="O939">
        <f>Graph!$D$22*((Graph!$D$18-Y939)/POWER((((Graph!$D$18-$Y939)^2)+((Graph!$E$18-$Z939)^2))+(Graph!$D$23^2),(3/2)))</f>
        <v>56.190293993050155</v>
      </c>
      <c r="P939" s="84">
        <f>Graph!$D$22*((Graph!$E$18-Z939)/POWER((((Graph!$D$18-$Y939)^2)+((Graph!$E$18-$Z939)^2))+(Graph!$D$23^2),3/2))</f>
        <v>118.78045418230123</v>
      </c>
      <c r="Q939">
        <f>Graph!$D$31*((Graph!$D$27-Y939)/POWER((((Graph!$D$27-$Y939)^2)+((Graph!$E$27-$Z939)^2))+(Graph!$D$32^2),3/2))</f>
        <v>-7.6923899087285896</v>
      </c>
      <c r="R939">
        <f>Graph!$D$31*((Graph!$E$27-Z939)/POWER((((Graph!$D$27-$Y939)^2)+((Graph!$E$27-$Z939)^2))+(Graph!$D$32^2),3/2))</f>
        <v>53.711030358408273</v>
      </c>
      <c r="S939">
        <f>Graph!$D$40*((Graph!$D$36-Y939)/POWER((((Graph!$D$36-$Y939)^2)+((Graph!$E$36-$Z939)^2))+(Graph!$D$41^2),3/2))</f>
        <v>153.95168607916713</v>
      </c>
      <c r="T939">
        <f>Graph!$D$40*((Graph!$E$36-Z939)/POWER((((Graph!$D$36-$Y939)^2)+((Graph!$E$36-$Z939)^2))+(Graph!$D$41^2),3/2))</f>
        <v>412.47242643002977</v>
      </c>
      <c r="U939">
        <f>O939+Q939+S939</f>
        <v>202.44959016348869</v>
      </c>
      <c r="V939">
        <f>P939+R939+T939</f>
        <v>584.96391097073933</v>
      </c>
      <c r="W939">
        <f>W938+(U938*Graph!$D$5)</f>
        <v>-858.62247104286939</v>
      </c>
      <c r="X939">
        <f>X938+(V938*Graph!$D$5)</f>
        <v>558.79439126578359</v>
      </c>
      <c r="Y939">
        <f>Y938+(W938*Graph!$D$5)+(U938*Graph!$D$5^2)</f>
        <v>-11866.282850751262</v>
      </c>
      <c r="Z939">
        <f>Z938+(X938*Graph!$D$5)+(V938*Graph!$D$5^2)</f>
        <v>-46792.535728627881</v>
      </c>
    </row>
    <row r="940" spans="14:26" x14ac:dyDescent="0.35">
      <c r="N940">
        <f>N939+1</f>
        <v>937</v>
      </c>
      <c r="O940">
        <f>Graph!$D$22*((Graph!$D$18-Y940)/POWER((((Graph!$D$18-$Y940)^2)+((Graph!$E$18-$Z940)^2))+(Graph!$D$23^2),(3/2)))</f>
        <v>57.583032446327039</v>
      </c>
      <c r="P940" s="84">
        <f>Graph!$D$22*((Graph!$E$18-Z940)/POWER((((Graph!$D$18-$Y940)^2)+((Graph!$E$18-$Z940)^2))+(Graph!$D$23^2),3/2))</f>
        <v>119.1330178858332</v>
      </c>
      <c r="Q940">
        <f>Graph!$D$31*((Graph!$D$27-Y940)/POWER((((Graph!$D$27-$Y940)^2)+((Graph!$E$27-$Z940)^2))+(Graph!$D$32^2),3/2))</f>
        <v>-7.5184309055776515</v>
      </c>
      <c r="R940">
        <f>Graph!$D$31*((Graph!$E$27-Z940)/POWER((((Graph!$D$27-$Y940)^2)+((Graph!$E$27-$Z940)^2))+(Graph!$D$32^2),3/2))</f>
        <v>54.64727581818385</v>
      </c>
      <c r="S940">
        <f>Graph!$D$40*((Graph!$D$36-Y940)/POWER((((Graph!$D$36-$Y940)^2)+((Graph!$E$36-$Z940)^2))+(Graph!$D$41^2),3/2))</f>
        <v>162.52933392402417</v>
      </c>
      <c r="T940">
        <f>Graph!$D$40*((Graph!$E$36-Z940)/POWER((((Graph!$D$36-$Y940)^2)+((Graph!$E$36-$Z940)^2))+(Graph!$D$41^2),3/2))</f>
        <v>416.33716542096749</v>
      </c>
      <c r="U940">
        <f>O940+Q940+S940</f>
        <v>212.59393546477355</v>
      </c>
      <c r="V940">
        <f>P940+R940+T940</f>
        <v>590.11745912498452</v>
      </c>
      <c r="W940">
        <f>W939+(U939*Graph!$D$5)</f>
        <v>-757.39767596112506</v>
      </c>
      <c r="X940">
        <f>X939+(V939*Graph!$D$5)</f>
        <v>851.27634675115326</v>
      </c>
      <c r="Y940">
        <f>Y939+(W939*Graph!$D$5)+(U939*Graph!$D$5^2)</f>
        <v>-12244.981688731825</v>
      </c>
      <c r="Z940">
        <f>Z939+(X939*Graph!$D$5)+(V939*Graph!$D$5^2)</f>
        <v>-46366.897555252304</v>
      </c>
    </row>
    <row r="941" spans="14:26" x14ac:dyDescent="0.35">
      <c r="N941">
        <f>N940+1</f>
        <v>938</v>
      </c>
      <c r="O941">
        <f>Graph!$D$22*((Graph!$D$18-Y941)/POWER((((Graph!$D$18-$Y941)^2)+((Graph!$E$18-$Z941)^2))+(Graph!$D$23^2),(3/2)))</f>
        <v>59.315549615527047</v>
      </c>
      <c r="P941" s="84">
        <f>Graph!$D$22*((Graph!$E$18-Z941)/POWER((((Graph!$D$18-$Y941)^2)+((Graph!$E$18-$Z941)^2))+(Graph!$D$23^2),3/2))</f>
        <v>120.03525198285236</v>
      </c>
      <c r="Q941">
        <f>Graph!$D$31*((Graph!$D$27-Y941)/POWER((((Graph!$D$27-$Y941)^2)+((Graph!$E$27-$Z941)^2))+(Graph!$D$32^2),3/2))</f>
        <v>-7.4392720309726936</v>
      </c>
      <c r="R941">
        <f>Graph!$D$31*((Graph!$E$27-Z941)/POWER((((Graph!$D$27-$Y941)^2)+((Graph!$E$27-$Z941)^2))+(Graph!$D$32^2),3/2))</f>
        <v>55.867356533943436</v>
      </c>
      <c r="S941">
        <f>Graph!$D$40*((Graph!$D$36-Y941)/POWER((((Graph!$D$36-$Y941)^2)+((Graph!$E$36-$Z941)^2))+(Graph!$D$41^2),3/2))</f>
        <v>172.98230352998735</v>
      </c>
      <c r="T941">
        <f>Graph!$D$40*((Graph!$E$36-Z941)/POWER((((Graph!$D$36-$Y941)^2)+((Graph!$E$36-$Z941)^2))+(Graph!$D$41^2),3/2))</f>
        <v>423.75058863710734</v>
      </c>
      <c r="U941">
        <f>O941+Q941+S941</f>
        <v>224.85858111454169</v>
      </c>
      <c r="V941">
        <f>P941+R941+T941</f>
        <v>599.65319715390319</v>
      </c>
      <c r="W941">
        <f>W940+(U940*Graph!$D$5)</f>
        <v>-651.10070822873831</v>
      </c>
      <c r="X941">
        <f>X940+(V940*Graph!$D$5)</f>
        <v>1146.3350763136455</v>
      </c>
      <c r="Y941">
        <f>Y940+(W940*Graph!$D$5)+(U940*Graph!$D$5^2)</f>
        <v>-12570.532042846195</v>
      </c>
      <c r="Z941">
        <f>Z940+(X940*Graph!$D$5)+(V940*Graph!$D$5^2)</f>
        <v>-45793.730017095484</v>
      </c>
    </row>
    <row r="942" spans="14:26" x14ac:dyDescent="0.35">
      <c r="N942">
        <f>N941+1</f>
        <v>939</v>
      </c>
      <c r="O942">
        <f>Graph!$D$22*((Graph!$D$18-Y942)/POWER((((Graph!$D$18-$Y942)^2)+((Graph!$E$18-$Z942)^2))+(Graph!$D$23^2),(3/2)))</f>
        <v>61.430728599981229</v>
      </c>
      <c r="P942" s="84">
        <f>Graph!$D$22*((Graph!$E$18-Z942)/POWER((((Graph!$D$18-$Y942)^2)+((Graph!$E$18-$Z942)^2))+(Graph!$D$23^2),3/2))</f>
        <v>121.51746314870643</v>
      </c>
      <c r="Q942">
        <f>Graph!$D$31*((Graph!$D$27-Y942)/POWER((((Graph!$D$27-$Y942)^2)+((Graph!$E$27-$Z942)^2))+(Graph!$D$32^2),3/2))</f>
        <v>-7.4636372153078279</v>
      </c>
      <c r="R942">
        <f>Graph!$D$31*((Graph!$E$27-Z942)/POWER((((Graph!$D$27-$Y942)^2)+((Graph!$E$27-$Z942)^2))+(Graph!$D$32^2),3/2))</f>
        <v>57.404993711526735</v>
      </c>
      <c r="S942">
        <f>Graph!$D$40*((Graph!$D$36-Y942)/POWER((((Graph!$D$36-$Y942)^2)+((Graph!$E$36-$Z942)^2))+(Graph!$D$41^2),3/2))</f>
        <v>185.76760691140652</v>
      </c>
      <c r="T942">
        <f>Graph!$D$40*((Graph!$E$36-Z942)/POWER((((Graph!$D$36-$Y942)^2)+((Graph!$E$36-$Z942)^2))+(Graph!$D$41^2),3/2))</f>
        <v>435.0630897770983</v>
      </c>
      <c r="U942">
        <f>O942+Q942+S942</f>
        <v>239.73469829607993</v>
      </c>
      <c r="V942">
        <f>P942+R942+T942</f>
        <v>613.98554663733148</v>
      </c>
      <c r="W942">
        <f>W941+(U941*Graph!$D$5)</f>
        <v>-538.67141767146745</v>
      </c>
      <c r="X942">
        <f>X941+(V941*Graph!$D$5)</f>
        <v>1446.1616748905972</v>
      </c>
      <c r="Y942">
        <f>Y941+(W941*Graph!$D$5)+(U941*Graph!$D$5^2)</f>
        <v>-12839.86775168193</v>
      </c>
      <c r="Z942">
        <f>Z941+(X941*Graph!$D$5)+(V941*Graph!$D$5^2)</f>
        <v>-45070.649179650187</v>
      </c>
    </row>
    <row r="943" spans="14:26" x14ac:dyDescent="0.35">
      <c r="N943">
        <f>N942+1</f>
        <v>940</v>
      </c>
      <c r="O943">
        <f>Graph!$D$22*((Graph!$D$18-Y943)/POWER((((Graph!$D$18-$Y943)^2)+((Graph!$E$18-$Z943)^2))+(Graph!$D$23^2),(3/2)))</f>
        <v>63.98658097327435</v>
      </c>
      <c r="P943" s="84">
        <f>Graph!$D$22*((Graph!$E$18-Z943)/POWER((((Graph!$D$18-$Y943)^2)+((Graph!$E$18-$Z943)^2))+(Graph!$D$23^2),3/2))</f>
        <v>123.62865058229573</v>
      </c>
      <c r="Q943">
        <f>Graph!$D$31*((Graph!$D$27-Y943)/POWER((((Graph!$D$27-$Y943)^2)+((Graph!$E$27-$Z943)^2))+(Graph!$D$32^2),3/2))</f>
        <v>-7.6062628387565914</v>
      </c>
      <c r="R943">
        <f>Graph!$D$31*((Graph!$E$27-Z943)/POWER((((Graph!$D$27-$Y943)^2)+((Graph!$E$27-$Z943)^2))+(Graph!$D$32^2),3/2))</f>
        <v>59.305187066928902</v>
      </c>
      <c r="S943">
        <f>Graph!$D$40*((Graph!$D$36-Y943)/POWER((((Graph!$D$36-$Y943)^2)+((Graph!$E$36-$Z943)^2))+(Graph!$D$41^2),3/2))</f>
        <v>201.51423329776767</v>
      </c>
      <c r="T943">
        <f>Graph!$D$40*((Graph!$E$36-Z943)/POWER((((Graph!$D$36-$Y943)^2)+((Graph!$E$36-$Z943)^2))+(Graph!$D$41^2),3/2))</f>
        <v>450.83143528066768</v>
      </c>
      <c r="U943">
        <f>O943+Q943+S943</f>
        <v>257.89455143228543</v>
      </c>
      <c r="V943">
        <f>P943+R943+T943</f>
        <v>633.76527292989226</v>
      </c>
      <c r="W943">
        <f>W942+(U942*Graph!$D$5)</f>
        <v>-418.80406852342747</v>
      </c>
      <c r="X943">
        <f>X942+(V942*Graph!$D$5)</f>
        <v>1753.1544482092629</v>
      </c>
      <c r="Y943">
        <f>Y942+(W942*Graph!$D$5)+(U942*Graph!$D$5^2)</f>
        <v>-13049.269785943643</v>
      </c>
      <c r="Z943">
        <f>Z942+(X942*Graph!$D$5)+(V942*Graph!$D$5^2)</f>
        <v>-44194.071955545558</v>
      </c>
    </row>
    <row r="944" spans="14:26" x14ac:dyDescent="0.35">
      <c r="N944">
        <f>N943+1</f>
        <v>941</v>
      </c>
      <c r="O944">
        <f>Graph!$D$22*((Graph!$D$18-Y944)/POWER((((Graph!$D$18-$Y944)^2)+((Graph!$E$18-$Z944)^2))+(Graph!$D$23^2),(3/2)))</f>
        <v>67.06092010786405</v>
      </c>
      <c r="P944" s="84">
        <f>Graph!$D$22*((Graph!$E$18-Z944)/POWER((((Graph!$D$18-$Y944)^2)+((Graph!$E$18-$Z944)^2))+(Graph!$D$23^2),3/2))</f>
        <v>126.4407312063541</v>
      </c>
      <c r="Q944">
        <f>Graph!$D$31*((Graph!$D$27-Y944)/POWER((((Graph!$D$27-$Y944)^2)+((Graph!$E$27-$Z944)^2))+(Graph!$D$32^2),3/2))</f>
        <v>-7.8899933594124407</v>
      </c>
      <c r="R944">
        <f>Graph!$D$31*((Graph!$E$27-Z944)/POWER((((Graph!$D$27-$Y944)^2)+((Graph!$E$27-$Z944)^2))+(Graph!$D$32^2),3/2))</f>
        <v>61.627503953314239</v>
      </c>
      <c r="S944">
        <f>Graph!$D$40*((Graph!$D$36-Y944)/POWER((((Graph!$D$36-$Y944)^2)+((Graph!$E$36-$Z944)^2))+(Graph!$D$41^2),3/2))</f>
        <v>221.10651447324648</v>
      </c>
      <c r="T944">
        <f>Graph!$D$40*((Graph!$E$36-Z944)/POWER((((Graph!$D$36-$Y944)^2)+((Graph!$E$36-$Z944)^2))+(Graph!$D$41^2),3/2))</f>
        <v>471.88545033305286</v>
      </c>
      <c r="U944">
        <f>O944+Q944+S944</f>
        <v>280.2774412216981</v>
      </c>
      <c r="V944">
        <f>P944+R944+T944</f>
        <v>659.95368549272121</v>
      </c>
      <c r="W944">
        <f>W943+(U943*Graph!$D$5)</f>
        <v>-289.85679280728476</v>
      </c>
      <c r="X944">
        <f>X943+(V943*Graph!$D$5)</f>
        <v>2070.0370846742089</v>
      </c>
      <c r="Y944">
        <f>Y943+(W943*Graph!$D$5)+(U943*Graph!$D$5^2)</f>
        <v>-13194.198182347285</v>
      </c>
      <c r="Z944">
        <f>Z943+(X943*Graph!$D$5)+(V943*Graph!$D$5^2)</f>
        <v>-43159.053413208458</v>
      </c>
    </row>
    <row r="945" spans="14:26" x14ac:dyDescent="0.35">
      <c r="N945">
        <f>N944+1</f>
        <v>942</v>
      </c>
      <c r="O945">
        <f>Graph!$D$22*((Graph!$D$18-Y945)/POWER((((Graph!$D$18-$Y945)^2)+((Graph!$E$18-$Z945)^2))+(Graph!$D$23^2),(3/2)))</f>
        <v>70.758381756691946</v>
      </c>
      <c r="P945" s="84">
        <f>Graph!$D$22*((Graph!$E$18-Z945)/POWER((((Graph!$D$18-$Y945)^2)+((Graph!$E$18-$Z945)^2))+(Graph!$D$23^2),3/2))</f>
        <v>130.05520544874582</v>
      </c>
      <c r="Q945">
        <f>Graph!$D$31*((Graph!$D$27-Y945)/POWER((((Graph!$D$27-$Y945)^2)+((Graph!$E$27-$Z945)^2))+(Graph!$D$32^2),3/2))</f>
        <v>-8.3491652918898236</v>
      </c>
      <c r="R945">
        <f>Graph!$D$31*((Graph!$E$27-Z945)/POWER((((Graph!$D$27-$Y945)^2)+((Graph!$E$27-$Z945)^2))+(Graph!$D$32^2),3/2))</f>
        <v>64.4508029996435</v>
      </c>
      <c r="S945">
        <f>Graph!$D$40*((Graph!$D$36-Y945)/POWER((((Graph!$D$36-$Y945)^2)+((Graph!$E$36-$Z945)^2))+(Graph!$D$41^2),3/2))</f>
        <v>245.8195213414937</v>
      </c>
      <c r="T945">
        <f>Graph!$D$40*((Graph!$E$36-Z945)/POWER((((Graph!$D$36-$Y945)^2)+((Graph!$E$36-$Z945)^2))+(Graph!$D$41^2),3/2))</f>
        <v>499.43713294312772</v>
      </c>
      <c r="U945">
        <f>O945+Q945+S945</f>
        <v>308.22873780629584</v>
      </c>
      <c r="V945">
        <f>P945+R945+T945</f>
        <v>693.94314139151697</v>
      </c>
      <c r="W945">
        <f>W944+(U944*Graph!$D$5)</f>
        <v>-149.71807219643571</v>
      </c>
      <c r="X945">
        <f>X944+(V944*Graph!$D$5)</f>
        <v>2400.0139274205694</v>
      </c>
      <c r="Y945">
        <f>Y944+(W944*Graph!$D$5)+(U944*Graph!$D$5^2)</f>
        <v>-13269.057218445503</v>
      </c>
      <c r="Z945">
        <f>Z944+(X944*Graph!$D$5)+(V944*Graph!$D$5^2)</f>
        <v>-41959.046449498172</v>
      </c>
    </row>
    <row r="946" spans="14:26" x14ac:dyDescent="0.35">
      <c r="N946">
        <f>N945+1</f>
        <v>943</v>
      </c>
      <c r="O946">
        <f>Graph!$D$22*((Graph!$D$18-Y946)/POWER((((Graph!$D$18-$Y946)^2)+((Graph!$E$18-$Z946)^2))+(Graph!$D$23^2),(3/2)))</f>
        <v>75.221124883161806</v>
      </c>
      <c r="P946" s="84">
        <f>Graph!$D$22*((Graph!$E$18-Z946)/POWER((((Graph!$D$18-$Y946)^2)+((Graph!$E$18-$Z946)^2))+(Graph!$D$23^2),3/2))</f>
        <v>134.61355019138605</v>
      </c>
      <c r="Q946">
        <f>Graph!$D$31*((Graph!$D$27-Y946)/POWER((((Graph!$D$27-$Y946)^2)+((Graph!$E$27-$Z946)^2))+(Graph!$D$32^2),3/2))</f>
        <v>-9.0351104079628612</v>
      </c>
      <c r="R946">
        <f>Graph!$D$31*((Graph!$E$27-Z946)/POWER((((Graph!$D$27-$Y946)^2)+((Graph!$E$27-$Z946)^2))+(Graph!$D$32^2),3/2))</f>
        <v>67.880067785491107</v>
      </c>
      <c r="S946">
        <f>Graph!$D$40*((Graph!$D$36-Y946)/POWER((((Graph!$D$36-$Y946)^2)+((Graph!$E$36-$Z946)^2))+(Graph!$D$41^2),3/2))</f>
        <v>277.54771169061689</v>
      </c>
      <c r="T946">
        <f>Graph!$D$40*((Graph!$E$36-Z946)/POWER((((Graph!$D$36-$Y946)^2)+((Graph!$E$36-$Z946)^2))+(Graph!$D$41^2),3/2))</f>
        <v>535.25946453316749</v>
      </c>
      <c r="U946">
        <f>O946+Q946+S946</f>
        <v>343.73372616581582</v>
      </c>
      <c r="V946">
        <f>P946+R946+T946</f>
        <v>737.75308251004458</v>
      </c>
      <c r="W946">
        <f>W945+(U945*Graph!$D$5)</f>
        <v>4.3962967067122065</v>
      </c>
      <c r="X946">
        <f>X945+(V945*Graph!$D$5)</f>
        <v>2746.985498116328</v>
      </c>
      <c r="Y946">
        <f>Y945+(W945*Graph!$D$5)+(U945*Graph!$D$5^2)</f>
        <v>-13266.859070092147</v>
      </c>
      <c r="Z946">
        <f>Z945+(X945*Graph!$D$5)+(V945*Graph!$D$5^2)</f>
        <v>-40585.553700440003</v>
      </c>
    </row>
    <row r="947" spans="14:26" x14ac:dyDescent="0.35">
      <c r="N947">
        <f>N946+1</f>
        <v>944</v>
      </c>
      <c r="O947">
        <f>Graph!$D$22*((Graph!$D$18-Y947)/POWER((((Graph!$D$18-$Y947)^2)+((Graph!$E$18-$Z947)^2))+(Graph!$D$23^2),(3/2)))</f>
        <v>80.645545398234859</v>
      </c>
      <c r="P947" s="84">
        <f>Graph!$D$22*((Graph!$E$18-Z947)/POWER((((Graph!$D$18-$Y947)^2)+((Graph!$E$18-$Z947)^2))+(Graph!$D$23^2),3/2))</f>
        <v>140.31362388680432</v>
      </c>
      <c r="Q947">
        <f>Graph!$D$31*((Graph!$D$27-Y947)/POWER((((Graph!$D$27-$Y947)^2)+((Graph!$E$27-$Z947)^2))+(Graph!$D$32^2),3/2))</f>
        <v>-10.025293101924191</v>
      </c>
      <c r="R947">
        <f>Graph!$D$31*((Graph!$E$27-Z947)/POWER((((Graph!$D$27-$Y947)^2)+((Graph!$E$27-$Z947)^2))+(Graph!$D$32^2),3/2))</f>
        <v>72.056392228688097</v>
      </c>
      <c r="S947">
        <f>Graph!$D$40*((Graph!$D$36-Y947)/POWER((((Graph!$D$36-$Y947)^2)+((Graph!$E$36-$Z947)^2))+(Graph!$D$41^2),3/2))</f>
        <v>319.20882726832428</v>
      </c>
      <c r="T947">
        <f>Graph!$D$40*((Graph!$E$36-Z947)/POWER((((Graph!$D$36-$Y947)^2)+((Graph!$E$36-$Z947)^2))+(Graph!$D$41^2),3/2))</f>
        <v>581.98557210279887</v>
      </c>
      <c r="U947">
        <f>O947+Q947+S947</f>
        <v>389.82907956463498</v>
      </c>
      <c r="V947">
        <f>P947+R947+T947</f>
        <v>794.35558821829136</v>
      </c>
      <c r="W947">
        <f>W946+(U946*Graph!$D$5)</f>
        <v>176.26315978962012</v>
      </c>
      <c r="X947">
        <f>X946+(V946*Graph!$D$5)</f>
        <v>3115.8620393713504</v>
      </c>
      <c r="Y947">
        <f>Y946+(W946*Graph!$D$5)+(U946*Graph!$D$5^2)</f>
        <v>-13178.727490197336</v>
      </c>
      <c r="Z947">
        <f>Z946+(X946*Graph!$D$5)+(V946*Graph!$D$5^2)</f>
        <v>-39027.622680754328</v>
      </c>
    </row>
    <row r="948" spans="14:26" x14ac:dyDescent="0.35">
      <c r="N948">
        <f>N947+1</f>
        <v>945</v>
      </c>
      <c r="O948">
        <f>Graph!$D$22*((Graph!$D$18-Y948)/POWER((((Graph!$D$18-$Y948)^2)+((Graph!$E$18-$Z948)^2))+(Graph!$D$23^2),(3/2)))</f>
        <v>87.309250733217127</v>
      </c>
      <c r="P948" s="84">
        <f>Graph!$D$22*((Graph!$E$18-Z948)/POWER((((Graph!$D$18-$Y948)^2)+((Graph!$E$18-$Z948)^2))+(Graph!$D$23^2),3/2))</f>
        <v>147.43629203839532</v>
      </c>
      <c r="Q948">
        <f>Graph!$D$31*((Graph!$D$27-Y948)/POWER((((Graph!$D$27-$Y948)^2)+((Graph!$E$27-$Z948)^2))+(Graph!$D$32^2),3/2))</f>
        <v>-11.438942817719965</v>
      </c>
      <c r="R948">
        <f>Graph!$D$31*((Graph!$E$27-Z948)/POWER((((Graph!$D$27-$Y948)^2)+((Graph!$E$27-$Z948)^2))+(Graph!$D$32^2),3/2))</f>
        <v>77.171705518070539</v>
      </c>
      <c r="S948">
        <f>Graph!$D$40*((Graph!$D$36-Y948)/POWER((((Graph!$D$36-$Y948)^2)+((Graph!$E$36-$Z948)^2))+(Graph!$D$41^2),3/2))</f>
        <v>375.49620866615385</v>
      </c>
      <c r="T948">
        <f>Graph!$D$40*((Graph!$E$36-Z948)/POWER((((Graph!$D$36-$Y948)^2)+((Graph!$E$36-$Z948)^2))+(Graph!$D$41^2),3/2))</f>
        <v>643.62544587123875</v>
      </c>
      <c r="U948">
        <f>O948+Q948+S948</f>
        <v>451.36651658165101</v>
      </c>
      <c r="V948">
        <f>P948+R948+T948</f>
        <v>868.23344342770463</v>
      </c>
      <c r="W948">
        <f>W947+(U947*Graph!$D$5)</f>
        <v>371.17769957193764</v>
      </c>
      <c r="X948">
        <f>X947+(V947*Graph!$D$5)</f>
        <v>3513.0398334804959</v>
      </c>
      <c r="Y948">
        <f>Y947+(W947*Graph!$D$5)+(U947*Graph!$D$5^2)</f>
        <v>-12993.138640411367</v>
      </c>
      <c r="Z948">
        <f>Z947+(X947*Graph!$D$5)+(V947*Graph!$D$5^2)</f>
        <v>-37271.102764014082</v>
      </c>
    </row>
    <row r="949" spans="14:26" x14ac:dyDescent="0.35">
      <c r="N949">
        <f>N948+1</f>
        <v>946</v>
      </c>
      <c r="O949">
        <f>Graph!$D$22*((Graph!$D$18-Y949)/POWER((((Graph!$D$18-$Y949)^2)+((Graph!$E$18-$Z949)^2))+(Graph!$D$23^2),(3/2)))</f>
        <v>95.61642550377853</v>
      </c>
      <c r="P949" s="84">
        <f>Graph!$D$22*((Graph!$E$18-Z949)/POWER((((Graph!$D$18-$Y949)^2)+((Graph!$E$18-$Z949)^2))+(Graph!$D$23^2),3/2))</f>
        <v>156.39043207486213</v>
      </c>
      <c r="Q949">
        <f>Graph!$D$31*((Graph!$D$27-Y949)/POWER((((Graph!$D$27-$Y949)^2)+((Graph!$E$27-$Z949)^2))+(Graph!$D$32^2),3/2))</f>
        <v>-13.464815593582113</v>
      </c>
      <c r="R949">
        <f>Graph!$D$31*((Graph!$E$27-Z949)/POWER((((Graph!$D$27-$Y949)^2)+((Graph!$E$27-$Z949)^2))+(Graph!$D$32^2),3/2))</f>
        <v>83.490547337112119</v>
      </c>
      <c r="S949">
        <f>Graph!$D$40*((Graph!$D$36-Y949)/POWER((((Graph!$D$36-$Y949)^2)+((Graph!$E$36-$Z949)^2))+(Graph!$D$41^2),3/2))</f>
        <v>454.37193918848072</v>
      </c>
      <c r="T949">
        <f>Graph!$D$40*((Graph!$E$36-Z949)/POWER((((Graph!$D$36-$Y949)^2)+((Graph!$E$36-$Z949)^2))+(Graph!$D$41^2),3/2))</f>
        <v>726.49370464485889</v>
      </c>
      <c r="U949">
        <f>O949+Q949+S949</f>
        <v>536.52354909867711</v>
      </c>
      <c r="V949">
        <f>P949+R949+T949</f>
        <v>966.37468405683308</v>
      </c>
      <c r="W949">
        <f>W948+(U948*Graph!$D$5)</f>
        <v>596.86095786276314</v>
      </c>
      <c r="X949">
        <f>X948+(V948*Graph!$D$5)</f>
        <v>3947.1565551943481</v>
      </c>
      <c r="Y949">
        <f>Y948+(W948*Graph!$D$5)+(U948*Graph!$D$5^2)</f>
        <v>-12694.708161479986</v>
      </c>
      <c r="Z949">
        <f>Z948+(X948*Graph!$D$5)+(V948*Graph!$D$5^2)</f>
        <v>-35297.524486416907</v>
      </c>
    </row>
    <row r="950" spans="14:26" x14ac:dyDescent="0.35">
      <c r="N950">
        <f>N949+1</f>
        <v>947</v>
      </c>
      <c r="O950">
        <f>Graph!$D$22*((Graph!$D$18-Y950)/POWER((((Graph!$D$18-$Y950)^2)+((Graph!$E$18-$Z950)^2))+(Graph!$D$23^2),(3/2)))</f>
        <v>106.17812231460019</v>
      </c>
      <c r="P950" s="84">
        <f>Graph!$D$22*((Graph!$E$18-Z950)/POWER((((Graph!$D$18-$Y950)^2)+((Graph!$E$18-$Z950)^2))+(Graph!$D$23^2),3/2))</f>
        <v>167.79321642244412</v>
      </c>
      <c r="Q950">
        <f>Graph!$D$31*((Graph!$D$27-Y950)/POWER((((Graph!$D$27-$Y950)^2)+((Graph!$E$27-$Z950)^2))+(Graph!$D$32^2),3/2))</f>
        <v>-16.412719956400849</v>
      </c>
      <c r="R950">
        <f>Graph!$D$31*((Graph!$E$27-Z950)/POWER((((Graph!$D$27-$Y950)^2)+((Graph!$E$27-$Z950)^2))+(Graph!$D$32^2),3/2))</f>
        <v>91.381752607307362</v>
      </c>
      <c r="S950">
        <f>Graph!$D$40*((Graph!$D$36-Y950)/POWER((((Graph!$D$36-$Y950)^2)+((Graph!$E$36-$Z950)^2))+(Graph!$D$41^2),3/2))</f>
        <v>570.26830235946284</v>
      </c>
      <c r="T950">
        <f>Graph!$D$40*((Graph!$E$36-Z950)/POWER((((Graph!$D$36-$Y950)^2)+((Graph!$E$36-$Z950)^2))+(Graph!$D$41^2),3/2))</f>
        <v>840.94511805828677</v>
      </c>
      <c r="U950">
        <f>O950+Q950+S950</f>
        <v>660.0337047176622</v>
      </c>
      <c r="V950">
        <f>P950+R950+T950</f>
        <v>1100.1200870880382</v>
      </c>
      <c r="W950">
        <f>W949+(U949*Graph!$D$5)</f>
        <v>865.12273241210164</v>
      </c>
      <c r="X950">
        <f>X949+(V949*Graph!$D$5)</f>
        <v>4430.343897222765</v>
      </c>
      <c r="Y950">
        <f>Y949+(W949*Graph!$D$5)+(U949*Graph!$D$5^2)</f>
        <v>-12262.146795273937</v>
      </c>
      <c r="Z950">
        <f>Z949+(X949*Graph!$D$5)+(V949*Graph!$D$5^2)</f>
        <v>-33082.352537805527</v>
      </c>
    </row>
    <row r="951" spans="14:26" x14ac:dyDescent="0.35">
      <c r="N951">
        <f>N950+1</f>
        <v>948</v>
      </c>
      <c r="O951">
        <f>Graph!$D$22*((Graph!$D$18-Y951)/POWER((((Graph!$D$18-$Y951)^2)+((Graph!$E$18-$Z951)^2))+(Graph!$D$23^2),(3/2)))</f>
        <v>119.96369029567677</v>
      </c>
      <c r="P951" s="84">
        <f>Graph!$D$22*((Graph!$E$18-Z951)/POWER((((Graph!$D$18-$Y951)^2)+((Graph!$E$18-$Z951)^2))+(Graph!$D$23^2),3/2))</f>
        <v>182.62371754774907</v>
      </c>
      <c r="Q951">
        <f>Graph!$D$31*((Graph!$D$27-Y951)/POWER((((Graph!$D$27-$Y951)^2)+((Graph!$E$27-$Z951)^2))+(Graph!$D$32^2),3/2))</f>
        <v>-20.814099689689368</v>
      </c>
      <c r="R951">
        <f>Graph!$D$31*((Graph!$E$27-Z951)/POWER((((Graph!$D$27-$Y951)^2)+((Graph!$E$27-$Z951)^2))+(Graph!$D$32^2),3/2))</f>
        <v>101.3612709063456</v>
      </c>
      <c r="S951">
        <f>Graph!$D$40*((Graph!$D$36-Y951)/POWER((((Graph!$D$36-$Y951)^2)+((Graph!$E$36-$Z951)^2))+(Graph!$D$41^2),3/2))</f>
        <v>751.63914708568711</v>
      </c>
      <c r="T951">
        <f>Graph!$D$40*((Graph!$E$36-Z951)/POWER((((Graph!$D$36-$Y951)^2)+((Graph!$E$36-$Z951)^2))+(Graph!$D$41^2),3/2))</f>
        <v>1004.7231674861996</v>
      </c>
      <c r="U951">
        <f>O951+Q951+S951</f>
        <v>850.78873769167456</v>
      </c>
      <c r="V951">
        <f>P951+R951+T951</f>
        <v>1288.7081559402943</v>
      </c>
      <c r="W951">
        <f>W950+(U950*Graph!$D$5)</f>
        <v>1195.1395847709327</v>
      </c>
      <c r="X951">
        <f>X950+(V950*Graph!$D$5)</f>
        <v>4980.4039407667842</v>
      </c>
      <c r="Y951">
        <f>Y950+(W950*Graph!$D$5)+(U950*Graph!$D$5^2)</f>
        <v>-11664.577002888469</v>
      </c>
      <c r="Z951">
        <f>Z950+(X950*Graph!$D$5)+(V950*Graph!$D$5^2)</f>
        <v>-30592.150567422133</v>
      </c>
    </row>
    <row r="952" spans="14:26" x14ac:dyDescent="0.35">
      <c r="N952">
        <f>N951+1</f>
        <v>949</v>
      </c>
      <c r="O952">
        <f>Graph!$D$22*((Graph!$D$18-Y952)/POWER((((Graph!$D$18-$Y952)^2)+((Graph!$E$18-$Z952)^2))+(Graph!$D$23^2),(3/2)))</f>
        <v>138.61025699457457</v>
      </c>
      <c r="P952" s="84">
        <f>Graph!$D$22*((Graph!$E$18-Z952)/POWER((((Graph!$D$18-$Y952)^2)+((Graph!$E$18-$Z952)^2))+(Graph!$D$23^2),3/2))</f>
        <v>202.5451013612718</v>
      </c>
      <c r="Q952">
        <f>Graph!$D$31*((Graph!$D$27-Y952)/POWER((((Graph!$D$27-$Y952)^2)+((Graph!$E$27-$Z952)^2))+(Graph!$D$32^2),3/2))</f>
        <v>-27.629420433282114</v>
      </c>
      <c r="R952">
        <f>Graph!$D$31*((Graph!$E$27-Z952)/POWER((((Graph!$D$27-$Y952)^2)+((Graph!$E$27-$Z952)^2))+(Graph!$D$32^2),3/2))</f>
        <v>114.13389205488485</v>
      </c>
      <c r="S952">
        <f>Graph!$D$40*((Graph!$D$36-Y952)/POWER((((Graph!$D$36-$Y952)^2)+((Graph!$E$36-$Z952)^2))+(Graph!$D$41^2),3/2))</f>
        <v>1061.0202952845416</v>
      </c>
      <c r="T952">
        <f>Graph!$D$40*((Graph!$E$36-Z952)/POWER((((Graph!$D$36-$Y952)^2)+((Graph!$E$36-$Z952)^2))+(Graph!$D$41^2),3/2))</f>
        <v>1249.2361983041667</v>
      </c>
      <c r="U952">
        <f>O952+Q952+S952</f>
        <v>1172.0011318458342</v>
      </c>
      <c r="V952">
        <f>P952+R952+T952</f>
        <v>1565.9151917203235</v>
      </c>
      <c r="W952">
        <f>W951+(U951*Graph!$D$5)</f>
        <v>1620.5339536167701</v>
      </c>
      <c r="X952">
        <f>X951+(V951*Graph!$D$5)</f>
        <v>5624.7580187369313</v>
      </c>
      <c r="Y952">
        <f>Y951+(W951*Graph!$D$5)+(U951*Graph!$D$5^2)</f>
        <v>-10854.310026080084</v>
      </c>
      <c r="Z952">
        <f>Z951+(X951*Graph!$D$5)+(V951*Graph!$D$5^2)</f>
        <v>-27779.771558053664</v>
      </c>
    </row>
    <row r="953" spans="14:26" x14ac:dyDescent="0.35">
      <c r="N953">
        <f>N952+1</f>
        <v>950</v>
      </c>
      <c r="O953">
        <f>Graph!$D$22*((Graph!$D$18-Y953)/POWER((((Graph!$D$18-$Y953)^2)+((Graph!$E$18-$Z953)^2))+(Graph!$D$23^2),(3/2)))</f>
        <v>165.12394988932095</v>
      </c>
      <c r="P953" s="84">
        <f>Graph!$D$22*((Graph!$E$18-Z953)/POWER((((Graph!$D$18-$Y953)^2)+((Graph!$E$18-$Z953)^2))+(Graph!$D$23^2),3/2))</f>
        <v>230.66953192486798</v>
      </c>
      <c r="Q953">
        <f>Graph!$D$31*((Graph!$D$27-Y953)/POWER((((Graph!$D$27-$Y953)^2)+((Graph!$E$27-$Z953)^2))+(Graph!$D$32^2),3/2))</f>
        <v>-38.697423140116165</v>
      </c>
      <c r="R953">
        <f>Graph!$D$31*((Graph!$E$27-Z953)/POWER((((Graph!$D$27-$Y953)^2)+((Graph!$E$27-$Z953)^2))+(Graph!$D$32^2),3/2))</f>
        <v>130.54974612158028</v>
      </c>
      <c r="S953">
        <f>Graph!$D$40*((Graph!$D$36-Y953)/POWER((((Graph!$D$36-$Y953)^2)+((Graph!$E$36-$Z953)^2))+(Graph!$D$41^2),3/2))</f>
        <v>1656.6063320788917</v>
      </c>
      <c r="T953">
        <f>Graph!$D$40*((Graph!$E$36-Z953)/POWER((((Graph!$D$36-$Y953)^2)+((Graph!$E$36-$Z953)^2))+(Graph!$D$41^2),3/2))</f>
        <v>1626.8536335160547</v>
      </c>
      <c r="U953">
        <f>O953+Q953+S953</f>
        <v>1783.0328588280966</v>
      </c>
      <c r="V953">
        <f>P953+R953+T953</f>
        <v>1988.0729115625031</v>
      </c>
      <c r="W953">
        <f>W952+(U952*Graph!$D$5)</f>
        <v>2206.5345195396872</v>
      </c>
      <c r="X953">
        <f>X952+(V952*Graph!$D$5)</f>
        <v>6407.715614597093</v>
      </c>
      <c r="Y953">
        <f>Y952+(W952*Graph!$D$5)+(U952*Graph!$D$5^2)</f>
        <v>-9751.04276631024</v>
      </c>
      <c r="Z953">
        <f>Z952+(X952*Graph!$D$5)+(V952*Graph!$D$5^2)</f>
        <v>-24575.913750755117</v>
      </c>
    </row>
    <row r="954" spans="14:26" x14ac:dyDescent="0.35">
      <c r="N954">
        <f>N953+1</f>
        <v>951</v>
      </c>
      <c r="O954">
        <f>Graph!$D$22*((Graph!$D$18-Y954)/POWER((((Graph!$D$18-$Y954)^2)+((Graph!$E$18-$Z954)^2))+(Graph!$D$23^2),(3/2)))</f>
        <v>205.69186727322077</v>
      </c>
      <c r="P954" s="84">
        <f>Graph!$D$22*((Graph!$E$18-Z954)/POWER((((Graph!$D$18-$Y954)^2)+((Graph!$E$18-$Z954)^2))+(Graph!$D$23^2),3/2))</f>
        <v>273.71517226138809</v>
      </c>
      <c r="Q954">
        <f>Graph!$D$31*((Graph!$D$27-Y954)/POWER((((Graph!$D$27-$Y954)^2)+((Graph!$E$27-$Z954)^2))+(Graph!$D$32^2),3/2))</f>
        <v>-57.706915756262134</v>
      </c>
      <c r="R954">
        <f>Graph!$D$31*((Graph!$E$27-Z954)/POWER((((Graph!$D$27-$Y954)^2)+((Graph!$E$27-$Z954)^2))+(Graph!$D$32^2),3/2))</f>
        <v>151.01761415451773</v>
      </c>
      <c r="S954">
        <f>Graph!$D$40*((Graph!$D$36-Y954)/POWER((((Graph!$D$36-$Y954)^2)+((Graph!$E$36-$Z954)^2))+(Graph!$D$41^2),3/2))</f>
        <v>3008.1267903471039</v>
      </c>
      <c r="T954">
        <f>Graph!$D$40*((Graph!$E$36-Z954)/POWER((((Graph!$D$36-$Y954)^2)+((Graph!$E$36-$Z954)^2))+(Graph!$D$41^2),3/2))</f>
        <v>2154.6965481394645</v>
      </c>
      <c r="U954">
        <f>O954+Q954+S954</f>
        <v>3156.1117418640624</v>
      </c>
      <c r="V954">
        <f>P954+R954+T954</f>
        <v>2579.4293345553706</v>
      </c>
      <c r="W954">
        <f>W953+(U953*Graph!$D$5)</f>
        <v>3098.0509489537353</v>
      </c>
      <c r="X954">
        <f>X953+(V953*Graph!$D$5)</f>
        <v>7401.7520703783448</v>
      </c>
      <c r="Y954">
        <f>Y953+(W953*Graph!$D$5)+(U953*Graph!$D$5^2)</f>
        <v>-8202.0172918333719</v>
      </c>
      <c r="Z954">
        <f>Z953+(X953*Graph!$D$5)+(V953*Graph!$D$5^2)</f>
        <v>-20875.037715565944</v>
      </c>
    </row>
    <row r="955" spans="14:26" x14ac:dyDescent="0.35">
      <c r="N955">
        <f>N954+1</f>
        <v>952</v>
      </c>
      <c r="O955">
        <f>Graph!$D$22*((Graph!$D$18-Y955)/POWER((((Graph!$D$18-$Y955)^2)+((Graph!$E$18-$Z955)^2))+(Graph!$D$23^2),(3/2)))</f>
        <v>275.04578034524883</v>
      </c>
      <c r="P955" s="84">
        <f>Graph!$D$22*((Graph!$E$18-Z955)/POWER((((Graph!$D$18-$Y955)^2)+((Graph!$E$18-$Z955)^2))+(Graph!$D$23^2),3/2))</f>
        <v>349.73091677936583</v>
      </c>
      <c r="Q955">
        <f>Graph!$D$31*((Graph!$D$27-Y955)/POWER((((Graph!$D$27-$Y955)^2)+((Graph!$E$27-$Z955)^2))+(Graph!$D$32^2),3/2))</f>
        <v>-91.592824947531966</v>
      </c>
      <c r="R955">
        <f>Graph!$D$31*((Graph!$E$27-Z955)/POWER((((Graph!$D$27-$Y955)^2)+((Graph!$E$27-$Z955)^2))+(Graph!$D$32^2),3/2))</f>
        <v>171.89358521075488</v>
      </c>
      <c r="S955">
        <f>Graph!$D$40*((Graph!$D$36-Y955)/POWER((((Graph!$D$36-$Y955)^2)+((Graph!$E$36-$Z955)^2))+(Graph!$D$41^2),3/2))</f>
        <v>6331.4022388448948</v>
      </c>
      <c r="T955">
        <f>Graph!$D$40*((Graph!$E$36-Z955)/POWER((((Graph!$D$36-$Y955)^2)+((Graph!$E$36-$Z955)^2))+(Graph!$D$41^2),3/2))</f>
        <v>1651.2108805298703</v>
      </c>
      <c r="U955">
        <f>O955+Q955+S955</f>
        <v>6514.855194242612</v>
      </c>
      <c r="V955">
        <f>P955+R955+T955</f>
        <v>2172.8353825199911</v>
      </c>
      <c r="W955">
        <f>W954+(U954*Graph!$D$5)</f>
        <v>4676.1068198857665</v>
      </c>
      <c r="X955">
        <f>X954+(V954*Graph!$D$5)</f>
        <v>8691.4667376560301</v>
      </c>
      <c r="Y955">
        <f>Y954+(W954*Graph!$D$5)+(U954*Graph!$D$5^2)</f>
        <v>-5863.9638818904878</v>
      </c>
      <c r="Z955">
        <f>Z954+(X954*Graph!$D$5)+(V954*Graph!$D$5^2)</f>
        <v>-16529.304346737928</v>
      </c>
    </row>
    <row r="956" spans="14:26" x14ac:dyDescent="0.35">
      <c r="N956">
        <f>N955+1</f>
        <v>953</v>
      </c>
      <c r="O956">
        <f>Graph!$D$22*((Graph!$D$18-Y956)/POWER((((Graph!$D$18-$Y956)^2)+((Graph!$E$18-$Z956)^2))+(Graph!$D$23^2),(3/2)))</f>
        <v>407.05884477201027</v>
      </c>
      <c r="P956" s="84">
        <f>Graph!$D$22*((Graph!$E$18-Z956)/POWER((((Graph!$D$18-$Y956)^2)+((Graph!$E$18-$Z956)^2))+(Graph!$D$23^2),3/2))</f>
        <v>521.32321001434627</v>
      </c>
      <c r="Q956">
        <f>Graph!$D$31*((Graph!$D$27-Y956)/POWER((((Graph!$D$27-$Y956)^2)+((Graph!$E$27-$Z956)^2))+(Graph!$D$32^2),3/2))</f>
        <v>-141.48372847592262</v>
      </c>
      <c r="R956">
        <f>Graph!$D$31*((Graph!$E$27-Z956)/POWER((((Graph!$D$27-$Y956)^2)+((Graph!$E$27-$Z956)^2))+(Graph!$D$32^2),3/2))</f>
        <v>169.13176731821514</v>
      </c>
      <c r="S956">
        <f>Graph!$D$40*((Graph!$D$36-Y956)/POWER((((Graph!$D$36-$Y956)^2)+((Graph!$E$36-$Z956)^2))+(Graph!$D$41^2),3/2))</f>
        <v>3943.4081238198096</v>
      </c>
      <c r="T956">
        <f>Graph!$D$40*((Graph!$E$36-Z956)/POWER((((Graph!$D$36-$Y956)^2)+((Graph!$E$36-$Z956)^2))+(Graph!$D$41^2),3/2))</f>
        <v>-6983.1575431810279</v>
      </c>
      <c r="U956">
        <f>O956+Q956+S956</f>
        <v>4208.9832401158974</v>
      </c>
      <c r="V956">
        <f>P956+R956+T956</f>
        <v>-6292.7025658484663</v>
      </c>
      <c r="W956">
        <f>W955+(U955*Graph!$D$5)</f>
        <v>7933.534417007073</v>
      </c>
      <c r="X956">
        <f>X955+(V955*Graph!$D$5)</f>
        <v>9777.8844289160261</v>
      </c>
      <c r="Y956">
        <f>Y955+(W955*Graph!$D$5)+(U955*Graph!$D$5^2)</f>
        <v>-1897.1966733869515</v>
      </c>
      <c r="Z956">
        <f>Z955+(X955*Graph!$D$5)+(V955*Graph!$D$5^2)</f>
        <v>-11640.362132279915</v>
      </c>
    </row>
    <row r="957" spans="14:26" x14ac:dyDescent="0.35">
      <c r="N957">
        <f>N956+1</f>
        <v>954</v>
      </c>
      <c r="O957">
        <f>Graph!$D$22*((Graph!$D$18-Y957)/POWER((((Graph!$D$18-$Y957)^2)+((Graph!$E$18-$Z957)^2))+(Graph!$D$23^2),(3/2)))</f>
        <v>553.15413613962755</v>
      </c>
      <c r="P957" s="84">
        <f>Graph!$D$22*((Graph!$E$18-Z957)/POWER((((Graph!$D$18-$Y957)^2)+((Graph!$E$18-$Z957)^2))+(Graph!$D$23^2),3/2))</f>
        <v>853.35655022990284</v>
      </c>
      <c r="Q957">
        <f>Graph!$D$31*((Graph!$D$27-Y957)/POWER((((Graph!$D$27-$Y957)^2)+((Graph!$E$27-$Z957)^2))+(Graph!$D$32^2),3/2))</f>
        <v>-158.35256995677125</v>
      </c>
      <c r="R957">
        <f>Graph!$D$31*((Graph!$E$27-Z957)/POWER((((Graph!$D$27-$Y957)^2)+((Graph!$E$27-$Z957)^2))+(Graph!$D$32^2),3/2))</f>
        <v>125.49822024861321</v>
      </c>
      <c r="S957">
        <f>Graph!$D$40*((Graph!$D$36-Y957)/POWER((((Graph!$D$36-$Y957)^2)+((Graph!$E$36-$Z957)^2))+(Graph!$D$41^2),3/2))</f>
        <v>-2314.4118636151252</v>
      </c>
      <c r="T957">
        <f>Graph!$D$40*((Graph!$E$36-Z957)/POWER((((Graph!$D$36-$Y957)^2)+((Graph!$E$36-$Z957)^2))+(Graph!$D$41^2),3/2))</f>
        <v>-4948.925088449364</v>
      </c>
      <c r="U957">
        <f>O957+Q957+S957</f>
        <v>-1919.6102974322689</v>
      </c>
      <c r="V957">
        <f>P957+R957+T957</f>
        <v>-3970.070317970848</v>
      </c>
      <c r="W957">
        <f>W956+(U956*Graph!$D$5)</f>
        <v>10038.026037065021</v>
      </c>
      <c r="X957">
        <f>X956+(V956*Graph!$D$5)</f>
        <v>6631.5331459917925</v>
      </c>
      <c r="Y957">
        <f>Y956+(W956*Graph!$D$5)+(U956*Graph!$D$5^2)</f>
        <v>3121.8163451455594</v>
      </c>
      <c r="Z957">
        <f>Z956+(X956*Graph!$D$5)+(V956*Graph!$D$5^2)</f>
        <v>-8324.5955592840182</v>
      </c>
    </row>
    <row r="958" spans="14:26" x14ac:dyDescent="0.35">
      <c r="N958">
        <f>N957+1</f>
        <v>955</v>
      </c>
      <c r="O958">
        <f>Graph!$D$22*((Graph!$D$18-Y958)/POWER((((Graph!$D$18-$Y958)^2)+((Graph!$E$18-$Z958)^2))+(Graph!$D$23^2),(3/2)))</f>
        <v>626.98510692522984</v>
      </c>
      <c r="P958" s="84">
        <f>Graph!$D$22*((Graph!$E$18-Z958)/POWER((((Graph!$D$18-$Y958)^2)+((Graph!$E$18-$Z958)^2))+(Graph!$D$23^2),3/2))</f>
        <v>1367.0126594314474</v>
      </c>
      <c r="Q958">
        <f>Graph!$D$31*((Graph!$D$27-Y958)/POWER((((Graph!$D$27-$Y958)^2)+((Graph!$E$27-$Z958)^2))+(Graph!$D$32^2),3/2))</f>
        <v>-149.53546295378186</v>
      </c>
      <c r="R958">
        <f>Graph!$D$31*((Graph!$E$27-Z958)/POWER((((Graph!$D$27-$Y958)^2)+((Graph!$E$27-$Z958)^2))+(Graph!$D$32^2),3/2))</f>
        <v>86.503564570432346</v>
      </c>
      <c r="S958">
        <f>Graph!$D$40*((Graph!$D$36-Y958)/POWER((((Graph!$D$36-$Y958)^2)+((Graph!$E$36-$Z958)^2))+(Graph!$D$41^2),3/2))</f>
        <v>-1898.3476969047929</v>
      </c>
      <c r="T958">
        <f>Graph!$D$40*((Graph!$E$36-Z958)/POWER((((Graph!$D$36-$Y958)^2)+((Graph!$E$36-$Z958)^2))+(Graph!$D$41^2),3/2))</f>
        <v>-2229.8311277310404</v>
      </c>
      <c r="U958">
        <f>O958+Q958+S958</f>
        <v>-1420.8980529333448</v>
      </c>
      <c r="V958">
        <f>P958+R958+T958</f>
        <v>-776.31490372916051</v>
      </c>
      <c r="W958">
        <f>W957+(U957*Graph!$D$5)</f>
        <v>9078.2208883488875</v>
      </c>
      <c r="X958">
        <f>X957+(V957*Graph!$D$5)</f>
        <v>4646.4979870063689</v>
      </c>
      <c r="Y958">
        <f>Y957+(W957*Graph!$D$5)+(U957*Graph!$D$5^2)</f>
        <v>7660.9267893200031</v>
      </c>
      <c r="Z958">
        <f>Z957+(X957*Graph!$D$5)+(V957*Graph!$D$5^2)</f>
        <v>-6001.3465657808338</v>
      </c>
    </row>
    <row r="959" spans="14:26" x14ac:dyDescent="0.35">
      <c r="N959">
        <f>N958+1</f>
        <v>956</v>
      </c>
      <c r="O959">
        <f>Graph!$D$22*((Graph!$D$18-Y959)/POWER((((Graph!$D$18-$Y959)^2)+((Graph!$E$18-$Z959)^2))+(Graph!$D$23^2),(3/2)))</f>
        <v>481.7920301543241</v>
      </c>
      <c r="P959" s="84">
        <f>Graph!$D$22*((Graph!$E$18-Z959)/POWER((((Graph!$D$18-$Y959)^2)+((Graph!$E$18-$Z959)^2))+(Graph!$D$23^2),3/2))</f>
        <v>2118.2590410057583</v>
      </c>
      <c r="Q959">
        <f>Graph!$D$31*((Graph!$D$27-Y959)/POWER((((Graph!$D$27-$Y959)^2)+((Graph!$E$27-$Z959)^2))+(Graph!$D$32^2),3/2))</f>
        <v>-134.41378124711554</v>
      </c>
      <c r="R959">
        <f>Graph!$D$31*((Graph!$E$27-Z959)/POWER((((Graph!$D$27-$Y959)^2)+((Graph!$E$27-$Z959)^2))+(Graph!$D$32^2),3/2))</f>
        <v>58.553073831791181</v>
      </c>
      <c r="S959">
        <f>Graph!$D$40*((Graph!$D$36-Y959)/POWER((((Graph!$D$36-$Y959)^2)+((Graph!$E$36-$Z959)^2))+(Graph!$D$41^2),3/2))</f>
        <v>-1261.5122813078269</v>
      </c>
      <c r="T959">
        <f>Graph!$D$40*((Graph!$E$36-Z959)/POWER((((Graph!$D$36-$Y959)^2)+((Graph!$E$36-$Z959)^2))+(Graph!$D$41^2),3/2))</f>
        <v>-1185.1505461140825</v>
      </c>
      <c r="U959">
        <f>O959+Q959+S959</f>
        <v>-914.13403240061837</v>
      </c>
      <c r="V959">
        <f>P959+R959+T959</f>
        <v>991.66156872346687</v>
      </c>
      <c r="W959">
        <f>W958+(U958*Graph!$D$5)</f>
        <v>8367.7718618822146</v>
      </c>
      <c r="X959">
        <f>X958+(V958*Graph!$D$5)</f>
        <v>4258.3405351417887</v>
      </c>
      <c r="Y959">
        <f>Y958+(W958*Graph!$D$5)+(U958*Graph!$D$5^2)</f>
        <v>11844.812720261112</v>
      </c>
      <c r="Z959">
        <f>Z958+(X958*Graph!$D$5)+(V958*Graph!$D$5^2)</f>
        <v>-3872.1762982099394</v>
      </c>
    </row>
    <row r="960" spans="14:26" x14ac:dyDescent="0.35">
      <c r="N960">
        <f>N959+1</f>
        <v>957</v>
      </c>
      <c r="O960">
        <f>Graph!$D$22*((Graph!$D$18-Y960)/POWER((((Graph!$D$18-$Y960)^2)+((Graph!$E$18-$Z960)^2))+(Graph!$D$23^2),(3/2)))</f>
        <v>-211.40301149056251</v>
      </c>
      <c r="P960" s="84">
        <f>Graph!$D$22*((Graph!$E$18-Z960)/POWER((((Graph!$D$18-$Y960)^2)+((Graph!$E$18-$Z960)^2))+(Graph!$D$23^2),3/2))</f>
        <v>3036.9940496359004</v>
      </c>
      <c r="Q960">
        <f>Graph!$D$31*((Graph!$D$27-Y960)/POWER((((Graph!$D$27-$Y960)^2)+((Graph!$E$27-$Z960)^2))+(Graph!$D$32^2),3/2))</f>
        <v>-119.39350407780708</v>
      </c>
      <c r="R960">
        <f>Graph!$D$31*((Graph!$E$27-Z960)/POWER((((Graph!$D$27-$Y960)^2)+((Graph!$E$27-$Z960)^2))+(Graph!$D$32^2),3/2))</f>
        <v>38.336112292542275</v>
      </c>
      <c r="S960">
        <f>Graph!$D$40*((Graph!$D$36-Y960)/POWER((((Graph!$D$36-$Y960)^2)+((Graph!$E$36-$Z960)^2))+(Graph!$D$41^2),3/2))</f>
        <v>-846.73269191759766</v>
      </c>
      <c r="T960">
        <f>Graph!$D$40*((Graph!$E$36-Z960)/POWER((((Graph!$D$36-$Y960)^2)+((Graph!$E$36-$Z960)^2))+(Graph!$D$41^2),3/2))</f>
        <v>-723.72966701513963</v>
      </c>
      <c r="U960">
        <f>O960+Q960+S960</f>
        <v>-1177.5292074859672</v>
      </c>
      <c r="V960">
        <f>P960+R960+T960</f>
        <v>2351.600494913303</v>
      </c>
      <c r="W960">
        <f>W959+(U959*Graph!$D$5)</f>
        <v>7910.7048456819057</v>
      </c>
      <c r="X960">
        <f>X959+(V959*Graph!$D$5)</f>
        <v>4754.1713195035218</v>
      </c>
      <c r="Y960">
        <f>Y959+(W959*Graph!$D$5)+(U959*Graph!$D$5^2)</f>
        <v>15800.165143102065</v>
      </c>
      <c r="Z960">
        <f>Z959+(X959*Graph!$D$5)+(V959*Graph!$D$5^2)</f>
        <v>-1495.0906384581783</v>
      </c>
    </row>
    <row r="961" spans="14:26" x14ac:dyDescent="0.35">
      <c r="N961">
        <f>N960+1</f>
        <v>958</v>
      </c>
      <c r="O961">
        <f>Graph!$D$22*((Graph!$D$18-Y961)/POWER((((Graph!$D$18-$Y961)^2)+((Graph!$E$18-$Z961)^2))+(Graph!$D$23^2),(3/2)))</f>
        <v>-1830.1062095386837</v>
      </c>
      <c r="P961" s="84">
        <f>Graph!$D$22*((Graph!$E$18-Z961)/POWER((((Graph!$D$18-$Y961)^2)+((Graph!$E$18-$Z961)^2))+(Graph!$D$23^2),3/2))</f>
        <v>3499.3330036049729</v>
      </c>
      <c r="Q961">
        <f>Graph!$D$31*((Graph!$D$27-Y961)/POWER((((Graph!$D$27-$Y961)^2)+((Graph!$E$27-$Z961)^2))+(Graph!$D$32^2),3/2))</f>
        <v>-106.49413043969059</v>
      </c>
      <c r="R961">
        <f>Graph!$D$31*((Graph!$E$27-Z961)/POWER((((Graph!$D$27-$Y961)^2)+((Graph!$E$27-$Z961)^2))+(Graph!$D$32^2),3/2))</f>
        <v>23.020272807948285</v>
      </c>
      <c r="S961">
        <f>Graph!$D$40*((Graph!$D$36-Y961)/POWER((((Graph!$D$36-$Y961)^2)+((Graph!$E$36-$Z961)^2))+(Graph!$D$41^2),3/2))</f>
        <v>-581.05556671903446</v>
      </c>
      <c r="T961">
        <f>Graph!$D$40*((Graph!$E$36-Z961)/POWER((((Graph!$D$36-$Y961)^2)+((Graph!$E$36-$Z961)^2))+(Graph!$D$41^2),3/2))</f>
        <v>-491.74542632985253</v>
      </c>
      <c r="U961">
        <f>O961+Q961+S961</f>
        <v>-2517.6559066974087</v>
      </c>
      <c r="V961">
        <f>P961+R961+T961</f>
        <v>3030.607850083069</v>
      </c>
      <c r="W961">
        <f>W960+(U960*Graph!$D$5)</f>
        <v>7321.9402419389226</v>
      </c>
      <c r="X961">
        <f>X960+(V960*Graph!$D$5)</f>
        <v>5929.9715669601737</v>
      </c>
      <c r="Y961">
        <f>Y960+(W960*Graph!$D$5)+(U960*Graph!$D$5^2)</f>
        <v>19461.135264071527</v>
      </c>
      <c r="Z961">
        <f>Z960+(X960*Graph!$D$5)+(V960*Graph!$D$5^2)</f>
        <v>1469.8951450219083</v>
      </c>
    </row>
    <row r="962" spans="14:26" x14ac:dyDescent="0.35">
      <c r="N962">
        <f>N961+1</f>
        <v>959</v>
      </c>
      <c r="O962">
        <f>Graph!$D$22*((Graph!$D$18-Y962)/POWER((((Graph!$D$18-$Y962)^2)+((Graph!$E$18-$Z962)^2))+(Graph!$D$23^2),(3/2)))</f>
        <v>-3685.6054999600656</v>
      </c>
      <c r="P962" s="84">
        <f>Graph!$D$22*((Graph!$E$18-Z962)/POWER((((Graph!$D$18-$Y962)^2)+((Graph!$E$18-$Z962)^2))+(Graph!$D$23^2),3/2))</f>
        <v>2364.7613723873014</v>
      </c>
      <c r="Q962">
        <f>Graph!$D$31*((Graph!$D$27-Y962)/POWER((((Graph!$D$27-$Y962)^2)+((Graph!$E$27-$Z962)^2))+(Graph!$D$32^2),3/2))</f>
        <v>-96.611680894510613</v>
      </c>
      <c r="R962">
        <f>Graph!$D$31*((Graph!$E$27-Z962)/POWER((((Graph!$D$27-$Y962)^2)+((Graph!$E$27-$Z962)^2))+(Graph!$D$32^2),3/2))</f>
        <v>10.930290900611549</v>
      </c>
      <c r="S962">
        <f>Graph!$D$40*((Graph!$D$36-Y962)/POWER((((Graph!$D$36-$Y962)^2)+((Graph!$E$36-$Z962)^2))+(Graph!$D$41^2),3/2))</f>
        <v>-409.52261687160205</v>
      </c>
      <c r="T962">
        <f>Graph!$D$40*((Graph!$E$36-Z962)/POWER((((Graph!$D$36-$Y962)^2)+((Graph!$E$36-$Z962)^2))+(Graph!$D$41^2),3/2))</f>
        <v>-367.64381641414406</v>
      </c>
      <c r="U962">
        <f>O962+Q962+S962</f>
        <v>-4191.739797726178</v>
      </c>
      <c r="V962">
        <f>P962+R962+T962</f>
        <v>2008.0478468737688</v>
      </c>
      <c r="W962">
        <f>W961+(U961*Graph!$D$5)</f>
        <v>6063.1122885902187</v>
      </c>
      <c r="X962">
        <f>X961+(V961*Graph!$D$5)</f>
        <v>7445.2754920017087</v>
      </c>
      <c r="Y962">
        <f>Y961+(W961*Graph!$D$5)+(U961*Graph!$D$5^2)</f>
        <v>22492.691408366634</v>
      </c>
      <c r="Z962">
        <f>Z961+(X961*Graph!$D$5)+(V961*Graph!$D$5^2)</f>
        <v>5192.5328910227627</v>
      </c>
    </row>
    <row r="963" spans="14:26" x14ac:dyDescent="0.35">
      <c r="N963">
        <f>N962+1</f>
        <v>960</v>
      </c>
      <c r="O963">
        <f>Graph!$D$22*((Graph!$D$18-Y963)/POWER((((Graph!$D$18-$Y963)^2)+((Graph!$E$18-$Z963)^2))+(Graph!$D$23^2),(3/2)))</f>
        <v>-4016.0366154658336</v>
      </c>
      <c r="P963" s="84">
        <f>Graph!$D$22*((Graph!$E$18-Z963)/POWER((((Graph!$D$18-$Y963)^2)+((Graph!$E$18-$Z963)^2))+(Graph!$D$23^2),3/2))</f>
        <v>246.99649764452508</v>
      </c>
      <c r="Q963">
        <f>Graph!$D$31*((Graph!$D$27-Y963)/POWER((((Graph!$D$27-$Y963)^2)+((Graph!$E$27-$Z963)^2))+(Graph!$D$32^2),3/2))</f>
        <v>-89.929525255478907</v>
      </c>
      <c r="R963">
        <f>Graph!$D$31*((Graph!$E$27-Z963)/POWER((((Graph!$D$27-$Y963)^2)+((Graph!$E$27-$Z963)^2))+(Graph!$D$32^2),3/2))</f>
        <v>1.1784360963852014</v>
      </c>
      <c r="S963">
        <f>Graph!$D$40*((Graph!$D$36-Y963)/POWER((((Graph!$D$36-$Y963)^2)+((Graph!$E$36-$Z963)^2))+(Graph!$D$41^2),3/2))</f>
        <v>-300.64275130260017</v>
      </c>
      <c r="T963">
        <f>Graph!$D$40*((Graph!$E$36-Z963)/POWER((((Graph!$D$36-$Y963)^2)+((Graph!$E$36-$Z963)^2))+(Graph!$D$41^2),3/2))</f>
        <v>-299.91645696562142</v>
      </c>
      <c r="U963">
        <f>O963+Q963+S963</f>
        <v>-4406.6088920239126</v>
      </c>
      <c r="V963">
        <f>P963+R963+T963</f>
        <v>-51.741523224711131</v>
      </c>
      <c r="W963">
        <f>W962+(U962*Graph!$D$5)</f>
        <v>3967.2423897271296</v>
      </c>
      <c r="X963">
        <f>X962+(V962*Graph!$D$5)</f>
        <v>8449.2994154385924</v>
      </c>
      <c r="Y963">
        <f>Y962+(W962*Graph!$D$5)+(U962*Graph!$D$5^2)</f>
        <v>24476.312603230199</v>
      </c>
      <c r="Z963">
        <f>Z962+(X962*Graph!$D$5)+(V962*Graph!$D$5^2)</f>
        <v>9417.1825987420598</v>
      </c>
    </row>
    <row r="964" spans="14:26" x14ac:dyDescent="0.35">
      <c r="N964">
        <f>N963+1</f>
        <v>961</v>
      </c>
      <c r="O964">
        <f>Graph!$D$22*((Graph!$D$18-Y964)/POWER((((Graph!$D$18-$Y964)^2)+((Graph!$E$18-$Z964)^2))+(Graph!$D$23^2),(3/2)))</f>
        <v>-3091.4200327202848</v>
      </c>
      <c r="P964" s="84">
        <f>Graph!$D$22*((Graph!$E$18-Z964)/POWER((((Graph!$D$18-$Y964)^2)+((Graph!$E$18-$Z964)^2))+(Graph!$D$23^2),3/2))</f>
        <v>-1083.041098209613</v>
      </c>
      <c r="Q964">
        <f>Graph!$D$31*((Graph!$D$27-Y964)/POWER((((Graph!$D$27-$Y964)^2)+((Graph!$E$27-$Z964)^2))+(Graph!$D$32^2),3/2))</f>
        <v>-85.699896210065319</v>
      </c>
      <c r="R964">
        <f>Graph!$D$31*((Graph!$E$27-Z964)/POWER((((Graph!$D$27-$Y964)^2)+((Graph!$E$27-$Z964)^2))+(Graph!$D$32^2),3/2))</f>
        <v>-6.8564345712885855</v>
      </c>
      <c r="S964">
        <f>Graph!$D$40*((Graph!$D$36-Y964)/POWER((((Graph!$D$36-$Y964)^2)+((Graph!$E$36-$Z964)^2))+(Graph!$D$41^2),3/2))</f>
        <v>-231.40065530580742</v>
      </c>
      <c r="T964">
        <f>Graph!$D$40*((Graph!$E$36-Z964)/POWER((((Graph!$D$36-$Y964)^2)+((Graph!$E$36-$Z964)^2))+(Graph!$D$41^2),3/2))</f>
        <v>-261.24583756445219</v>
      </c>
      <c r="U964">
        <f>O964+Q964+S964</f>
        <v>-3408.5205842361574</v>
      </c>
      <c r="V964">
        <f>P964+R964+T964</f>
        <v>-1351.1433703453538</v>
      </c>
      <c r="W964">
        <f>W963+(U963*Graph!$D$5)</f>
        <v>1763.9379437151733</v>
      </c>
      <c r="X964">
        <f>X963+(V963*Graph!$D$5)</f>
        <v>8423.4286538262368</v>
      </c>
      <c r="Y964">
        <f>Y963+(W963*Graph!$D$5)+(U963*Graph!$D$5^2)</f>
        <v>25358.281575087785</v>
      </c>
      <c r="Z964">
        <f>Z963+(X963*Graph!$D$5)+(V963*Graph!$D$5^2)</f>
        <v>13628.896925655179</v>
      </c>
    </row>
    <row r="965" spans="14:26" x14ac:dyDescent="0.35">
      <c r="N965">
        <f>N964+1</f>
        <v>962</v>
      </c>
      <c r="O965">
        <f>Graph!$D$22*((Graph!$D$18-Y965)/POWER((((Graph!$D$18-$Y965)^2)+((Graph!$E$18-$Z965)^2))+(Graph!$D$23^2),(3/2)))</f>
        <v>-2089.94658720811</v>
      </c>
      <c r="P965" s="84">
        <f>Graph!$D$22*((Graph!$E$18-Z965)/POWER((((Graph!$D$18-$Y965)^2)+((Graph!$E$18-$Z965)^2))+(Graph!$D$23^2),3/2))</f>
        <v>-1509.4650191647954</v>
      </c>
      <c r="Q965">
        <f>Graph!$D$31*((Graph!$D$27-Y965)/POWER((((Graph!$D$27-$Y965)^2)+((Graph!$E$27-$Z965)^2))+(Graph!$D$32^2),3/2))</f>
        <v>-83.001616568860442</v>
      </c>
      <c r="R965">
        <f>Graph!$D$31*((Graph!$E$27-Z965)/POWER((((Graph!$D$27-$Y965)^2)+((Graph!$E$27-$Z965)^2))+(Graph!$D$32^2),3/2))</f>
        <v>-13.72047646745612</v>
      </c>
      <c r="S965">
        <f>Graph!$D$40*((Graph!$D$36-Y965)/POWER((((Graph!$D$36-$Y965)^2)+((Graph!$E$36-$Z965)^2))+(Graph!$D$41^2),3/2))</f>
        <v>-185.38373981566437</v>
      </c>
      <c r="T965">
        <f>Graph!$D$40*((Graph!$E$36-Z965)/POWER((((Graph!$D$36-$Y965)^2)+((Graph!$E$36-$Z965)^2))+(Graph!$D$41^2),3/2))</f>
        <v>-237.33522741871442</v>
      </c>
      <c r="U965">
        <f>O965+Q965+S965</f>
        <v>-2358.3319435926346</v>
      </c>
      <c r="V965">
        <f>P965+R965+T965</f>
        <v>-1760.5207230509659</v>
      </c>
      <c r="W965">
        <f>W964+(U964*Graph!$D$5)</f>
        <v>59.677651597094609</v>
      </c>
      <c r="X965">
        <f>X964+(V964*Graph!$D$5)</f>
        <v>7747.8569686535602</v>
      </c>
      <c r="Y965">
        <f>Y964+(W964*Graph!$D$5)+(U964*Graph!$D$5^2)</f>
        <v>25388.120400886331</v>
      </c>
      <c r="Z965">
        <f>Z964+(X964*Graph!$D$5)+(V964*Graph!$D$5^2)</f>
        <v>17502.825409981961</v>
      </c>
    </row>
    <row r="966" spans="14:26" x14ac:dyDescent="0.35">
      <c r="N966">
        <f>N965+1</f>
        <v>963</v>
      </c>
      <c r="O966">
        <f>Graph!$D$22*((Graph!$D$18-Y966)/POWER((((Graph!$D$18-$Y966)^2)+((Graph!$E$18-$Z966)^2))+(Graph!$D$23^2),(3/2)))</f>
        <v>-1373.7139139603978</v>
      </c>
      <c r="P966" s="84">
        <f>Graph!$D$22*((Graph!$E$18-Z966)/POWER((((Graph!$D$18-$Y966)^2)+((Graph!$E$18-$Z966)^2))+(Graph!$D$23^2),3/2))</f>
        <v>-1528.6138624506696</v>
      </c>
      <c r="Q966">
        <f>Graph!$D$31*((Graph!$D$27-Y966)/POWER((((Graph!$D$27-$Y966)^2)+((Graph!$E$27-$Z966)^2))+(Graph!$D$32^2),3/2))</f>
        <v>-81.243000667889632</v>
      </c>
      <c r="R966">
        <f>Graph!$D$31*((Graph!$E$27-Z966)/POWER((((Graph!$D$27-$Y966)^2)+((Graph!$E$27-$Z966)^2))+(Graph!$D$32^2),3/2))</f>
        <v>-19.82057353341429</v>
      </c>
      <c r="S966">
        <f>Graph!$D$40*((Graph!$D$36-Y966)/POWER((((Graph!$D$36-$Y966)^2)+((Graph!$E$36-$Z966)^2))+(Graph!$D$41^2),3/2))</f>
        <v>-152.98065081536845</v>
      </c>
      <c r="T966">
        <f>Graph!$D$40*((Graph!$E$36-Z966)/POWER((((Graph!$D$36-$Y966)^2)+((Graph!$E$36-$Z966)^2))+(Graph!$D$41^2),3/2))</f>
        <v>-221.42439080547263</v>
      </c>
      <c r="U966">
        <f>O966+Q966+S966</f>
        <v>-1607.9375654436558</v>
      </c>
      <c r="V966">
        <f>P966+R966+T966</f>
        <v>-1769.8588267895566</v>
      </c>
      <c r="W966">
        <f>W965+(U965*Graph!$D$5)</f>
        <v>-1119.4883201992227</v>
      </c>
      <c r="X966">
        <f>X965+(V965*Graph!$D$5)</f>
        <v>6867.5966071280773</v>
      </c>
      <c r="Y966">
        <f>Y965+(W965*Graph!$D$5)+(U965*Graph!$D$5^2)</f>
        <v>24828.376240786718</v>
      </c>
      <c r="Z966">
        <f>Z965+(X965*Graph!$D$5)+(V965*Graph!$D$5^2)</f>
        <v>20936.623713546</v>
      </c>
    </row>
    <row r="967" spans="14:26" x14ac:dyDescent="0.35">
      <c r="N967">
        <f>N966+1</f>
        <v>964</v>
      </c>
      <c r="O967">
        <f>Graph!$D$22*((Graph!$D$18-Y967)/POWER((((Graph!$D$18-$Y967)^2)+((Graph!$E$18-$Z967)^2))+(Graph!$D$23^2),(3/2)))</f>
        <v>-904.26721414261954</v>
      </c>
      <c r="P967" s="84">
        <f>Graph!$D$22*((Graph!$E$18-Z967)/POWER((((Graph!$D$18-$Y967)^2)+((Graph!$E$18-$Z967)^2))+(Graph!$D$23^2),3/2))</f>
        <v>-1420.4461028654321</v>
      </c>
      <c r="Q967">
        <f>Graph!$D$31*((Graph!$D$27-Y967)/POWER((((Graph!$D$27-$Y967)^2)+((Graph!$E$27-$Z967)^2))+(Graph!$D$32^2),3/2))</f>
        <v>-80.112176171968287</v>
      </c>
      <c r="R967">
        <f>Graph!$D$31*((Graph!$E$27-Z967)/POWER((((Graph!$D$27-$Y967)^2)+((Graph!$E$27-$Z967)^2))+(Graph!$D$32^2),3/2))</f>
        <v>-25.436157731262707</v>
      </c>
      <c r="S967">
        <f>Graph!$D$40*((Graph!$D$36-Y967)/POWER((((Graph!$D$36-$Y967)^2)+((Graph!$E$36-$Z967)^2))+(Graph!$D$41^2),3/2))</f>
        <v>-128.93342458519064</v>
      </c>
      <c r="T967">
        <f>Graph!$D$40*((Graph!$E$36-Z967)/POWER((((Graph!$D$36-$Y967)^2)+((Graph!$E$36-$Z967)^2))+(Graph!$D$41^2),3/2))</f>
        <v>-210.29827537875343</v>
      </c>
      <c r="U967">
        <f>O967+Q967+S967</f>
        <v>-1113.3128148997785</v>
      </c>
      <c r="V967">
        <f>P967+R967+T967</f>
        <v>-1656.1805359754483</v>
      </c>
      <c r="W967">
        <f>W966+(U966*Graph!$D$5)</f>
        <v>-1923.4571029210506</v>
      </c>
      <c r="X967">
        <f>X966+(V966*Graph!$D$5)</f>
        <v>5982.6671937332994</v>
      </c>
      <c r="Y967">
        <f>Y966+(W966*Graph!$D$5)+(U966*Graph!$D$5^2)</f>
        <v>23866.647689326193</v>
      </c>
      <c r="Z967">
        <f>Z966+(X966*Graph!$D$5)+(V966*Graph!$D$5^2)</f>
        <v>23927.95731041265</v>
      </c>
    </row>
    <row r="968" spans="14:26" x14ac:dyDescent="0.35">
      <c r="N968">
        <f>N967+1</f>
        <v>965</v>
      </c>
      <c r="O968">
        <f>Graph!$D$22*((Graph!$D$18-Y968)/POWER((((Graph!$D$18-$Y968)^2)+((Graph!$E$18-$Z968)^2))+(Graph!$D$23^2),(3/2)))</f>
        <v>-595.53649482922026</v>
      </c>
      <c r="P968" s="84">
        <f>Graph!$D$22*((Graph!$E$18-Z968)/POWER((((Graph!$D$18-$Y968)^2)+((Graph!$E$18-$Z968)^2))+(Graph!$D$23^2),3/2))</f>
        <v>-1288.8427213416137</v>
      </c>
      <c r="Q968">
        <f>Graph!$D$31*((Graph!$D$27-Y968)/POWER((((Graph!$D$27-$Y968)^2)+((Graph!$E$27-$Z968)^2))+(Graph!$D$32^2),3/2))</f>
        <v>-79.454307263694261</v>
      </c>
      <c r="R968">
        <f>Graph!$D$31*((Graph!$E$27-Z968)/POWER((((Graph!$D$27-$Y968)^2)+((Graph!$E$27-$Z968)^2))+(Graph!$D$32^2),3/2))</f>
        <v>-30.765136042888859</v>
      </c>
      <c r="S968">
        <f>Graph!$D$40*((Graph!$D$36-Y968)/POWER((((Graph!$D$36-$Y968)^2)+((Graph!$E$36-$Z968)^2))+(Graph!$D$41^2),3/2))</f>
        <v>-110.29518351118097</v>
      </c>
      <c r="T968">
        <f>Graph!$D$40*((Graph!$E$36-Z968)/POWER((((Graph!$D$36-$Y968)^2)+((Graph!$E$36-$Z968)^2))+(Graph!$D$41^2),3/2))</f>
        <v>-202.32074343704198</v>
      </c>
      <c r="U968">
        <f>O968+Q968+S968</f>
        <v>-785.28598560409546</v>
      </c>
      <c r="V968">
        <f>P968+R968+T968</f>
        <v>-1521.9286008215445</v>
      </c>
      <c r="W968">
        <f>W967+(U967*Graph!$D$5)</f>
        <v>-2480.1135103709398</v>
      </c>
      <c r="X968">
        <f>X967+(V967*Graph!$D$5)</f>
        <v>5154.576925745575</v>
      </c>
      <c r="Y968">
        <f>Y967+(W967*Graph!$D$5)+(U967*Graph!$D$5^2)</f>
        <v>22626.590934140724</v>
      </c>
      <c r="Z968">
        <f>Z967+(X967*Graph!$D$5)+(V967*Graph!$D$5^2)</f>
        <v>26505.245773285438</v>
      </c>
    </row>
    <row r="969" spans="14:26" x14ac:dyDescent="0.35">
      <c r="N969">
        <f>N968+1</f>
        <v>966</v>
      </c>
      <c r="O969">
        <f>Graph!$D$22*((Graph!$D$18-Y969)/POWER((((Graph!$D$18-$Y969)^2)+((Graph!$E$18-$Z969)^2))+(Graph!$D$23^2),(3/2)))</f>
        <v>-386.05065182686252</v>
      </c>
      <c r="P969" s="84">
        <f>Graph!$D$22*((Graph!$E$18-Z969)/POWER((((Graph!$D$18-$Y969)^2)+((Graph!$E$18-$Z969)^2))+(Graph!$D$23^2),3/2))</f>
        <v>-1166.3475503240552</v>
      </c>
      <c r="Q969">
        <f>Graph!$D$31*((Graph!$D$27-Y969)/POWER((((Graph!$D$27-$Y969)^2)+((Graph!$E$27-$Z969)^2))+(Graph!$D$32^2),3/2))</f>
        <v>-79.197757348170853</v>
      </c>
      <c r="R969">
        <f>Graph!$D$31*((Graph!$E$27-Z969)/POWER((((Graph!$D$27-$Y969)^2)+((Graph!$E$27-$Z969)^2))+(Graph!$D$32^2),3/2))</f>
        <v>-35.959041882866465</v>
      </c>
      <c r="S969">
        <f>Graph!$D$40*((Graph!$D$36-Y969)/POWER((((Graph!$D$36-$Y969)^2)+((Graph!$E$36-$Z969)^2))+(Graph!$D$41^2),3/2))</f>
        <v>-95.324250373689338</v>
      </c>
      <c r="T969">
        <f>Graph!$D$40*((Graph!$E$36-Z969)/POWER((((Graph!$D$36-$Y969)^2)+((Graph!$E$36-$Z969)^2))+(Graph!$D$41^2),3/2))</f>
        <v>-196.59384345467711</v>
      </c>
      <c r="U969">
        <f>O969+Q969+S969</f>
        <v>-560.57265954872275</v>
      </c>
      <c r="V969">
        <f>P969+R969+T969</f>
        <v>-1398.9004356615987</v>
      </c>
      <c r="W969">
        <f>W968+(U968*Graph!$D$5)</f>
        <v>-2872.7565031729873</v>
      </c>
      <c r="X969">
        <f>X968+(V968*Graph!$D$5)</f>
        <v>4393.6126253348029</v>
      </c>
      <c r="Y969">
        <f>Y968+(W968*Graph!$D$5)+(U968*Graph!$D$5^2)</f>
        <v>21190.212682554233</v>
      </c>
      <c r="Z969">
        <f>Z968+(X968*Graph!$D$5)+(V968*Graph!$D$5^2)</f>
        <v>28702.052085952841</v>
      </c>
    </row>
    <row r="970" spans="14:26" x14ac:dyDescent="0.35">
      <c r="N970">
        <f>N969+1</f>
        <v>967</v>
      </c>
      <c r="O970">
        <f>Graph!$D$22*((Graph!$D$18-Y970)/POWER((((Graph!$D$18-$Y970)^2)+((Graph!$E$18-$Z970)^2))+(Graph!$D$23^2),(3/2)))</f>
        <v>-238.18205133341772</v>
      </c>
      <c r="P970" s="84">
        <f>Graph!$D$22*((Graph!$E$18-Z970)/POWER((((Graph!$D$18-$Y970)^2)+((Graph!$E$18-$Z970)^2))+(Graph!$D$23^2),3/2))</f>
        <v>-1060.8500737899749</v>
      </c>
      <c r="Q970">
        <f>Graph!$D$31*((Graph!$D$27-Y970)/POWER((((Graph!$D$27-$Y970)^2)+((Graph!$E$27-$Z970)^2))+(Graph!$D$32^2),3/2))</f>
        <v>-79.317504300146283</v>
      </c>
      <c r="R970">
        <f>Graph!$D$31*((Graph!$E$27-Z970)/POWER((((Graph!$D$27-$Y970)^2)+((Graph!$E$27-$Z970)^2))+(Graph!$D$32^2),3/2))</f>
        <v>-41.145016179445491</v>
      </c>
      <c r="S970">
        <f>Graph!$D$40*((Graph!$D$36-Y970)/POWER((((Graph!$D$36-$Y970)^2)+((Graph!$E$36-$Z970)^2))+(Graph!$D$41^2),3/2))</f>
        <v>-82.93165259782549</v>
      </c>
      <c r="T970">
        <f>Graph!$D$40*((Graph!$E$36-Z970)/POWER((((Graph!$D$36-$Y970)^2)+((Graph!$E$36-$Z970)^2))+(Graph!$D$41^2),3/2))</f>
        <v>-192.59326798145878</v>
      </c>
      <c r="U970">
        <f>O970+Q970+S970</f>
        <v>-400.43120823138952</v>
      </c>
      <c r="V970">
        <f>P970+R970+T970</f>
        <v>-1294.5883579508791</v>
      </c>
      <c r="W970">
        <f>W969+(U969*Graph!$D$5)</f>
        <v>-3153.0428329473489</v>
      </c>
      <c r="X970">
        <f>X969+(V969*Graph!$D$5)</f>
        <v>3694.1624075040036</v>
      </c>
      <c r="Y970">
        <f>Y969+(W969*Graph!$D$5)+(U969*Graph!$D$5^2)</f>
        <v>19613.691266080557</v>
      </c>
      <c r="Z970">
        <f>Z969+(X969*Graph!$D$5)+(V969*Graph!$D$5^2)</f>
        <v>30549.133289704841</v>
      </c>
    </row>
    <row r="971" spans="14:26" x14ac:dyDescent="0.35">
      <c r="N971">
        <f>N970+1</f>
        <v>968</v>
      </c>
      <c r="O971">
        <f>Graph!$D$22*((Graph!$D$18-Y971)/POWER((((Graph!$D$18-$Y971)^2)+((Graph!$E$18-$Z971)^2))+(Graph!$D$23^2),(3/2)))</f>
        <v>-129.38220658681823</v>
      </c>
      <c r="P971" s="84">
        <f>Graph!$D$22*((Graph!$E$18-Z971)/POWER((((Graph!$D$18-$Y971)^2)+((Graph!$E$18-$Z971)^2))+(Graph!$D$23^2),3/2))</f>
        <v>-972.33133979752051</v>
      </c>
      <c r="Q971">
        <f>Graph!$D$31*((Graph!$D$27-Y971)/POWER((((Graph!$D$27-$Y971)^2)+((Graph!$E$27-$Z971)^2))+(Graph!$D$32^2),3/2))</f>
        <v>-79.818023472622912</v>
      </c>
      <c r="R971">
        <f>Graph!$D$31*((Graph!$E$27-Z971)/POWER((((Graph!$D$27-$Y971)^2)+((Graph!$E$27-$Z971)^2))+(Graph!$D$32^2),3/2))</f>
        <v>-46.439777042905753</v>
      </c>
      <c r="S971">
        <f>Graph!$D$40*((Graph!$D$36-Y971)/POWER((((Graph!$D$36-$Y971)^2)+((Graph!$E$36-$Z971)^2))+(Graph!$D$41^2),3/2))</f>
        <v>-72.399847117833104</v>
      </c>
      <c r="T971">
        <f>Graph!$D$40*((Graph!$E$36-Z971)/POWER((((Graph!$D$36-$Y971)^2)+((Graph!$E$36-$Z971)^2))+(Graph!$D$41^2),3/2))</f>
        <v>-190.00027286837323</v>
      </c>
      <c r="U971">
        <f>O971+Q971+S971</f>
        <v>-281.60007717727422</v>
      </c>
      <c r="V971">
        <f>P971+R971+T971</f>
        <v>-1208.7713897087995</v>
      </c>
      <c r="W971">
        <f>W970+(U970*Graph!$D$5)</f>
        <v>-3353.2584370630439</v>
      </c>
      <c r="X971">
        <f>X970+(V970*Graph!$D$5)</f>
        <v>3046.868228528564</v>
      </c>
      <c r="Y971">
        <f>Y970+(W970*Graph!$D$5)+(U970*Graph!$D$5^2)</f>
        <v>17937.062047549036</v>
      </c>
      <c r="Z971">
        <f>Z970+(X970*Graph!$D$5)+(V970*Graph!$D$5^2)</f>
        <v>32072.567403969122</v>
      </c>
    </row>
    <row r="972" spans="14:26" x14ac:dyDescent="0.35">
      <c r="N972">
        <f>N971+1</f>
        <v>969</v>
      </c>
      <c r="O972">
        <f>Graph!$D$22*((Graph!$D$18-Y972)/POWER((((Graph!$D$18-$Y972)^2)+((Graph!$E$18-$Z972)^2))+(Graph!$D$23^2),(3/2)))</f>
        <v>-45.905940896463456</v>
      </c>
      <c r="P972" s="84">
        <f>Graph!$D$22*((Graph!$E$18-Z972)/POWER((((Graph!$D$18-$Y972)^2)+((Graph!$E$18-$Z972)^2))+(Graph!$D$23^2),3/2))</f>
        <v>-898.56699358086144</v>
      </c>
      <c r="Q972">
        <f>Graph!$D$31*((Graph!$D$27-Y972)/POWER((((Graph!$D$27-$Y972)^2)+((Graph!$E$27-$Z972)^2))+(Graph!$D$32^2),3/2))</f>
        <v>-80.726046109410717</v>
      </c>
      <c r="R972">
        <f>Graph!$D$31*((Graph!$E$27-Z972)/POWER((((Graph!$D$27-$Y972)^2)+((Graph!$E$27-$Z972)^2))+(Graph!$D$32^2),3/2))</f>
        <v>-51.959529374012611</v>
      </c>
      <c r="S972">
        <f>Graph!$D$40*((Graph!$D$36-Y972)/POWER((((Graph!$D$36-$Y972)^2)+((Graph!$E$36-$Z972)^2))+(Graph!$D$41^2),3/2))</f>
        <v>-63.232645017286139</v>
      </c>
      <c r="T972">
        <f>Graph!$D$40*((Graph!$E$36-Z972)/POWER((((Graph!$D$36-$Y972)^2)+((Graph!$E$36-$Z972)^2))+(Graph!$D$41^2),3/2))</f>
        <v>-188.61884321691096</v>
      </c>
      <c r="U972">
        <f>O972+Q972+S972</f>
        <v>-189.86463202316031</v>
      </c>
      <c r="V972">
        <f>P972+R972+T972</f>
        <v>-1139.1453661717851</v>
      </c>
      <c r="W972">
        <f>W971+(U971*Graph!$D$5)</f>
        <v>-3494.058475651681</v>
      </c>
      <c r="X972">
        <f>X971+(V971*Graph!$D$5)</f>
        <v>2442.4825336741642</v>
      </c>
      <c r="Y972">
        <f>Y971+(W971*Graph!$D$5)+(U971*Graph!$D$5^2)</f>
        <v>16190.032809723196</v>
      </c>
      <c r="Z972">
        <f>Z971+(X971*Graph!$D$5)+(V971*Graph!$D$5^2)</f>
        <v>33293.808670806204</v>
      </c>
    </row>
    <row r="973" spans="14:26" x14ac:dyDescent="0.35">
      <c r="N973">
        <f>N972+1</f>
        <v>970</v>
      </c>
      <c r="O973">
        <f>Graph!$D$22*((Graph!$D$18-Y973)/POWER((((Graph!$D$18-$Y973)^2)+((Graph!$E$18-$Z973)^2))+(Graph!$D$23^2),(3/2)))</f>
        <v>20.880442598085661</v>
      </c>
      <c r="P973" s="84">
        <f>Graph!$D$22*((Graph!$E$18-Z973)/POWER((((Graph!$D$18-$Y973)^2)+((Graph!$E$18-$Z973)^2))+(Graph!$D$23^2),3/2))</f>
        <v>-837.0056969317485</v>
      </c>
      <c r="Q973">
        <f>Graph!$D$31*((Graph!$D$27-Y973)/POWER((((Graph!$D$27-$Y973)^2)+((Graph!$E$27-$Z973)^2))+(Graph!$D$32^2),3/2))</f>
        <v>-82.088801236493921</v>
      </c>
      <c r="R973">
        <f>Graph!$D$31*((Graph!$E$27-Z973)/POWER((((Graph!$D$27-$Y973)^2)+((Graph!$E$27-$Z973)^2))+(Graph!$D$32^2),3/2))</f>
        <v>-57.82823708533801</v>
      </c>
      <c r="S973">
        <f>Graph!$D$40*((Graph!$D$36-Y973)/POWER((((Graph!$D$36-$Y973)^2)+((Graph!$E$36-$Z973)^2))+(Graph!$D$41^2),3/2))</f>
        <v>-55.070764380353211</v>
      </c>
      <c r="T973">
        <f>Graph!$D$40*((Graph!$E$36-Z973)/POWER((((Graph!$D$36-$Y973)^2)+((Graph!$E$36-$Z973)^2))+(Graph!$D$41^2),3/2))</f>
        <v>-188.33254840957088</v>
      </c>
      <c r="U973">
        <f>O973+Q973+S973</f>
        <v>-116.27912301876147</v>
      </c>
      <c r="V973">
        <f>P973+R973+T973</f>
        <v>-1083.1664824266575</v>
      </c>
      <c r="W973">
        <f>W972+(U972*Graph!$D$5)</f>
        <v>-3588.990791663261</v>
      </c>
      <c r="X973">
        <f>X972+(V972*Graph!$D$5)</f>
        <v>1872.9098505882716</v>
      </c>
      <c r="Y973">
        <f>Y972+(W972*Graph!$D$5)+(U972*Graph!$D$5^2)</f>
        <v>14395.537413891565</v>
      </c>
      <c r="Z973">
        <f>Z972+(X972*Graph!$D$5)+(V972*Graph!$D$5^2)</f>
        <v>34230.26359610034</v>
      </c>
    </row>
    <row r="974" spans="14:26" x14ac:dyDescent="0.35">
      <c r="N974">
        <f>N973+1</f>
        <v>971</v>
      </c>
      <c r="O974">
        <f>Graph!$D$22*((Graph!$D$18-Y974)/POWER((((Graph!$D$18-$Y974)^2)+((Graph!$E$18-$Z974)^2))+(Graph!$D$23^2),(3/2)))</f>
        <v>76.591145089862039</v>
      </c>
      <c r="P974" s="84">
        <f>Graph!$D$22*((Graph!$E$18-Z974)/POWER((((Graph!$D$18-$Y974)^2)+((Graph!$E$18-$Z974)^2))+(Graph!$D$23^2),3/2))</f>
        <v>-785.33185604457833</v>
      </c>
      <c r="Q974">
        <f>Graph!$D$31*((Graph!$D$27-Y974)/POWER((((Graph!$D$27-$Y974)^2)+((Graph!$E$27-$Z974)^2))+(Graph!$D$32^2),3/2))</f>
        <v>-83.975963750996939</v>
      </c>
      <c r="R974">
        <f>Graph!$D$31*((Graph!$E$27-Z974)/POWER((((Graph!$D$27-$Y974)^2)+((Graph!$E$27-$Z974)^2))+(Graph!$D$32^2),3/2))</f>
        <v>-64.185841733389381</v>
      </c>
      <c r="S974">
        <f>Graph!$D$40*((Graph!$D$36-Y974)/POWER((((Graph!$D$36-$Y974)^2)+((Graph!$E$36-$Z974)^2))+(Graph!$D$41^2),3/2))</f>
        <v>-47.641667140627234</v>
      </c>
      <c r="T974">
        <f>Graph!$D$40*((Graph!$E$36-Z974)/POWER((((Graph!$D$36-$Y974)^2)+((Graph!$E$36-$Z974)^2))+(Graph!$D$41^2),3/2))</f>
        <v>-189.08132281955542</v>
      </c>
      <c r="U974">
        <f>O974+Q974+S974</f>
        <v>-55.026485801762135</v>
      </c>
      <c r="V974">
        <f>P974+R974+T974</f>
        <v>-1038.5990205975231</v>
      </c>
      <c r="W974">
        <f>W973+(U973*Graph!$D$5)</f>
        <v>-3647.1303531726417</v>
      </c>
      <c r="X974">
        <f>X973+(V973*Graph!$D$5)</f>
        <v>1331.326609374943</v>
      </c>
      <c r="Y974">
        <f>Y973+(W973*Graph!$D$5)+(U973*Graph!$D$5^2)</f>
        <v>12571.972237305243</v>
      </c>
      <c r="Z974">
        <f>Z973+(X973*Graph!$D$5)+(V973*Graph!$D$5^2)</f>
        <v>34895.92690078781</v>
      </c>
    </row>
    <row r="975" spans="14:26" x14ac:dyDescent="0.35">
      <c r="N975">
        <f>N974+1</f>
        <v>972</v>
      </c>
      <c r="O975">
        <f>Graph!$D$22*((Graph!$D$18-Y975)/POWER((((Graph!$D$18-$Y975)^2)+((Graph!$E$18-$Z975)^2))+(Graph!$D$23^2),(3/2)))</f>
        <v>125.01396292319737</v>
      </c>
      <c r="P975" s="84">
        <f>Graph!$D$22*((Graph!$E$18-Z975)/POWER((((Graph!$D$18-$Y975)^2)+((Graph!$E$18-$Z975)^2))+(Graph!$D$23^2),3/2))</f>
        <v>-741.57951190277379</v>
      </c>
      <c r="Q975">
        <f>Graph!$D$31*((Graph!$D$27-Y975)/POWER((((Graph!$D$27-$Y975)^2)+((Graph!$E$27-$Z975)^2))+(Graph!$D$32^2),3/2))</f>
        <v>-86.484927300718027</v>
      </c>
      <c r="R975">
        <f>Graph!$D$31*((Graph!$E$27-Z975)/POWER((((Graph!$D$27-$Y975)^2)+((Graph!$E$27-$Z975)^2))+(Graph!$D$32^2),3/2))</f>
        <v>-71.197701914244206</v>
      </c>
      <c r="S975">
        <f>Graph!$D$40*((Graph!$D$36-Y975)/POWER((((Graph!$D$36-$Y975)^2)+((Graph!$E$36-$Z975)^2))+(Graph!$D$41^2),3/2))</f>
        <v>-40.728018471599427</v>
      </c>
      <c r="T975">
        <f>Graph!$D$40*((Graph!$E$36-Z975)/POWER((((Graph!$D$36-$Y975)^2)+((Graph!$E$36-$Z975)^2))+(Graph!$D$41^2),3/2))</f>
        <v>-190.84909857183737</v>
      </c>
      <c r="U975">
        <f>O975+Q975+S975</f>
        <v>-2.1989828491200853</v>
      </c>
      <c r="V975">
        <f>P975+R975+T975</f>
        <v>-1003.6263123888555</v>
      </c>
      <c r="W975">
        <f>W974+(U974*Graph!$D$5)</f>
        <v>-3674.6435960735225</v>
      </c>
      <c r="X975">
        <f>X974+(V974*Graph!$D$5)</f>
        <v>812.02709907618146</v>
      </c>
      <c r="Y975">
        <f>Y974+(W974*Graph!$D$5)+(U974*Graph!$D$5^2)</f>
        <v>10734.650439268482</v>
      </c>
      <c r="Z975">
        <f>Z974+(X974*Graph!$D$5)+(V974*Graph!$D$5^2)</f>
        <v>35301.940450325899</v>
      </c>
    </row>
    <row r="976" spans="14:26" x14ac:dyDescent="0.35">
      <c r="N976">
        <f>N975+1</f>
        <v>973</v>
      </c>
      <c r="O976">
        <f>Graph!$D$22*((Graph!$D$18-Y976)/POWER((((Graph!$D$18-$Y976)^2)+((Graph!$E$18-$Z976)^2))+(Graph!$D$23^2),(3/2)))</f>
        <v>168.80500095008719</v>
      </c>
      <c r="P976" s="84">
        <f>Graph!$D$22*((Graph!$E$18-Z976)/POWER((((Graph!$D$18-$Y976)^2)+((Graph!$E$18-$Z976)^2))+(Graph!$D$23^2),3/2))</f>
        <v>-704.09982542873865</v>
      </c>
      <c r="Q976">
        <f>Graph!$D$31*((Graph!$D$27-Y976)/POWER((((Graph!$D$27-$Y976)^2)+((Graph!$E$27-$Z976)^2))+(Graph!$D$32^2),3/2))</f>
        <v>-89.749985788649525</v>
      </c>
      <c r="R976">
        <f>Graph!$D$31*((Graph!$E$27-Z976)/POWER((((Graph!$D$27-$Y976)^2)+((Graph!$E$27-$Z976)^2))+(Graph!$D$32^2),3/2))</f>
        <v>-79.066585676745007</v>
      </c>
      <c r="S976">
        <f>Graph!$D$40*((Graph!$D$36-Y976)/POWER((((Graph!$D$36-$Y976)^2)+((Graph!$E$36-$Z976)^2))+(Graph!$D$41^2),3/2))</f>
        <v>-34.146508901487216</v>
      </c>
      <c r="T976">
        <f>Graph!$D$40*((Graph!$E$36-Z976)/POWER((((Graph!$D$36-$Y976)^2)+((Graph!$E$36-$Z976)^2))+(Graph!$D$41^2),3/2))</f>
        <v>-193.65795634168424</v>
      </c>
      <c r="U976">
        <f>O976+Q976+S976</f>
        <v>44.90850625995045</v>
      </c>
      <c r="V976">
        <f>P976+R976+T976</f>
        <v>-976.8243674471679</v>
      </c>
      <c r="W976">
        <f>W975+(U975*Graph!$D$5)</f>
        <v>-3675.7430874980828</v>
      </c>
      <c r="X976">
        <f>X975+(V975*Graph!$D$5)</f>
        <v>310.21394288175372</v>
      </c>
      <c r="Y976">
        <f>Y975+(W975*Graph!$D$5)+(U975*Graph!$D$5^2)</f>
        <v>8896.778895519441</v>
      </c>
      <c r="Z976">
        <f>Z975+(X975*Graph!$D$5)+(V975*Graph!$D$5^2)</f>
        <v>35457.047421766772</v>
      </c>
    </row>
    <row r="977" spans="14:26" x14ac:dyDescent="0.35">
      <c r="N977">
        <f>N976+1</f>
        <v>974</v>
      </c>
      <c r="O977">
        <f>Graph!$D$22*((Graph!$D$18-Y977)/POWER((((Graph!$D$18-$Y977)^2)+((Graph!$E$18-$Z977)^2))+(Graph!$D$23^2),(3/2)))</f>
        <v>209.90275781227118</v>
      </c>
      <c r="P977" s="84">
        <f>Graph!$D$22*((Graph!$E$18-Z977)/POWER((((Graph!$D$18-$Y977)^2)+((Graph!$E$18-$Z977)^2))+(Graph!$D$23^2),3/2))</f>
        <v>-671.48708814091594</v>
      </c>
      <c r="Q977">
        <f>Graph!$D$31*((Graph!$D$27-Y977)/POWER((((Graph!$D$27-$Y977)^2)+((Graph!$E$27-$Z977)^2))+(Graph!$D$32^2),3/2))</f>
        <v>-93.957002117564457</v>
      </c>
      <c r="R977">
        <f>Graph!$D$31*((Graph!$E$27-Z977)/POWER((((Graph!$D$27-$Y977)^2)+((Graph!$E$27-$Z977)^2))+(Graph!$D$32^2),3/2))</f>
        <v>-88.048929870494902</v>
      </c>
      <c r="S977">
        <f>Graph!$D$40*((Graph!$D$36-Y977)/POWER((((Graph!$D$36-$Y977)^2)+((Graph!$E$36-$Z977)^2))+(Graph!$D$41^2),3/2))</f>
        <v>-27.73238586233558</v>
      </c>
      <c r="T977">
        <f>Graph!$D$40*((Graph!$E$36-Z977)/POWER((((Graph!$D$36-$Y977)^2)+((Graph!$E$36-$Z977)^2))+(Graph!$D$41^2),3/2))</f>
        <v>-197.56673393798943</v>
      </c>
      <c r="U977">
        <f>O977+Q977+S977</f>
        <v>88.213369832371143</v>
      </c>
      <c r="V977">
        <f>P977+R977+T977</f>
        <v>-957.10275194940027</v>
      </c>
      <c r="W977">
        <f>W976+(U976*Graph!$D$5)</f>
        <v>-3653.2888343681075</v>
      </c>
      <c r="X977">
        <f>X976+(V976*Graph!$D$5)</f>
        <v>-178.19824084183023</v>
      </c>
      <c r="Y977">
        <f>Y976+(W976*Graph!$D$5)+(U976*Graph!$D$5^2)</f>
        <v>7070.1344783353879</v>
      </c>
      <c r="Z977">
        <f>Z976+(X976*Graph!$D$5)+(V976*Graph!$D$5^2)</f>
        <v>35367.948301345859</v>
      </c>
    </row>
    <row r="978" spans="14:26" x14ac:dyDescent="0.35">
      <c r="N978">
        <f>N977+1</f>
        <v>975</v>
      </c>
      <c r="O978">
        <f>Graph!$D$22*((Graph!$D$18-Y978)/POWER((((Graph!$D$18-$Y978)^2)+((Graph!$E$18-$Z978)^2))+(Graph!$D$23^2),(3/2)))</f>
        <v>249.77922380899884</v>
      </c>
      <c r="P978" s="84">
        <f>Graph!$D$22*((Graph!$E$18-Z978)/POWER((((Graph!$D$18-$Y978)^2)+((Graph!$E$18-$Z978)^2))+(Graph!$D$23^2),3/2))</f>
        <v>-642.49762373930378</v>
      </c>
      <c r="Q978">
        <f>Graph!$D$31*((Graph!$D$27-Y978)/POWER((((Graph!$D$27-$Y978)^2)+((Graph!$E$27-$Z978)^2))+(Graph!$D$32^2),3/2))</f>
        <v>-99.366567398081187</v>
      </c>
      <c r="R978">
        <f>Graph!$D$31*((Graph!$E$27-Z978)/POWER((((Graph!$D$27-$Y978)^2)+((Graph!$E$27-$Z978)^2))+(Graph!$D$32^2),3/2))</f>
        <v>-98.477852914485211</v>
      </c>
      <c r="S978">
        <f>Graph!$D$40*((Graph!$D$36-Y978)/POWER((((Graph!$D$36-$Y978)^2)+((Graph!$E$36-$Z978)^2))+(Graph!$D$41^2),3/2))</f>
        <v>-21.326815856168839</v>
      </c>
      <c r="T978">
        <f>Graph!$D$40*((Graph!$E$36-Z978)/POWER((((Graph!$D$36-$Y978)^2)+((Graph!$E$36-$Z978)^2))+(Graph!$D$41^2),3/2))</f>
        <v>-202.67324521028033</v>
      </c>
      <c r="U978">
        <f>O978+Q978+S978</f>
        <v>129.08584055474878</v>
      </c>
      <c r="V978">
        <f>P978+R978+T978</f>
        <v>-943.64872186406933</v>
      </c>
      <c r="W978">
        <f>W977+(U977*Graph!$D$5)</f>
        <v>-3609.1821494519218</v>
      </c>
      <c r="X978">
        <f>X977+(V977*Graph!$D$5)</f>
        <v>-656.74961681653031</v>
      </c>
      <c r="Y978">
        <f>Y977+(W977*Graph!$D$5)+(U977*Graph!$D$5^2)</f>
        <v>5265.5434036094266</v>
      </c>
      <c r="Z978">
        <f>Z977+(X977*Graph!$D$5)+(V977*Graph!$D$5^2)</f>
        <v>35039.573492937598</v>
      </c>
    </row>
    <row r="979" spans="14:26" x14ac:dyDescent="0.35">
      <c r="N979">
        <f>N978+1</f>
        <v>976</v>
      </c>
      <c r="O979">
        <f>Graph!$D$22*((Graph!$D$18-Y979)/POWER((((Graph!$D$18-$Y979)^2)+((Graph!$E$18-$Z979)^2))+(Graph!$D$23^2),(3/2)))</f>
        <v>289.59148111278199</v>
      </c>
      <c r="P979" s="84">
        <f>Graph!$D$22*((Graph!$E$18-Z979)/POWER((((Graph!$D$18-$Y979)^2)+((Graph!$E$18-$Z979)^2))+(Graph!$D$23^2),3/2))</f>
        <v>-615.97048029919551</v>
      </c>
      <c r="Q979">
        <f>Graph!$D$31*((Graph!$D$27-Y979)/POWER((((Graph!$D$27-$Y979)^2)+((Graph!$E$27-$Z979)^2))+(Graph!$D$32^2),3/2))</f>
        <v>-106.35107580369811</v>
      </c>
      <c r="R979">
        <f>Graph!$D$31*((Graph!$E$27-Z979)/POWER((((Graph!$D$27-$Y979)^2)+((Graph!$E$27-$Z979)^2))+(Graph!$D$32^2),3/2))</f>
        <v>-110.79675883082412</v>
      </c>
      <c r="S979">
        <f>Graph!$D$40*((Graph!$D$36-Y979)/POWER((((Graph!$D$36-$Y979)^2)+((Graph!$E$36-$Z979)^2))+(Graph!$D$41^2),3/2))</f>
        <v>-14.765008964002073</v>
      </c>
      <c r="T979">
        <f>Graph!$D$40*((Graph!$E$36-Z979)/POWER((((Graph!$D$36-$Y979)^2)+((Graph!$E$36-$Z979)^2))+(Graph!$D$41^2),3/2))</f>
        <v>-209.12002575522166</v>
      </c>
      <c r="U979">
        <f>O979+Q979+S979</f>
        <v>168.4753963450818</v>
      </c>
      <c r="V979">
        <f>P979+R979+T979</f>
        <v>-935.88726488524139</v>
      </c>
      <c r="W979">
        <f>W978+(U978*Graph!$D$5)</f>
        <v>-3544.6392291745474</v>
      </c>
      <c r="X979">
        <f>X978+(V978*Graph!$D$5)</f>
        <v>-1128.5739777485651</v>
      </c>
      <c r="Y979">
        <f>Y978+(W978*Graph!$D$5)+(U978*Graph!$D$5^2)</f>
        <v>3493.2237890221531</v>
      </c>
      <c r="Z979">
        <f>Z978+(X978*Graph!$D$5)+(V978*Graph!$D$5^2)</f>
        <v>34475.286504063319</v>
      </c>
    </row>
    <row r="980" spans="14:26" x14ac:dyDescent="0.35">
      <c r="N980">
        <f>N979+1</f>
        <v>977</v>
      </c>
      <c r="O980">
        <f>Graph!$D$22*((Graph!$D$18-Y980)/POWER((((Graph!$D$18-$Y980)^2)+((Graph!$E$18-$Z980)^2))+(Graph!$D$23^2),(3/2)))</f>
        <v>330.26704433208641</v>
      </c>
      <c r="P980" s="84">
        <f>Graph!$D$22*((Graph!$E$18-Z980)/POWER((((Graph!$D$18-$Y980)^2)+((Graph!$E$18-$Z980)^2))+(Graph!$D$23^2),3/2))</f>
        <v>-590.74983439210678</v>
      </c>
      <c r="Q980">
        <f>Graph!$D$31*((Graph!$D$27-Y980)/POWER((((Graph!$D$27-$Y980)^2)+((Graph!$E$27-$Z980)^2))+(Graph!$D$32^2),3/2))</f>
        <v>-115.45561514712288</v>
      </c>
      <c r="R980">
        <f>Graph!$D$31*((Graph!$E$27-Z980)/POWER((((Graph!$D$27-$Y980)^2)+((Graph!$E$27-$Z980)^2))+(Graph!$D$32^2),3/2))</f>
        <v>-125.60965426932198</v>
      </c>
      <c r="S980">
        <f>Graph!$D$40*((Graph!$D$36-Y980)/POWER((((Graph!$D$36-$Y980)^2)+((Graph!$E$36-$Z980)^2))+(Graph!$D$41^2),3/2))</f>
        <v>-7.8632490821168632</v>
      </c>
      <c r="T980">
        <f>Graph!$D$40*((Graph!$E$36-Z980)/POWER((((Graph!$D$36-$Y980)^2)+((Graph!$E$36-$Z980)^2))+(Graph!$D$41^2),3/2))</f>
        <v>-217.10413776084945</v>
      </c>
      <c r="U980">
        <f>O980+Q980+S980</f>
        <v>206.94818010284666</v>
      </c>
      <c r="V980">
        <f>P980+R980+T980</f>
        <v>-933.46362642227814</v>
      </c>
      <c r="W980">
        <f>W979+(U979*Graph!$D$5)</f>
        <v>-3460.4015310020063</v>
      </c>
      <c r="X980">
        <f>X979+(V979*Graph!$D$5)</f>
        <v>-1596.5176101911857</v>
      </c>
      <c r="Y980">
        <f>Y979+(W979*Graph!$D$5)+(U979*Graph!$D$5^2)</f>
        <v>1763.02302352115</v>
      </c>
      <c r="Z980">
        <f>Z979+(X979*Graph!$D$5)+(V979*Graph!$D$5^2)</f>
        <v>33677.027698967722</v>
      </c>
    </row>
    <row r="981" spans="14:26" x14ac:dyDescent="0.35">
      <c r="N981">
        <f>N980+1</f>
        <v>978</v>
      </c>
      <c r="O981">
        <f>Graph!$D$22*((Graph!$D$18-Y981)/POWER((((Graph!$D$18-$Y981)^2)+((Graph!$E$18-$Z981)^2))+(Graph!$D$23^2),(3/2)))</f>
        <v>372.53783012874692</v>
      </c>
      <c r="P981" s="84">
        <f>Graph!$D$22*((Graph!$E$18-Z981)/POWER((((Graph!$D$18-$Y981)^2)+((Graph!$E$18-$Z981)^2))+(Graph!$D$23^2),3/2))</f>
        <v>-565.60643850034432</v>
      </c>
      <c r="Q981">
        <f>Graph!$D$31*((Graph!$D$27-Y981)/POWER((((Graph!$D$27-$Y981)^2)+((Graph!$E$27-$Z981)^2))+(Graph!$D$32^2),3/2))</f>
        <v>-127.50129708659905</v>
      </c>
      <c r="R981">
        <f>Graph!$D$31*((Graph!$E$27-Z981)/POWER((((Graph!$D$27-$Y981)^2)+((Graph!$E$27-$Z981)^2))+(Graph!$D$32^2),3/2))</f>
        <v>-143.7581084234875</v>
      </c>
      <c r="S981">
        <f>Graph!$D$40*((Graph!$D$36-Y981)/POWER((((Graph!$D$36-$Y981)^2)+((Graph!$E$36-$Z981)^2))+(Graph!$D$41^2),3/2))</f>
        <v>-0.4026799339291785</v>
      </c>
      <c r="T981">
        <f>Graph!$D$40*((Graph!$E$36-Z981)/POWER((((Graph!$D$36-$Y981)^2)+((Graph!$E$36-$Z981)^2))+(Graph!$D$41^2),3/2))</f>
        <v>-226.89221689228737</v>
      </c>
      <c r="U981">
        <f>O981+Q981+S981</f>
        <v>244.63385310821869</v>
      </c>
      <c r="V981">
        <f>P981+R981+T981</f>
        <v>-936.25676381611913</v>
      </c>
      <c r="W981">
        <f>W980+(U980*Graph!$D$5)</f>
        <v>-3356.9274409505829</v>
      </c>
      <c r="X981">
        <f>X980+(V980*Graph!$D$5)</f>
        <v>-2063.2494234023247</v>
      </c>
      <c r="Y981">
        <f>Y980+(W980*Graph!$D$5)+(U980*Graph!$D$5^2)</f>
        <v>84.559303045858485</v>
      </c>
      <c r="Z981">
        <f>Z980+(X980*Graph!$D$5)+(V980*Graph!$D$5^2)</f>
        <v>32645.402987266556</v>
      </c>
    </row>
    <row r="982" spans="14:26" x14ac:dyDescent="0.35">
      <c r="N982">
        <f>N981+1</f>
        <v>979</v>
      </c>
      <c r="O982">
        <f>Graph!$D$22*((Graph!$D$18-Y982)/POWER((((Graph!$D$18-$Y982)^2)+((Graph!$E$18-$Z982)^2))+(Graph!$D$23^2),(3/2)))</f>
        <v>416.92464261119534</v>
      </c>
      <c r="P982" s="84">
        <f>Graph!$D$22*((Graph!$E$18-Z982)/POWER((((Graph!$D$18-$Y982)^2)+((Graph!$E$18-$Z982)^2))+(Graph!$D$23^2),3/2))</f>
        <v>-539.15602880339145</v>
      </c>
      <c r="Q982">
        <f>Graph!$D$31*((Graph!$D$27-Y982)/POWER((((Graph!$D$27-$Y982)^2)+((Graph!$E$27-$Z982)^2))+(Graph!$D$32^2),3/2))</f>
        <v>-143.76748360552151</v>
      </c>
      <c r="R982">
        <f>Graph!$D$31*((Graph!$E$27-Z982)/POWER((((Graph!$D$27-$Y982)^2)+((Graph!$E$27-$Z982)^2))+(Graph!$D$32^2),3/2))</f>
        <v>-166.44097094885785</v>
      </c>
      <c r="S982">
        <f>Graph!$D$40*((Graph!$D$36-Y982)/POWER((((Graph!$D$36-$Y982)^2)+((Graph!$E$36-$Z982)^2))+(Graph!$D$41^2),3/2))</f>
        <v>7.893220363094346</v>
      </c>
      <c r="T982">
        <f>Graph!$D$40*((Graph!$E$36-Z982)/POWER((((Graph!$D$36-$Y982)^2)+((Graph!$E$36-$Z982)^2))+(Graph!$D$41^2),3/2))</f>
        <v>-238.84277929775806</v>
      </c>
      <c r="U982">
        <f>O982+Q982+S982</f>
        <v>281.05037936876823</v>
      </c>
      <c r="V982">
        <f>P982+R982+T982</f>
        <v>-944.43977905000736</v>
      </c>
      <c r="W982">
        <f>W981+(U981*Graph!$D$5)</f>
        <v>-3234.6105143964737</v>
      </c>
      <c r="X982">
        <f>X981+(V981*Graph!$D$5)</f>
        <v>-2531.3778053103842</v>
      </c>
      <c r="Y982">
        <f>Y981+(W981*Graph!$D$5)+(U981*Graph!$D$5^2)</f>
        <v>-1532.7459541523783</v>
      </c>
      <c r="Z982">
        <f>Z981+(X981*Graph!$D$5)+(V981*Graph!$D$5^2)</f>
        <v>31379.714084611365</v>
      </c>
    </row>
    <row r="983" spans="14:26" x14ac:dyDescent="0.35">
      <c r="N983">
        <f>N982+1</f>
        <v>980</v>
      </c>
      <c r="O983">
        <f>Graph!$D$22*((Graph!$D$18-Y983)/POWER((((Graph!$D$18-$Y983)^2)+((Graph!$E$18-$Z983)^2))+(Graph!$D$23^2),(3/2)))</f>
        <v>463.66264827964358</v>
      </c>
      <c r="P983" s="84">
        <f>Graph!$D$22*((Graph!$E$18-Z983)/POWER((((Graph!$D$18-$Y983)^2)+((Graph!$E$18-$Z983)^2))+(Graph!$D$23^2),3/2))</f>
        <v>-509.77624886277124</v>
      </c>
      <c r="Q983">
        <f>Graph!$D$31*((Graph!$D$27-Y983)/POWER((((Graph!$D$27-$Y983)^2)+((Graph!$E$27-$Z983)^2))+(Graph!$D$32^2),3/2))</f>
        <v>-166.32762992890554</v>
      </c>
      <c r="R983">
        <f>Graph!$D$31*((Graph!$E$27-Z983)/POWER((((Graph!$D$27-$Y983)^2)+((Graph!$E$27-$Z983)^2))+(Graph!$D$32^2),3/2))</f>
        <v>-195.40220003137102</v>
      </c>
      <c r="S983">
        <f>Graph!$D$40*((Graph!$D$36-Y983)/POWER((((Graph!$D$36-$Y983)^2)+((Graph!$E$36-$Z983)^2))+(Graph!$D$41^2),3/2))</f>
        <v>17.392485271988605</v>
      </c>
      <c r="T983">
        <f>Graph!$D$40*((Graph!$E$36-Z983)/POWER((((Graph!$D$36-$Y983)^2)+((Graph!$E$36-$Z983)^2))+(Graph!$D$41^2),3/2))</f>
        <v>-253.43897812225356</v>
      </c>
      <c r="U983">
        <f>O983+Q983+S983</f>
        <v>314.72750362272666</v>
      </c>
      <c r="V983">
        <f>P983+R983+T983</f>
        <v>-958.61742701639582</v>
      </c>
      <c r="W983">
        <f>W982+(U982*Graph!$D$5)</f>
        <v>-3094.0853247120895</v>
      </c>
      <c r="X983">
        <f>X982+(V982*Graph!$D$5)</f>
        <v>-3003.5976948353878</v>
      </c>
      <c r="Y983">
        <f>Y982+(W982*Graph!$D$5)+(U982*Graph!$D$5^2)</f>
        <v>-3079.7886165084233</v>
      </c>
      <c r="Z983">
        <f>Z982+(X982*Graph!$D$5)+(V982*Graph!$D$5^2)</f>
        <v>29877.915237193673</v>
      </c>
    </row>
    <row r="984" spans="14:26" x14ac:dyDescent="0.35">
      <c r="N984">
        <f>N983+1</f>
        <v>981</v>
      </c>
      <c r="O984">
        <f>Graph!$D$22*((Graph!$D$18-Y984)/POWER((((Graph!$D$18-$Y984)^2)+((Graph!$E$18-$Z984)^2))+(Graph!$D$23^2),(3/2)))</f>
        <v>512.54642269599265</v>
      </c>
      <c r="P984" s="84">
        <f>Graph!$D$22*((Graph!$E$18-Z984)/POWER((((Graph!$D$18-$Y984)^2)+((Graph!$E$18-$Z984)^2))+(Graph!$D$23^2),3/2))</f>
        <v>-475.53241709826796</v>
      </c>
      <c r="Q984">
        <f>Graph!$D$31*((Graph!$D$27-Y984)/POWER((((Graph!$D$27-$Y984)^2)+((Graph!$E$27-$Z984)^2))+(Graph!$D$32^2),3/2))</f>
        <v>-198.69987242115479</v>
      </c>
      <c r="R984">
        <f>Graph!$D$31*((Graph!$E$27-Z984)/POWER((((Graph!$D$27-$Y984)^2)+((Graph!$E$27-$Z984)^2))+(Graph!$D$32^2),3/2))</f>
        <v>-233.22207715512212</v>
      </c>
      <c r="S984">
        <f>Graph!$D$40*((Graph!$D$36-Y984)/POWER((((Graph!$D$36-$Y984)^2)+((Graph!$E$36-$Z984)^2))+(Graph!$D$41^2),3/2))</f>
        <v>28.608733072339067</v>
      </c>
      <c r="T984">
        <f>Graph!$D$40*((Graph!$E$36-Z984)/POWER((((Graph!$D$36-$Y984)^2)+((Graph!$E$36-$Z984)^2))+(Graph!$D$41^2),3/2))</f>
        <v>-271.33662917603027</v>
      </c>
      <c r="U984">
        <f>O984+Q984+S984</f>
        <v>342.45528334717693</v>
      </c>
      <c r="V984">
        <f>P984+R984+T984</f>
        <v>-980.09112342942035</v>
      </c>
      <c r="W984">
        <f>W983+(U983*Graph!$D$5)</f>
        <v>-2936.7215729007262</v>
      </c>
      <c r="X984">
        <f>X983+(V983*Graph!$D$5)</f>
        <v>-3482.9064083435856</v>
      </c>
      <c r="Y984">
        <f>Y983+(W983*Graph!$D$5)+(U983*Graph!$D$5^2)</f>
        <v>-4548.1494029587866</v>
      </c>
      <c r="Z984">
        <f>Z983+(X983*Graph!$D$5)+(V983*Graph!$D$5^2)</f>
        <v>28136.462033021882</v>
      </c>
    </row>
    <row r="985" spans="14:26" x14ac:dyDescent="0.35">
      <c r="N985">
        <f>N984+1</f>
        <v>982</v>
      </c>
      <c r="O985">
        <f>Graph!$D$22*((Graph!$D$18-Y985)/POWER((((Graph!$D$18-$Y985)^2)+((Graph!$E$18-$Z985)^2))+(Graph!$D$23^2),(3/2)))</f>
        <v>562.66067461661373</v>
      </c>
      <c r="P985" s="84">
        <f>Graph!$D$22*((Graph!$E$18-Z985)/POWER((((Graph!$D$18-$Y985)^2)+((Graph!$E$18-$Z985)^2))+(Graph!$D$23^2),3/2))</f>
        <v>-434.14108429950102</v>
      </c>
      <c r="Q985">
        <f>Graph!$D$31*((Graph!$D$27-Y985)/POWER((((Graph!$D$27-$Y985)^2)+((Graph!$E$27-$Z985)^2))+(Graph!$D$32^2),3/2))</f>
        <v>-247.17901185503885</v>
      </c>
      <c r="R985">
        <f>Graph!$D$31*((Graph!$E$27-Z985)/POWER((((Graph!$D$27-$Y985)^2)+((Graph!$E$27-$Z985)^2))+(Graph!$D$32^2),3/2))</f>
        <v>-283.73787679680566</v>
      </c>
      <c r="S985">
        <f>Graph!$D$40*((Graph!$D$36-Y985)/POWER((((Graph!$D$36-$Y985)^2)+((Graph!$E$36-$Z985)^2))+(Graph!$D$41^2),3/2))</f>
        <v>42.292315210888248</v>
      </c>
      <c r="T985">
        <f>Graph!$D$40*((Graph!$E$36-Z985)/POWER((((Graph!$D$36-$Y985)^2)+((Graph!$E$36-$Z985)^2))+(Graph!$D$41^2),3/2))</f>
        <v>-293.43425895743343</v>
      </c>
      <c r="U985">
        <f>O985+Q985+S985</f>
        <v>357.77397797246311</v>
      </c>
      <c r="V985">
        <f>P985+R985+T985</f>
        <v>-1011.3132200537402</v>
      </c>
      <c r="W985">
        <f>W984+(U984*Graph!$D$5)</f>
        <v>-2765.4939312271376</v>
      </c>
      <c r="X985">
        <f>X984+(V984*Graph!$D$5)</f>
        <v>-3972.951970058296</v>
      </c>
      <c r="Y985">
        <f>Y984+(W984*Graph!$D$5)+(U984*Graph!$D$5^2)</f>
        <v>-5930.8963685723556</v>
      </c>
      <c r="Z985">
        <f>Z984+(X984*Graph!$D$5)+(V984*Graph!$D$5^2)</f>
        <v>26149.986047992734</v>
      </c>
    </row>
    <row r="986" spans="14:26" x14ac:dyDescent="0.35">
      <c r="N986">
        <f>N985+1</f>
        <v>983</v>
      </c>
      <c r="O986">
        <f>Graph!$D$22*((Graph!$D$18-Y986)/POWER((((Graph!$D$18-$Y986)^2)+((Graph!$E$18-$Z986)^2))+(Graph!$D$23^2),(3/2)))</f>
        <v>611.9538307502836</v>
      </c>
      <c r="P986" s="84">
        <f>Graph!$D$22*((Graph!$E$18-Z986)/POWER((((Graph!$D$18-$Y986)^2)+((Graph!$E$18-$Z986)^2))+(Graph!$D$23^2),3/2))</f>
        <v>-383.03718700917466</v>
      </c>
      <c r="Q986">
        <f>Graph!$D$31*((Graph!$D$27-Y986)/POWER((((Graph!$D$27-$Y986)^2)+((Graph!$E$27-$Z986)^2))+(Graph!$D$32^2),3/2))</f>
        <v>-323.72773016159982</v>
      </c>
      <c r="R986">
        <f>Graph!$D$31*((Graph!$E$27-Z986)/POWER((((Graph!$D$27-$Y986)^2)+((Graph!$E$27-$Z986)^2))+(Graph!$D$32^2),3/2))</f>
        <v>-352.48464863223842</v>
      </c>
      <c r="S986">
        <f>Graph!$D$40*((Graph!$D$36-Y986)/POWER((((Graph!$D$36-$Y986)^2)+((Graph!$E$36-$Z986)^2))+(Graph!$D$41^2),3/2))</f>
        <v>59.592121536631147</v>
      </c>
      <c r="T986">
        <f>Graph!$D$40*((Graph!$E$36-Z986)/POWER((((Graph!$D$36-$Y986)^2)+((Graph!$E$36-$Z986)^2))+(Graph!$D$41^2),3/2))</f>
        <v>-320.97258213326802</v>
      </c>
      <c r="U986">
        <f>O986+Q986+S986</f>
        <v>347.81822212531495</v>
      </c>
      <c r="V986">
        <f>P986+R986+T986</f>
        <v>-1056.4944177746811</v>
      </c>
      <c r="W986">
        <f>W985+(U985*Graph!$D$5)</f>
        <v>-2586.6069422409059</v>
      </c>
      <c r="X986">
        <f>X985+(V985*Graph!$D$5)</f>
        <v>-4478.6085800851661</v>
      </c>
      <c r="Y986">
        <f>Y985+(W985*Graph!$D$5)+(U985*Graph!$D$5^2)</f>
        <v>-7224.1998396928093</v>
      </c>
      <c r="Z986">
        <f>Z985+(X985*Graph!$D$5)+(V985*Graph!$D$5^2)</f>
        <v>23910.681757950151</v>
      </c>
    </row>
    <row r="987" spans="14:26" x14ac:dyDescent="0.35">
      <c r="N987">
        <f>N986+1</f>
        <v>984</v>
      </c>
      <c r="O987">
        <f>Graph!$D$22*((Graph!$D$18-Y987)/POWER((((Graph!$D$18-$Y987)^2)+((Graph!$E$18-$Z987)^2))+(Graph!$D$23^2),(3/2)))</f>
        <v>656.62091385351027</v>
      </c>
      <c r="P987" s="84">
        <f>Graph!$D$22*((Graph!$E$18-Z987)/POWER((((Graph!$D$18-$Y987)^2)+((Graph!$E$18-$Z987)^2))+(Graph!$D$23^2),3/2))</f>
        <v>-319.67844776568154</v>
      </c>
      <c r="Q987">
        <f>Graph!$D$31*((Graph!$D$27-Y987)/POWER((((Graph!$D$27-$Y987)^2)+((Graph!$E$27-$Z987)^2))+(Graph!$D$32^2),3/2))</f>
        <v>-452.58983592837205</v>
      </c>
      <c r="R987">
        <f>Graph!$D$31*((Graph!$E$27-Z987)/POWER((((Graph!$D$27-$Y987)^2)+((Graph!$E$27-$Z987)^2))+(Graph!$D$32^2),3/2))</f>
        <v>-446.24477386647442</v>
      </c>
      <c r="S987">
        <f>Graph!$D$40*((Graph!$D$36-Y987)/POWER((((Graph!$D$36-$Y987)^2)+((Graph!$E$36-$Z987)^2))+(Graph!$D$41^2),3/2))</f>
        <v>82.357968764202724</v>
      </c>
      <c r="T987">
        <f>Graph!$D$40*((Graph!$E$36-Z987)/POWER((((Graph!$D$36-$Y987)^2)+((Graph!$E$36-$Z987)^2))+(Graph!$D$41^2),3/2))</f>
        <v>-355.66219513278719</v>
      </c>
      <c r="U987">
        <f>O987+Q987+S987</f>
        <v>286.38904668934094</v>
      </c>
      <c r="V987">
        <f>P987+R987+T987</f>
        <v>-1121.5854167649431</v>
      </c>
      <c r="W987">
        <f>W986+(U986*Graph!$D$5)</f>
        <v>-2412.6978311782486</v>
      </c>
      <c r="X987">
        <f>X986+(V986*Graph!$D$5)</f>
        <v>-5006.8557889725071</v>
      </c>
      <c r="Y987">
        <f>Y986+(W986*Graph!$D$5)+(U986*Graph!$D$5^2)</f>
        <v>-8430.5487552819341</v>
      </c>
      <c r="Z987">
        <f>Z986+(X986*Graph!$D$5)+(V986*Graph!$D$5^2)</f>
        <v>21407.253863463899</v>
      </c>
    </row>
    <row r="988" spans="14:26" x14ac:dyDescent="0.35">
      <c r="N988">
        <f>N987+1</f>
        <v>985</v>
      </c>
      <c r="O988">
        <f>Graph!$D$22*((Graph!$D$18-Y988)/POWER((((Graph!$D$18-$Y988)^2)+((Graph!$E$18-$Z988)^2))+(Graph!$D$23^2),(3/2)))</f>
        <v>690.33013288876862</v>
      </c>
      <c r="P988" s="84">
        <f>Graph!$D$22*((Graph!$E$18-Z988)/POWER((((Graph!$D$18-$Y988)^2)+((Graph!$E$18-$Z988)^2))+(Graph!$D$23^2),3/2))</f>
        <v>-242.33423621000301</v>
      </c>
      <c r="Q988">
        <f>Graph!$D$31*((Graph!$D$27-Y988)/POWER((((Graph!$D$27-$Y988)^2)+((Graph!$E$27-$Z988)^2))+(Graph!$D$32^2),3/2))</f>
        <v>-685.58961963572369</v>
      </c>
      <c r="R988">
        <f>Graph!$D$31*((Graph!$E$27-Z988)/POWER((((Graph!$D$27-$Y988)^2)+((Graph!$E$27-$Z988)^2))+(Graph!$D$32^2),3/2))</f>
        <v>-566.58399967438447</v>
      </c>
      <c r="S988">
        <f>Graph!$D$40*((Graph!$D$36-Y988)/POWER((((Graph!$D$36-$Y988)^2)+((Graph!$E$36-$Z988)^2))+(Graph!$D$41^2),3/2))</f>
        <v>113.7317937723269</v>
      </c>
      <c r="T988">
        <f>Graph!$D$40*((Graph!$E$36-Z988)/POWER((((Graph!$D$36-$Y988)^2)+((Graph!$E$36-$Z988)^2))+(Graph!$D$41^2),3/2))</f>
        <v>-399.78388542713571</v>
      </c>
      <c r="U988">
        <f>O988+Q988+S988</f>
        <v>118.47230702537182</v>
      </c>
      <c r="V988">
        <f>P988+R988+T988</f>
        <v>-1208.7021213115231</v>
      </c>
      <c r="W988">
        <f>W987+(U987*Graph!$D$5)</f>
        <v>-2269.5033078335782</v>
      </c>
      <c r="X988">
        <f>X987+(V987*Graph!$D$5)</f>
        <v>-5567.6484973549786</v>
      </c>
      <c r="Y988">
        <f>Y987+(W987*Graph!$D$5)+(U987*Graph!$D$5^2)</f>
        <v>-9565.3004091987223</v>
      </c>
      <c r="Z988">
        <f>Z987+(X987*Graph!$D$5)+(V987*Graph!$D$5^2)</f>
        <v>18623.429614786412</v>
      </c>
    </row>
    <row r="989" spans="14:26" x14ac:dyDescent="0.35">
      <c r="N989">
        <f>N988+1</f>
        <v>986</v>
      </c>
      <c r="O989">
        <f>Graph!$D$22*((Graph!$D$18-Y989)/POWER((((Graph!$D$18-$Y989)^2)+((Graph!$E$18-$Z989)^2))+(Graph!$D$23^2),(3/2)))</f>
        <v>703.56793512315187</v>
      </c>
      <c r="P989" s="84">
        <f>Graph!$D$22*((Graph!$E$18-Z989)/POWER((((Graph!$D$18-$Y989)^2)+((Graph!$E$18-$Z989)^2))+(Graph!$D$23^2),3/2))</f>
        <v>-151.76829801631121</v>
      </c>
      <c r="Q989">
        <f>Graph!$D$31*((Graph!$D$27-Y989)/POWER((((Graph!$D$27-$Y989)^2)+((Graph!$E$27-$Z989)^2))+(Graph!$D$32^2),3/2))</f>
        <v>-1131.0193934322481</v>
      </c>
      <c r="R989">
        <f>Graph!$D$31*((Graph!$E$27-Z989)/POWER((((Graph!$D$27-$Y989)^2)+((Graph!$E$27-$Z989)^2))+(Graph!$D$32^2),3/2))</f>
        <v>-671.30030752573191</v>
      </c>
      <c r="S989">
        <f>Graph!$D$40*((Graph!$D$36-Y989)/POWER((((Graph!$D$36-$Y989)^2)+((Graph!$E$36-$Z989)^2))+(Graph!$D$41^2),3/2))</f>
        <v>159.31535334018125</v>
      </c>
      <c r="T989">
        <f>Graph!$D$40*((Graph!$E$36-Z989)/POWER((((Graph!$D$36-$Y989)^2)+((Graph!$E$36-$Z989)^2))+(Graph!$D$41^2),3/2))</f>
        <v>-455.9403516865251</v>
      </c>
      <c r="U989">
        <f>O989+Q989+S989</f>
        <v>-268.13610496891499</v>
      </c>
      <c r="V989">
        <f>P989+R989+T989</f>
        <v>-1279.0089572285683</v>
      </c>
      <c r="W989">
        <f>W988+(U988*Graph!$D$5)</f>
        <v>-2210.2671543208921</v>
      </c>
      <c r="X989">
        <f>X988+(V988*Graph!$D$5)</f>
        <v>-6171.9995580107407</v>
      </c>
      <c r="Y989">
        <f>Y988+(W988*Graph!$D$5)+(U988*Graph!$D$5^2)</f>
        <v>-10670.433986359169</v>
      </c>
      <c r="Z989">
        <f>Z988+(X988*Graph!$D$5)+(V988*Graph!$D$5^2)</f>
        <v>15537.429835781042</v>
      </c>
    </row>
    <row r="990" spans="14:26" x14ac:dyDescent="0.35">
      <c r="N990">
        <f>N989+1</f>
        <v>987</v>
      </c>
      <c r="O990">
        <f>Graph!$D$22*((Graph!$D$18-Y990)/POWER((((Graph!$D$18-$Y990)^2)+((Graph!$E$18-$Z990)^2))+(Graph!$D$23^2),(3/2)))</f>
        <v>684.18119487299077</v>
      </c>
      <c r="P990" s="84">
        <f>Graph!$D$22*((Graph!$E$18-Z990)/POWER((((Graph!$D$18-$Y990)^2)+((Graph!$E$18-$Z990)^2))+(Graph!$D$23^2),3/2))</f>
        <v>-54.333551513730498</v>
      </c>
      <c r="Q990">
        <f>Graph!$D$31*((Graph!$D$27-Y990)/POWER((((Graph!$D$27-$Y990)^2)+((Graph!$E$27-$Z990)^2))+(Graph!$D$32^2),3/2))</f>
        <v>-1925.6886286552894</v>
      </c>
      <c r="R990">
        <f>Graph!$D$31*((Graph!$E$27-Z990)/POWER((((Graph!$D$27-$Y990)^2)+((Graph!$E$27-$Z990)^2))+(Graph!$D$32^2),3/2))</f>
        <v>-503.21775725749211</v>
      </c>
      <c r="S990">
        <f>Graph!$D$40*((Graph!$D$36-Y990)/POWER((((Graph!$D$36-$Y990)^2)+((Graph!$E$36-$Z990)^2))+(Graph!$D$41^2),3/2))</f>
        <v>229.13285548755638</v>
      </c>
      <c r="T990">
        <f>Graph!$D$40*((Graph!$E$36-Z990)/POWER((((Graph!$D$36-$Y990)^2)+((Graph!$E$36-$Z990)^2))+(Graph!$D$41^2),3/2))</f>
        <v>-524.94874250092676</v>
      </c>
      <c r="U990">
        <f>O990+Q990+S990</f>
        <v>-1012.3745782947423</v>
      </c>
      <c r="V990">
        <f>P990+R990+T990</f>
        <v>-1082.5000512721494</v>
      </c>
      <c r="W990">
        <f>W989+(U989*Graph!$D$5)</f>
        <v>-2344.3352068053496</v>
      </c>
      <c r="X990">
        <f>X989+(V989*Graph!$D$5)</f>
        <v>-6811.504036625025</v>
      </c>
      <c r="Y990">
        <f>Y989+(W989*Graph!$D$5)+(U989*Graph!$D$5^2)</f>
        <v>-11842.601589761844</v>
      </c>
      <c r="Z990">
        <f>Z989+(X989*Graph!$D$5)+(V989*Graph!$D$5^2)</f>
        <v>12131.677817468531</v>
      </c>
    </row>
    <row r="991" spans="14:26" x14ac:dyDescent="0.35">
      <c r="N991">
        <f>N990+1</f>
        <v>988</v>
      </c>
      <c r="O991">
        <f>Graph!$D$22*((Graph!$D$18-Y991)/POWER((((Graph!$D$18-$Y991)^2)+((Graph!$E$18-$Z991)^2))+(Graph!$D$23^2),(3/2)))</f>
        <v>622.96017779895953</v>
      </c>
      <c r="P991" s="84">
        <f>Graph!$D$22*((Graph!$E$18-Z991)/POWER((((Graph!$D$18-$Y991)^2)+((Graph!$E$18-$Z991)^2))+(Graph!$D$23^2),3/2))</f>
        <v>34.041699661289279</v>
      </c>
      <c r="Q991">
        <f>Graph!$D$31*((Graph!$D$27-Y991)/POWER((((Graph!$D$27-$Y991)^2)+((Graph!$E$27-$Z991)^2))+(Graph!$D$32^2),3/2))</f>
        <v>-2604.2191563015526</v>
      </c>
      <c r="R991">
        <f>Graph!$D$31*((Graph!$E$27-Z991)/POWER((((Graph!$D$27-$Y991)^2)+((Graph!$E$27-$Z991)^2))+(Graph!$D$32^2),3/2))</f>
        <v>597.5420859653218</v>
      </c>
      <c r="S991">
        <f>Graph!$D$40*((Graph!$D$36-Y991)/POWER((((Graph!$D$36-$Y991)^2)+((Graph!$E$36-$Z991)^2))+(Graph!$D$41^2),3/2))</f>
        <v>337.42497426746712</v>
      </c>
      <c r="T991">
        <f>Graph!$D$40*((Graph!$E$36-Z991)/POWER((((Graph!$D$36-$Y991)^2)+((Graph!$E$36-$Z991)^2))+(Graph!$D$41^2),3/2))</f>
        <v>-596.50935203781307</v>
      </c>
      <c r="U991">
        <f>O991+Q991+S991</f>
        <v>-1643.8340042351258</v>
      </c>
      <c r="V991">
        <f>P991+R991+T991</f>
        <v>35.074433588798001</v>
      </c>
      <c r="W991">
        <f>W990+(U990*Graph!$D$5)</f>
        <v>-2850.5224959527209</v>
      </c>
      <c r="X991">
        <f>X990+(V990*Graph!$D$5)</f>
        <v>-7352.7540622610995</v>
      </c>
      <c r="Y991">
        <f>Y990+(W990*Graph!$D$5)+(U990*Graph!$D$5^2)</f>
        <v>-13267.862837738205</v>
      </c>
      <c r="Z991">
        <f>Z990+(X990*Graph!$D$5)+(V990*Graph!$D$5^2)</f>
        <v>8455.3007863379808</v>
      </c>
    </row>
    <row r="992" spans="14:26" x14ac:dyDescent="0.35">
      <c r="N992">
        <f>N991+1</f>
        <v>989</v>
      </c>
      <c r="O992">
        <f>Graph!$D$22*((Graph!$D$18-Y992)/POWER((((Graph!$D$18-$Y992)^2)+((Graph!$E$18-$Z992)^2))+(Graph!$D$23^2),(3/2)))</f>
        <v>531.23605107728156</v>
      </c>
      <c r="P992" s="84">
        <f>Graph!$D$22*((Graph!$E$18-Z992)/POWER((((Graph!$D$18-$Y992)^2)+((Graph!$E$18-$Z992)^2))+(Graph!$D$23^2),3/2))</f>
        <v>91.979741212084619</v>
      </c>
      <c r="Q992">
        <f>Graph!$D$31*((Graph!$D$27-Y992)/POWER((((Graph!$D$27-$Y992)^2)+((Graph!$E$27-$Z992)^2))+(Graph!$D$32^2),3/2))</f>
        <v>-1742.266659051081</v>
      </c>
      <c r="R992">
        <f>Graph!$D$31*((Graph!$E$27-Z992)/POWER((((Graph!$D$27-$Y992)^2)+((Graph!$E$27-$Z992)^2))+(Graph!$D$32^2),3/2))</f>
        <v>1854.8576385450131</v>
      </c>
      <c r="S992">
        <f>Graph!$D$40*((Graph!$D$36-Y992)/POWER((((Graph!$D$36-$Y992)^2)+((Graph!$E$36-$Z992)^2))+(Graph!$D$41^2),3/2))</f>
        <v>483.13726276324422</v>
      </c>
      <c r="T992">
        <f>Graph!$D$40*((Graph!$E$36-Z992)/POWER((((Graph!$D$36-$Y992)^2)+((Graph!$E$36-$Z992)^2))+(Graph!$D$41^2),3/2))</f>
        <v>-632.95281060797015</v>
      </c>
      <c r="U992">
        <f>O992+Q992+S992</f>
        <v>-727.89334521055503</v>
      </c>
      <c r="V992">
        <f>P992+R992+T992</f>
        <v>1313.8845691491276</v>
      </c>
      <c r="W992">
        <f>W991+(U991*Graph!$D$5)</f>
        <v>-3672.4394980702837</v>
      </c>
      <c r="X992">
        <f>X991+(V991*Graph!$D$5)</f>
        <v>-7335.2168454667008</v>
      </c>
      <c r="Y992">
        <f>Y991+(W991*Graph!$D$5)+(U991*Graph!$D$5^2)</f>
        <v>-15104.082586773347</v>
      </c>
      <c r="Z992">
        <f>Z991+(X991*Graph!$D$5)+(V991*Graph!$D$5^2)</f>
        <v>4787.6923636046304</v>
      </c>
    </row>
    <row r="993" spans="14:26" x14ac:dyDescent="0.35">
      <c r="N993">
        <f>N992+1</f>
        <v>990</v>
      </c>
      <c r="O993">
        <f>Graph!$D$22*((Graph!$D$18-Y993)/POWER((((Graph!$D$18-$Y993)^2)+((Graph!$E$18-$Z993)^2))+(Graph!$D$23^2),(3/2)))</f>
        <v>442.7981755793831</v>
      </c>
      <c r="P993" s="84">
        <f>Graph!$D$22*((Graph!$E$18-Z993)/POWER((((Graph!$D$18-$Y993)^2)+((Graph!$E$18-$Z993)^2))+(Graph!$D$23^2),3/2))</f>
        <v>117.87969963262937</v>
      </c>
      <c r="Q993">
        <f>Graph!$D$31*((Graph!$D$27-Y993)/POWER((((Graph!$D$27-$Y993)^2)+((Graph!$E$27-$Z993)^2))+(Graph!$D$32^2),3/2))</f>
        <v>-570.19195003151333</v>
      </c>
      <c r="R993">
        <f>Graph!$D$31*((Graph!$E$27-Z993)/POWER((((Graph!$D$27-$Y993)^2)+((Graph!$E$27-$Z993)^2))+(Graph!$D$32^2),3/2))</f>
        <v>1694.3822608255014</v>
      </c>
      <c r="S993">
        <f>Graph!$D$40*((Graph!$D$36-Y993)/POWER((((Graph!$D$36-$Y993)^2)+((Graph!$E$36-$Z993)^2))+(Graph!$D$41^2),3/2))</f>
        <v>627.60855873650792</v>
      </c>
      <c r="T993">
        <f>Graph!$D$40*((Graph!$E$36-Z993)/POWER((((Graph!$D$36-$Y993)^2)+((Graph!$E$36-$Z993)^2))+(Graph!$D$41^2),3/2))</f>
        <v>-602.91366327279661</v>
      </c>
      <c r="U993">
        <f>O993+Q993+S993</f>
        <v>500.21478428437769</v>
      </c>
      <c r="V993">
        <f>P993+R993+T993</f>
        <v>1209.3482971853341</v>
      </c>
      <c r="W993">
        <f>W992+(U992*Graph!$D$5)</f>
        <v>-4036.3861706755611</v>
      </c>
      <c r="X993">
        <f>X992+(V992*Graph!$D$5)</f>
        <v>-6678.2745608921368</v>
      </c>
      <c r="Y993">
        <f>Y992+(W992*Graph!$D$5)+(U992*Graph!$D$5^2)</f>
        <v>-17122.275672111129</v>
      </c>
      <c r="Z993">
        <f>Z992+(X992*Graph!$D$5)+(V992*Graph!$D$5^2)</f>
        <v>1448.555083158562</v>
      </c>
    </row>
    <row r="994" spans="14:26" x14ac:dyDescent="0.35">
      <c r="N994">
        <f>N993+1</f>
        <v>991</v>
      </c>
      <c r="O994">
        <f>Graph!$D$22*((Graph!$D$18-Y994)/POWER((((Graph!$D$18-$Y994)^2)+((Graph!$E$18-$Z994)^2))+(Graph!$D$23^2),(3/2)))</f>
        <v>372.92741837643172</v>
      </c>
      <c r="P994" s="84">
        <f>Graph!$D$22*((Graph!$E$18-Z994)/POWER((((Graph!$D$18-$Y994)^2)+((Graph!$E$18-$Z994)^2))+(Graph!$D$23^2),3/2))</f>
        <v>127.04752622987175</v>
      </c>
      <c r="Q994">
        <f>Graph!$D$31*((Graph!$D$27-Y994)/POWER((((Graph!$D$27-$Y994)^2)+((Graph!$E$27-$Z994)^2))+(Graph!$D$32^2),3/2))</f>
        <v>-98.702402601261824</v>
      </c>
      <c r="R994">
        <f>Graph!$D$31*((Graph!$E$27-Z994)/POWER((((Graph!$D$27-$Y994)^2)+((Graph!$E$27-$Z994)^2))+(Graph!$D$32^2),3/2))</f>
        <v>1161.6952389828189</v>
      </c>
      <c r="S994">
        <f>Graph!$D$40*((Graph!$D$36-Y994)/POWER((((Graph!$D$36-$Y994)^2)+((Graph!$E$36-$Z994)^2))+(Graph!$D$41^2),3/2))</f>
        <v>738.49779691979586</v>
      </c>
      <c r="T994">
        <f>Graph!$D$40*((Graph!$E$36-Z994)/POWER((((Graph!$D$36-$Y994)^2)+((Graph!$E$36-$Z994)^2))+(Graph!$D$41^2),3/2))</f>
        <v>-520.86958909545274</v>
      </c>
      <c r="U994">
        <f>O994+Q994+S994</f>
        <v>1012.7228126949658</v>
      </c>
      <c r="V994">
        <f>P994+R994+T994</f>
        <v>767.87317611723779</v>
      </c>
      <c r="W994">
        <f>W993+(U993*Graph!$D$5)</f>
        <v>-3786.2787785333721</v>
      </c>
      <c r="X994">
        <f>X993+(V993*Graph!$D$5)</f>
        <v>-6073.60041229947</v>
      </c>
      <c r="Y994">
        <f>Y993+(W993*Graph!$D$5)+(U993*Graph!$D$5^2)</f>
        <v>-19015.415061377815</v>
      </c>
      <c r="Z994">
        <f>Z993+(X993*Graph!$D$5)+(V993*Graph!$D$5^2)</f>
        <v>-1588.245122991173</v>
      </c>
    </row>
    <row r="995" spans="14:26" x14ac:dyDescent="0.35">
      <c r="N995">
        <f>N994+1</f>
        <v>992</v>
      </c>
      <c r="O995">
        <f>Graph!$D$22*((Graph!$D$18-Y995)/POWER((((Graph!$D$18-$Y995)^2)+((Graph!$E$18-$Z995)^2))+(Graph!$D$23^2),(3/2)))</f>
        <v>319.87745658645093</v>
      </c>
      <c r="P995" s="84">
        <f>Graph!$D$22*((Graph!$E$18-Z995)/POWER((((Graph!$D$18-$Y995)^2)+((Graph!$E$18-$Z995)^2))+(Graph!$D$23^2),3/2))</f>
        <v>129.48443635471105</v>
      </c>
      <c r="Q995">
        <f>Graph!$D$31*((Graph!$D$27-Y995)/POWER((((Graph!$D$27-$Y995)^2)+((Graph!$E$27-$Z995)^2))+(Graph!$D$32^2),3/2))</f>
        <v>35.827238622258882</v>
      </c>
      <c r="R995">
        <f>Graph!$D$31*((Graph!$E$27-Z995)/POWER((((Graph!$D$27-$Y995)^2)+((Graph!$E$27-$Z995)^2))+(Graph!$D$32^2),3/2))</f>
        <v>789.01130383386158</v>
      </c>
      <c r="S995">
        <f>Graph!$D$40*((Graph!$D$36-Y995)/POWER((((Graph!$D$36-$Y995)^2)+((Graph!$E$36-$Z995)^2))+(Graph!$D$41^2),3/2))</f>
        <v>808.94137845747332</v>
      </c>
      <c r="T995">
        <f>Graph!$D$40*((Graph!$E$36-Z995)/POWER((((Graph!$D$36-$Y995)^2)+((Graph!$E$36-$Z995)^2))+(Graph!$D$41^2),3/2))</f>
        <v>-413.8400657270825</v>
      </c>
      <c r="U995">
        <f>O995+Q995+S995</f>
        <v>1164.6460736661832</v>
      </c>
      <c r="V995">
        <f>P995+R995+T995</f>
        <v>504.65567446149015</v>
      </c>
      <c r="W995">
        <f>W994+(U994*Graph!$D$5)</f>
        <v>-3279.9173721858892</v>
      </c>
      <c r="X995">
        <f>X994+(V994*Graph!$D$5)</f>
        <v>-5689.6638242408508</v>
      </c>
      <c r="Y995">
        <f>Y994+(W994*Graph!$D$5)+(U994*Graph!$D$5^2)</f>
        <v>-20655.37374747076</v>
      </c>
      <c r="Z995">
        <f>Z994+(X994*Graph!$D$5)+(V994*Graph!$D$5^2)</f>
        <v>-4433.0770351115989</v>
      </c>
    </row>
    <row r="996" spans="14:26" x14ac:dyDescent="0.35">
      <c r="N996">
        <f>N995+1</f>
        <v>993</v>
      </c>
      <c r="O996">
        <f>Graph!$D$22*((Graph!$D$18-Y996)/POWER((((Graph!$D$18-$Y996)^2)+((Graph!$E$18-$Z996)^2))+(Graph!$D$23^2),(3/2)))</f>
        <v>279.25513427971248</v>
      </c>
      <c r="P996" s="84">
        <f>Graph!$D$22*((Graph!$E$18-Z996)/POWER((((Graph!$D$18-$Y996)^2)+((Graph!$E$18-$Z996)^2))+(Graph!$D$23^2),3/2))</f>
        <v>129.43710783524486</v>
      </c>
      <c r="Q996">
        <f>Graph!$D$31*((Graph!$D$27-Y996)/POWER((((Graph!$D$27-$Y996)^2)+((Graph!$E$27-$Z996)^2))+(Graph!$D$32^2),3/2))</f>
        <v>65.802436813296353</v>
      </c>
      <c r="R996">
        <f>Graph!$D$31*((Graph!$E$27-Z996)/POWER((((Graph!$D$27-$Y996)^2)+((Graph!$E$27-$Z996)^2))+(Graph!$D$32^2),3/2))</f>
        <v>563.13890694319673</v>
      </c>
      <c r="S996">
        <f>Graph!$D$40*((Graph!$D$36-Y996)/POWER((((Graph!$D$36-$Y996)^2)+((Graph!$E$36-$Z996)^2))+(Graph!$D$41^2),3/2))</f>
        <v>844.89367542408445</v>
      </c>
      <c r="T996">
        <f>Graph!$D$40*((Graph!$E$36-Z996)/POWER((((Graph!$D$36-$Y996)^2)+((Graph!$E$36-$Z996)^2))+(Graph!$D$41^2),3/2))</f>
        <v>-301.34927664431268</v>
      </c>
      <c r="U996">
        <f>O996+Q996+S996</f>
        <v>1189.9512465170933</v>
      </c>
      <c r="V996">
        <f>P996+R996+T996</f>
        <v>391.22673813412894</v>
      </c>
      <c r="W996">
        <f>W995+(U995*Graph!$D$5)</f>
        <v>-2697.5943353527978</v>
      </c>
      <c r="X996">
        <f>X995+(V995*Graph!$D$5)</f>
        <v>-5437.3359870101058</v>
      </c>
      <c r="Y996">
        <f>Y995+(W995*Graph!$D$5)+(U995*Graph!$D$5^2)</f>
        <v>-22004.170915147159</v>
      </c>
      <c r="Z996">
        <f>Z995+(X995*Graph!$D$5)+(V995*Graph!$D$5^2)</f>
        <v>-7151.7450286166522</v>
      </c>
    </row>
    <row r="997" spans="14:26" x14ac:dyDescent="0.35">
      <c r="N997">
        <f>N996+1</f>
        <v>994</v>
      </c>
      <c r="O997">
        <f>Graph!$D$22*((Graph!$D$18-Y997)/POWER((((Graph!$D$18-$Y997)^2)+((Graph!$E$18-$Z997)^2))+(Graph!$D$23^2),(3/2)))</f>
        <v>247.56293430010666</v>
      </c>
      <c r="P997" s="84">
        <f>Graph!$D$22*((Graph!$E$18-Z997)/POWER((((Graph!$D$18-$Y997)^2)+((Graph!$E$18-$Z997)^2))+(Graph!$D$23^2),3/2))</f>
        <v>128.62705735970982</v>
      </c>
      <c r="Q997">
        <f>Graph!$D$31*((Graph!$D$27-Y997)/POWER((((Graph!$D$27-$Y997)^2)+((Graph!$E$27-$Z997)^2))+(Graph!$D$32^2),3/2))</f>
        <v>65.489261989939621</v>
      </c>
      <c r="R997">
        <f>Graph!$D$31*((Graph!$E$27-Z997)/POWER((((Graph!$D$27-$Y997)^2)+((Graph!$E$27-$Z997)^2))+(Graph!$D$32^2),3/2))</f>
        <v>423.79373510407999</v>
      </c>
      <c r="S997">
        <f>Graph!$D$40*((Graph!$D$36-Y997)/POWER((((Graph!$D$36-$Y997)^2)+((Graph!$E$36-$Z997)^2))+(Graph!$D$41^2),3/2))</f>
        <v>855.63095370449184</v>
      </c>
      <c r="T997">
        <f>Graph!$D$40*((Graph!$E$36-Z997)/POWER((((Graph!$D$36-$Y997)^2)+((Graph!$E$36-$Z997)^2))+(Graph!$D$41^2),3/2))</f>
        <v>-193.99811984600046</v>
      </c>
      <c r="U997">
        <f>O997+Q997+S997</f>
        <v>1168.6831499945381</v>
      </c>
      <c r="V997">
        <f>P997+R997+T997</f>
        <v>358.42267261778932</v>
      </c>
      <c r="W997">
        <f>W996+(U996*Graph!$D$5)</f>
        <v>-2102.6187120942514</v>
      </c>
      <c r="X997">
        <f>X996+(V996*Graph!$D$5)</f>
        <v>-5241.7226179430418</v>
      </c>
      <c r="Y997">
        <f>Y996+(W996*Graph!$D$5)+(U996*Graph!$D$5^2)</f>
        <v>-23055.480271194283</v>
      </c>
      <c r="Z997">
        <f>Z996+(X996*Graph!$D$5)+(V996*Graph!$D$5^2)</f>
        <v>-9772.6063375881731</v>
      </c>
    </row>
    <row r="998" spans="14:26" x14ac:dyDescent="0.35">
      <c r="N998">
        <f>N997+1</f>
        <v>995</v>
      </c>
      <c r="O998">
        <f>Graph!$D$22*((Graph!$D$18-Y998)/POWER((((Graph!$D$18-$Y998)^2)+((Graph!$E$18-$Z998)^2))+(Graph!$D$23^2),(3/2)))</f>
        <v>222.3612117039265</v>
      </c>
      <c r="P998" s="84">
        <f>Graph!$D$22*((Graph!$E$18-Z998)/POWER((((Graph!$D$18-$Y998)^2)+((Graph!$E$18-$Z998)^2))+(Graph!$D$23^2),3/2))</f>
        <v>127.77437788767406</v>
      </c>
      <c r="Q998">
        <f>Graph!$D$31*((Graph!$D$27-Y998)/POWER((((Graph!$D$27-$Y998)^2)+((Graph!$E$27-$Z998)^2))+(Graph!$D$32^2),3/2))</f>
        <v>57.071510015733651</v>
      </c>
      <c r="R998">
        <f>Graph!$D$31*((Graph!$E$27-Z998)/POWER((((Graph!$D$27-$Y998)^2)+((Graph!$E$27-$Z998)^2))+(Graph!$D$32^2),3/2))</f>
        <v>333.69391170309729</v>
      </c>
      <c r="S998">
        <f>Graph!$D$40*((Graph!$D$36-Y998)/POWER((((Graph!$D$36-$Y998)^2)+((Graph!$E$36-$Z998)^2))+(Graph!$D$41^2),3/2))</f>
        <v>849.6918730919856</v>
      </c>
      <c r="T998">
        <f>Graph!$D$40*((Graph!$E$36-Z998)/POWER((((Graph!$D$36-$Y998)^2)+((Graph!$E$36-$Z998)^2))+(Graph!$D$41^2),3/2))</f>
        <v>-96.196650515365164</v>
      </c>
      <c r="U998">
        <f>O998+Q998+S998</f>
        <v>1129.1245948116457</v>
      </c>
      <c r="V998">
        <f>P998+R998+T998</f>
        <v>365.2716390754062</v>
      </c>
      <c r="W998">
        <f>W997+(U997*Graph!$D$5)</f>
        <v>-1518.2771370969822</v>
      </c>
      <c r="X998">
        <f>X997+(V997*Graph!$D$5)</f>
        <v>-5062.5112816341471</v>
      </c>
      <c r="Y998">
        <f>Y997+(W997*Graph!$D$5)+(U997*Graph!$D$5^2)</f>
        <v>-23814.618839742772</v>
      </c>
      <c r="Z998">
        <f>Z997+(X997*Graph!$D$5)+(V997*Graph!$D$5^2)</f>
        <v>-12303.861978405246</v>
      </c>
    </row>
    <row r="999" spans="14:26" x14ac:dyDescent="0.35">
      <c r="N999">
        <f>N998+1</f>
        <v>996</v>
      </c>
      <c r="O999">
        <f>Graph!$D$22*((Graph!$D$18-Y999)/POWER((((Graph!$D$18-$Y999)^2)+((Graph!$E$18-$Z999)^2))+(Graph!$D$23^2),(3/2)))</f>
        <v>201.97185339596334</v>
      </c>
      <c r="P999" s="84">
        <f>Graph!$D$22*((Graph!$E$18-Z999)/POWER((((Graph!$D$18-$Y999)^2)+((Graph!$E$18-$Z999)^2))+(Graph!$D$23^2),3/2))</f>
        <v>127.19173630329698</v>
      </c>
      <c r="Q999">
        <f>Graph!$D$31*((Graph!$D$27-Y999)/POWER((((Graph!$D$27-$Y999)^2)+((Graph!$E$27-$Z999)^2))+(Graph!$D$32^2),3/2))</f>
        <v>47.278275647747385</v>
      </c>
      <c r="R999">
        <f>Graph!$D$31*((Graph!$E$27-Z999)/POWER((((Graph!$D$27-$Y999)^2)+((Graph!$E$27-$Z999)^2))+(Graph!$D$32^2),3/2))</f>
        <v>272.59714663979219</v>
      </c>
      <c r="S999">
        <f>Graph!$D$40*((Graph!$D$36-Y999)/POWER((((Graph!$D$36-$Y999)^2)+((Graph!$E$36-$Z999)^2))+(Graph!$D$41^2),3/2))</f>
        <v>833.66205629286367</v>
      </c>
      <c r="T999">
        <f>Graph!$D$40*((Graph!$E$36-Z999)/POWER((((Graph!$D$36-$Y999)^2)+((Graph!$E$36-$Z999)^2))+(Graph!$D$41^2),3/2))</f>
        <v>-8.7925681731897676</v>
      </c>
      <c r="U999">
        <f>O999+Q999+S999</f>
        <v>1082.9121853365743</v>
      </c>
      <c r="V999">
        <f>P999+R999+T999</f>
        <v>390.99631476989941</v>
      </c>
      <c r="W999">
        <f>W998+(U998*Graph!$D$5)</f>
        <v>-953.71483969115934</v>
      </c>
      <c r="X999">
        <f>X998+(V998*Graph!$D$5)</f>
        <v>-4879.8754620964437</v>
      </c>
      <c r="Y999">
        <f>Y998+(W998*Graph!$D$5)+(U998*Graph!$D$5^2)</f>
        <v>-24291.476259588351</v>
      </c>
      <c r="Z999">
        <f>Z998+(X998*Graph!$D$5)+(V998*Graph!$D$5^2)</f>
        <v>-14743.799709453468</v>
      </c>
    </row>
    <row r="1000" spans="14:26" x14ac:dyDescent="0.35">
      <c r="N1000">
        <f>N999+1</f>
        <v>997</v>
      </c>
      <c r="O1000">
        <f>Graph!$D$22*((Graph!$D$18-Y1000)/POWER((((Graph!$D$18-$Y1000)^2)+((Graph!$E$18-$Z1000)^2))+(Graph!$D$23^2),(3/2)))</f>
        <v>185.22486415183255</v>
      </c>
      <c r="P1000" s="84">
        <f>Graph!$D$22*((Graph!$E$18-Z1000)/POWER((((Graph!$D$18-$Y1000)^2)+((Graph!$E$18-$Z1000)^2))+(Graph!$D$23^2),3/2))</f>
        <v>127.02032020214118</v>
      </c>
      <c r="Q1000">
        <f>Graph!$D$31*((Graph!$D$27-Y1000)/POWER((((Graph!$D$27-$Y1000)^2)+((Graph!$E$27-$Z1000)^2))+(Graph!$D$32^2),3/2))</f>
        <v>38.090885870183172</v>
      </c>
      <c r="R1000">
        <f>Graph!$D$31*((Graph!$E$27-Z1000)/POWER((((Graph!$D$27-$Y1000)^2)+((Graph!$E$27-$Z1000)^2))+(Graph!$D$32^2),3/2))</f>
        <v>229.3952328274074</v>
      </c>
      <c r="S1000">
        <f>Graph!$D$40*((Graph!$D$36-Y1000)/POWER((((Graph!$D$36-$Y1000)^2)+((Graph!$E$36-$Z1000)^2))+(Graph!$D$41^2),3/2))</f>
        <v>812.16671592960779</v>
      </c>
      <c r="T1000">
        <f>Graph!$D$40*((Graph!$E$36-Z1000)/POWER((((Graph!$D$36-$Y1000)^2)+((Graph!$E$36-$Z1000)^2))+(Graph!$D$41^2),3/2))</f>
        <v>69.15656748873873</v>
      </c>
      <c r="U1000">
        <f>O1000+Q1000+S1000</f>
        <v>1035.4824659516235</v>
      </c>
      <c r="V1000">
        <f>P1000+R1000+T1000</f>
        <v>425.57212051828731</v>
      </c>
      <c r="W1000">
        <f>W999+(U999*Graph!$D$5)</f>
        <v>-412.25874702287217</v>
      </c>
      <c r="X1000">
        <f>X999+(V999*Graph!$D$5)</f>
        <v>-4684.3773047114937</v>
      </c>
      <c r="Y1000">
        <f>Y999+(W999*Graph!$D$5)+(U999*Graph!$D$5^2)</f>
        <v>-24497.605633099785</v>
      </c>
      <c r="Z1000">
        <f>Z999+(X999*Graph!$D$5)+(V999*Graph!$D$5^2)</f>
        <v>-17085.988361809214</v>
      </c>
    </row>
    <row r="1001" spans="14:26" x14ac:dyDescent="0.35">
      <c r="N1001">
        <f>N1000+1</f>
        <v>998</v>
      </c>
      <c r="O1001">
        <f>Graph!$D$22*((Graph!$D$18-Y1001)/POWER((((Graph!$D$18-$Y1001)^2)+((Graph!$E$18-$Z1001)^2))+(Graph!$D$23^2),(3/2)))</f>
        <v>171.28802630365578</v>
      </c>
      <c r="P1001" s="84">
        <f>Graph!$D$22*((Graph!$E$18-Z1001)/POWER((((Graph!$D$18-$Y1001)^2)+((Graph!$E$18-$Z1001)^2))+(Graph!$D$23^2),3/2))</f>
        <v>127.32888258034305</v>
      </c>
      <c r="Q1001">
        <f>Graph!$D$31*((Graph!$D$27-Y1001)/POWER((((Graph!$D$27-$Y1001)^2)+((Graph!$E$27-$Z1001)^2))+(Graph!$D$32^2),3/2))</f>
        <v>29.975688619034422</v>
      </c>
      <c r="R1001">
        <f>Graph!$D$31*((Graph!$E$27-Z1001)/POWER((((Graph!$D$27-$Y1001)^2)+((Graph!$E$27-$Z1001)^2))+(Graph!$D$32^2),3/2))</f>
        <v>197.74296566011785</v>
      </c>
      <c r="S1001">
        <f>Graph!$D$40*((Graph!$D$36-Y1001)/POWER((((Graph!$D$36-$Y1001)^2)+((Graph!$E$36-$Z1001)^2))+(Graph!$D$41^2),3/2))</f>
        <v>788.254223393904</v>
      </c>
      <c r="T1001">
        <f>Graph!$D$40*((Graph!$E$36-Z1001)/POWER((((Graph!$D$36-$Y1001)^2)+((Graph!$E$36-$Z1001)^2))+(Graph!$D$41^2),3/2))</f>
        <v>139.36115265947041</v>
      </c>
      <c r="U1001">
        <f>O1001+Q1001+S1001</f>
        <v>989.51793831659415</v>
      </c>
      <c r="V1001">
        <f>P1001+R1001+T1001</f>
        <v>464.4330008999313</v>
      </c>
      <c r="W1001">
        <f>W1000+(U1000*Graph!$D$5)</f>
        <v>105.48248595293956</v>
      </c>
      <c r="X1001">
        <f>X1000+(V1000*Graph!$D$5)</f>
        <v>-4471.5912444523501</v>
      </c>
      <c r="Y1001">
        <f>Y1000+(W1000*Graph!$D$5)+(U1000*Graph!$D$5^2)</f>
        <v>-24444.864390123315</v>
      </c>
      <c r="Z1001">
        <f>Z1000+(X1000*Graph!$D$5)+(V1000*Graph!$D$5^2)</f>
        <v>-19321.783984035388</v>
      </c>
    </row>
    <row r="1002" spans="14:26" x14ac:dyDescent="0.35">
      <c r="N1002">
        <f>N1001+1</f>
        <v>999</v>
      </c>
      <c r="O1002">
        <f>Graph!$D$22*((Graph!$D$18-Y1002)/POWER((((Graph!$D$18-$Y1002)^2)+((Graph!$E$18-$Z1002)^2))+(Graph!$D$23^2),(3/2)))</f>
        <v>159.55702479866829</v>
      </c>
      <c r="P1002" s="84">
        <f>Graph!$D$22*((Graph!$E$18-Z1002)/POWER((((Graph!$D$18-$Y1002)^2)+((Graph!$E$18-$Z1002)^2))+(Graph!$D$23^2),3/2))</f>
        <v>128.1578867422497</v>
      </c>
      <c r="Q1002">
        <f>Graph!$D$31*((Graph!$D$27-Y1002)/POWER((((Graph!$D$27-$Y1002)^2)+((Graph!$E$27-$Z1002)^2))+(Graph!$D$32^2),3/2))</f>
        <v>22.917747893797021</v>
      </c>
      <c r="R1002">
        <f>Graph!$D$31*((Graph!$E$27-Z1002)/POWER((((Graph!$D$27-$Y1002)^2)+((Graph!$E$27-$Z1002)^2))+(Graph!$D$32^2),3/2))</f>
        <v>173.85097188405862</v>
      </c>
      <c r="S1002">
        <f>Graph!$D$40*((Graph!$D$36-Y1002)/POWER((((Graph!$D$36-$Y1002)^2)+((Graph!$E$36-$Z1002)^2))+(Graph!$D$41^2),3/2))</f>
        <v>763.82066789041278</v>
      </c>
      <c r="T1002">
        <f>Graph!$D$40*((Graph!$E$36-Z1002)/POWER((((Graph!$D$36-$Y1002)^2)+((Graph!$E$36-$Z1002)^2))+(Graph!$D$41^2),3/2))</f>
        <v>203.7764004507799</v>
      </c>
      <c r="U1002">
        <f>O1002+Q1002+S1002</f>
        <v>946.29544058287809</v>
      </c>
      <c r="V1002">
        <f>P1002+R1002+T1002</f>
        <v>505.7852590770882</v>
      </c>
      <c r="W1002">
        <f>W1001+(U1001*Graph!$D$5)</f>
        <v>600.24145511123663</v>
      </c>
      <c r="X1002">
        <f>X1001+(V1001*Graph!$D$5)</f>
        <v>-4239.3747440023844</v>
      </c>
      <c r="Y1002">
        <f>Y1001+(W1001*Graph!$D$5)+(U1001*Graph!$D$5^2)</f>
        <v>-24144.743662567696</v>
      </c>
      <c r="Z1002">
        <f>Z1001+(X1001*Graph!$D$5)+(V1001*Graph!$D$5^2)</f>
        <v>-21441.471356036582</v>
      </c>
    </row>
    <row r="1003" spans="14:26" x14ac:dyDescent="0.35">
      <c r="N1003">
        <f>N1002+1</f>
        <v>1000</v>
      </c>
      <c r="O1003">
        <f>Graph!$D$22*((Graph!$D$18-Y1003)/POWER((((Graph!$D$18-$Y1003)^2)+((Graph!$E$18-$Z1003)^2))+(Graph!$D$23^2),(3/2)))</f>
        <v>149.58430624077451</v>
      </c>
      <c r="P1003" s="84">
        <f>Graph!$D$22*((Graph!$E$18-Z1003)/POWER((((Graph!$D$18-$Y1003)^2)+((Graph!$E$18-$Z1003)^2))+(Graph!$D$23^2),3/2))</f>
        <v>129.54055904250305</v>
      </c>
      <c r="Q1003">
        <f>Graph!$D$31*((Graph!$D$27-Y1003)/POWER((((Graph!$D$27-$Y1003)^2)+((Graph!$E$27-$Z1003)^2))+(Graph!$D$32^2),3/2))</f>
        <v>16.765305824562482</v>
      </c>
      <c r="R1003">
        <f>Graph!$D$31*((Graph!$E$27-Z1003)/POWER((((Graph!$D$27-$Y1003)^2)+((Graph!$E$27-$Z1003)^2))+(Graph!$D$32^2),3/2))</f>
        <v>155.35907830896244</v>
      </c>
      <c r="S1003">
        <f>Graph!$D$40*((Graph!$D$36-Y1003)/POWER((((Graph!$D$36-$Y1003)^2)+((Graph!$E$36-$Z1003)^2))+(Graph!$D$41^2),3/2))</f>
        <v>739.95605785657756</v>
      </c>
      <c r="T1003">
        <f>Graph!$D$40*((Graph!$E$36-Z1003)/POWER((((Graph!$D$36-$Y1003)^2)+((Graph!$E$36-$Z1003)^2))+(Graph!$D$41^2),3/2))</f>
        <v>264.37239801914603</v>
      </c>
      <c r="U1003">
        <f>O1003+Q1003+S1003</f>
        <v>906.30566992191461</v>
      </c>
      <c r="V1003">
        <f>P1003+R1003+T1003</f>
        <v>549.27203537061155</v>
      </c>
      <c r="W1003">
        <f>W1002+(U1002*Graph!$D$5)</f>
        <v>1073.3891754026756</v>
      </c>
      <c r="X1003">
        <f>X1002+(V1002*Graph!$D$5)</f>
        <v>-3986.4821144638404</v>
      </c>
      <c r="Y1003">
        <f>Y1002+(W1002*Graph!$D$5)+(U1002*Graph!$D$5^2)</f>
        <v>-23608.049074866358</v>
      </c>
      <c r="Z1003">
        <f>Z1002+(X1002*Graph!$D$5)+(V1002*Graph!$D$5^2)</f>
        <v>-23434.712413268502</v>
      </c>
    </row>
  </sheetData>
  <mergeCells count="3">
    <mergeCell ref="E2:F2"/>
    <mergeCell ref="H2:I2"/>
    <mergeCell ref="K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J1:AE3"/>
  <sheetViews>
    <sheetView workbookViewId="0">
      <selection activeCell="I26" sqref="I26"/>
    </sheetView>
  </sheetViews>
  <sheetFormatPr defaultColWidth="10.90625" defaultRowHeight="14.5" x14ac:dyDescent="0.35"/>
  <cols>
    <col min="11" max="11" width="28.54296875" style="71" customWidth="1"/>
    <col min="12" max="12" width="18.90625" customWidth="1"/>
    <col min="13" max="13" width="21.08984375" customWidth="1"/>
    <col min="14" max="14" width="19.6328125" customWidth="1"/>
    <col min="15" max="15" width="18.90625" customWidth="1"/>
    <col min="16" max="16" width="23" customWidth="1"/>
    <col min="17" max="17" width="21.36328125" customWidth="1"/>
    <col min="25" max="26" width="25.1796875" customWidth="1"/>
    <col min="27" max="27" width="19.54296875" customWidth="1"/>
    <col min="28" max="28" width="26.1796875" customWidth="1"/>
    <col min="29" max="29" width="18.81640625" customWidth="1"/>
    <col min="30" max="30" width="25.453125" customWidth="1"/>
    <col min="31" max="31" width="16" customWidth="1"/>
  </cols>
  <sheetData>
    <row r="1" spans="10:31" x14ac:dyDescent="0.35">
      <c r="Y1" s="87"/>
      <c r="Z1" s="87"/>
      <c r="AA1" s="87"/>
    </row>
    <row r="2" spans="10:31" x14ac:dyDescent="0.35">
      <c r="L2" s="86"/>
      <c r="M2" s="86"/>
      <c r="N2" s="86"/>
      <c r="O2" s="86"/>
      <c r="P2" s="86"/>
      <c r="Q2" s="86"/>
      <c r="R2" s="79"/>
      <c r="S2" s="79"/>
      <c r="T2" s="79"/>
      <c r="U2" s="79"/>
      <c r="V2" s="79"/>
      <c r="W2" s="70"/>
      <c r="Y2" s="80"/>
      <c r="Z2" s="87"/>
      <c r="AA2" s="87"/>
      <c r="AB2" s="86"/>
      <c r="AC2" s="86"/>
      <c r="AD2" s="86"/>
      <c r="AE2" s="86"/>
    </row>
    <row r="3" spans="10:31" x14ac:dyDescent="0.35">
      <c r="J3" s="69"/>
      <c r="K3" s="72"/>
      <c r="L3" s="69"/>
      <c r="M3" s="69"/>
      <c r="N3" s="70"/>
      <c r="O3" s="70"/>
      <c r="P3" s="70"/>
      <c r="Q3" s="70"/>
      <c r="R3" s="79"/>
      <c r="S3" s="79"/>
      <c r="T3" s="79"/>
      <c r="U3" s="79"/>
      <c r="V3" s="79"/>
      <c r="W3" s="70"/>
      <c r="X3" s="70"/>
      <c r="Y3" s="81"/>
      <c r="Z3" s="81"/>
      <c r="AA3" s="81"/>
      <c r="AB3" s="70"/>
      <c r="AC3" s="70"/>
      <c r="AD3" s="70"/>
      <c r="AE3" s="70"/>
    </row>
  </sheetData>
  <mergeCells count="7">
    <mergeCell ref="AD2:AE2"/>
    <mergeCell ref="Z2:AA2"/>
    <mergeCell ref="Y1:AA1"/>
    <mergeCell ref="L2:M2"/>
    <mergeCell ref="N2:O2"/>
    <mergeCell ref="P2:Q2"/>
    <mergeCell ref="AB2:A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</vt:lpstr>
      <vt:lpstr>Planets</vt:lpstr>
      <vt:lpstr>UFO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Alexis</cp:lastModifiedBy>
  <cp:lastPrinted>2022-03-10T17:02:09Z</cp:lastPrinted>
  <dcterms:created xsi:type="dcterms:W3CDTF">2022-03-08T17:37:13Z</dcterms:created>
  <dcterms:modified xsi:type="dcterms:W3CDTF">2022-04-01T02:26:10Z</dcterms:modified>
</cp:coreProperties>
</file>